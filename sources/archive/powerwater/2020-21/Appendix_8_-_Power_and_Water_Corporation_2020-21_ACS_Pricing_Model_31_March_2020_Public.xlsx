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defaultThemeVersion="124226"/>
  <mc:AlternateContent xmlns:mc="http://schemas.openxmlformats.org/markup-compatibility/2006">
    <mc:Choice Requires="x15">
      <x15ac:absPath xmlns:x15ac="http://schemas.microsoft.com/office/spreadsheetml/2010/11/ac" url="C:\Users\mzubi\Desktop\Pricing proposal\Final documents to AER\"/>
    </mc:Choice>
  </mc:AlternateContent>
  <bookViews>
    <workbookView xWindow="930" yWindow="0" windowWidth="20970" windowHeight="6870" tabRatio="830" activeTab="6"/>
  </bookViews>
  <sheets>
    <sheet name="Cover" sheetId="27" r:id="rId1"/>
    <sheet name="TOC" sheetId="28" r:id="rId2"/>
    <sheet name="Diagram" sheetId="30" r:id="rId3"/>
    <sheet name="Inputs_Prices" sheetId="33" r:id="rId4"/>
    <sheet name="Calculations_Price_Caps" sheetId="34" r:id="rId5"/>
    <sheet name="Output_Compliance" sheetId="40" r:id="rId6"/>
    <sheet name="Output_Pricing_Proposal" sheetId="43" r:id="rId7"/>
    <sheet name="Lookup" sheetId="4" r:id="rId8"/>
    <sheet name="Checks" sheetId="25" r:id="rId9"/>
  </sheets>
  <definedNames>
    <definedName name="anscount" hidden="1">1</definedName>
    <definedName name="Base_Year">Lookup!$E$11</definedName>
    <definedName name="Cents_to_Dollars">Lookup!$D$33</definedName>
    <definedName name="Days_In_Wk">Lookup!$D$30</definedName>
    <definedName name="Days_In_Yr">Lookup!$D$31</definedName>
    <definedName name="Dollars">Lookup!$D$47</definedName>
    <definedName name="Dollars_to_Thousands">Lookup!$D$34</definedName>
    <definedName name="End_year">Lookup!$F$81</definedName>
    <definedName name="Error">Lookup!$D$37</definedName>
    <definedName name="Factor">Lookup!$D$50</definedName>
    <definedName name="Half">Lookup!$D$32</definedName>
    <definedName name="HTML_CodePage" hidden="1">1252</definedName>
    <definedName name="HTML_Control" hidden="1">{"'petroleum sales data'!$A$1:$L$49"}</definedName>
    <definedName name="HTML_Description" hidden="1">"This is a chart of Petroleum Sales figures up to and including June 1998"</definedName>
    <definedName name="HTML_Email" hidden="1">"tony.waite@dme.nt.gov.au"</definedName>
    <definedName name="HTML_Header" hidden="1">"Petroleum Sales Figures 1998"</definedName>
    <definedName name="HTML_LastUpdate" hidden="1">"24/08/98"</definedName>
    <definedName name="HTML_LineAfter" hidden="1">FALSE</definedName>
    <definedName name="HTML_LineBefore" hidden="1">FALSE</definedName>
    <definedName name="HTML_Name" hidden="1">"Tony Waite"</definedName>
    <definedName name="HTML_OBDlg2" hidden="1">TRUE</definedName>
    <definedName name="HTML_OBDlg4" hidden="1">TRUE</definedName>
    <definedName name="HTML_OS" hidden="1">0</definedName>
    <definedName name="HTML_PathFile" hidden="1">"G:\Energy\Safety &amp; Environment\WEBPAGES\statistics\Production\MyHTML.htm"</definedName>
    <definedName name="HTML_Title" hidden="1">"petsale_1998"</definedName>
    <definedName name="Kilometres">Lookup!$D$65</definedName>
    <definedName name="LU_Basis">Lookup!$D$70:$D$75</definedName>
    <definedName name="LU_Fee_Based_Services">Lookup!$D$102:$D$128</definedName>
    <definedName name="LU_Metering_Services">Lookup!$D$95:$D$97</definedName>
    <definedName name="LU_Quoted_Services">Lookup!$D$133:$D$148</definedName>
    <definedName name="LU_Revenue_Input">Lookup!$D$86:$D$88</definedName>
    <definedName name="LU_Service_Categories">Lookup!$D$153:$D$159</definedName>
    <definedName name="LU_Timing">Lookup!$D$79:$D$82</definedName>
    <definedName name="LU_Timing_Value">Lookup!$E$79:$E$82</definedName>
    <definedName name="LU_Units">Lookup!$D$46:$D$66</definedName>
    <definedName name="Mid_year">Lookup!$D$80</definedName>
    <definedName name="Millions">Lookup!$D$48</definedName>
    <definedName name="Model_Name">Cover!$B$3</definedName>
    <definedName name="Model_Start_Date">Lookup!$E$10</definedName>
    <definedName name="Mths_In_Mth">Lookup!$D$26</definedName>
    <definedName name="Mths_In_Qtr">Lookup!$D$27</definedName>
    <definedName name="Mths_In_Yr">Lookup!$D$29</definedName>
    <definedName name="NA">Lookup!$D$36</definedName>
    <definedName name="No">Lookup!$D$42</definedName>
    <definedName name="No_Input">Lookup!$D$88</definedName>
    <definedName name="Nominal">Lookup!$D$75</definedName>
    <definedName name="Number">Lookup!$D$51</definedName>
    <definedName name="Ok">Lookup!$D$35</definedName>
    <definedName name="Percent">Lookup!$D$46</definedName>
    <definedName name="Qtrs_In_Yr">Lookup!$D$28</definedName>
    <definedName name="Real2018">Lookup!$D$70</definedName>
    <definedName name="Real2019">Lookup!$D$71</definedName>
    <definedName name="Real2020">Lookup!$D$72</definedName>
    <definedName name="solver_cvg" hidden="1">0.0000001</definedName>
    <definedName name="solver_drv" hidden="1">1</definedName>
    <definedName name="solver_est" hidden="1">1</definedName>
    <definedName name="solver_itr" hidden="1">10000</definedName>
    <definedName name="solver_lin" hidden="1">2</definedName>
    <definedName name="solver_neg" hidden="1">2</definedName>
    <definedName name="solver_num" hidden="1">0</definedName>
    <definedName name="solver_nwt" hidden="1">1</definedName>
    <definedName name="solver_pre" hidden="1">0.000000001</definedName>
    <definedName name="solver_scl" hidden="1">2</definedName>
    <definedName name="solver_sho" hidden="1">2</definedName>
    <definedName name="solver_tim" hidden="1">1000</definedName>
    <definedName name="solver_tol" hidden="1">0.000000001</definedName>
    <definedName name="solver_typ" hidden="1">3</definedName>
    <definedName name="solver_val" hidden="1">0</definedName>
    <definedName name="Start_year">Lookup!$D$79</definedName>
    <definedName name="Thousands">Lookup!$D$49</definedName>
    <definedName name="Title_Msg">Checks!$H$10</definedName>
    <definedName name="TiTree" hidden="1">{"'petroleum sales data'!$A$1:$L$49"}</definedName>
    <definedName name="Yes">Lookup!$D$41</definedName>
    <definedName name="Yes_No">Lookup!$D$41:$D$42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49" i="43" l="1"/>
  <c r="I149" i="43"/>
  <c r="H149" i="43"/>
  <c r="G149" i="43"/>
  <c r="J148" i="43"/>
  <c r="I148" i="43"/>
  <c r="H148" i="43"/>
  <c r="G148" i="43"/>
  <c r="J147" i="43"/>
  <c r="I147" i="43"/>
  <c r="H147" i="43"/>
  <c r="G147" i="43"/>
  <c r="J146" i="43"/>
  <c r="I146" i="43"/>
  <c r="H146" i="43"/>
  <c r="G146" i="43"/>
  <c r="J145" i="43"/>
  <c r="I145" i="43"/>
  <c r="H145" i="43"/>
  <c r="G145" i="43"/>
  <c r="J144" i="43"/>
  <c r="I144" i="43"/>
  <c r="H144" i="43"/>
  <c r="G144" i="43"/>
  <c r="J143" i="43"/>
  <c r="I143" i="43"/>
  <c r="H143" i="43"/>
  <c r="G143" i="43"/>
  <c r="J142" i="43"/>
  <c r="I142" i="43"/>
  <c r="H142" i="43"/>
  <c r="G142" i="43"/>
  <c r="J141" i="43"/>
  <c r="I141" i="43"/>
  <c r="H141" i="43"/>
  <c r="G141" i="43"/>
  <c r="J140" i="43"/>
  <c r="I140" i="43"/>
  <c r="H140" i="43"/>
  <c r="G140" i="43"/>
  <c r="J139" i="43"/>
  <c r="I139" i="43"/>
  <c r="H139" i="43"/>
  <c r="G139" i="43"/>
  <c r="J138" i="43"/>
  <c r="I138" i="43"/>
  <c r="H138" i="43"/>
  <c r="G138" i="43"/>
  <c r="J137" i="43"/>
  <c r="I137" i="43"/>
  <c r="H137" i="43"/>
  <c r="G137" i="43"/>
  <c r="J136" i="43"/>
  <c r="I136" i="43"/>
  <c r="H136" i="43"/>
  <c r="G136" i="43"/>
  <c r="J135" i="43"/>
  <c r="I135" i="43"/>
  <c r="H135" i="43"/>
  <c r="G135" i="43"/>
  <c r="J134" i="43"/>
  <c r="I134" i="43"/>
  <c r="H134" i="43"/>
  <c r="G134" i="43"/>
  <c r="J133" i="43"/>
  <c r="I133" i="43"/>
  <c r="H133" i="43"/>
  <c r="G133" i="43"/>
  <c r="J132" i="43"/>
  <c r="I132" i="43"/>
  <c r="H132" i="43"/>
  <c r="G132" i="43"/>
  <c r="J131" i="43"/>
  <c r="I131" i="43"/>
  <c r="H131" i="43"/>
  <c r="G131" i="43"/>
  <c r="J130" i="43"/>
  <c r="I130" i="43"/>
  <c r="H130" i="43"/>
  <c r="G130" i="43"/>
  <c r="J129" i="43"/>
  <c r="I129" i="43"/>
  <c r="H129" i="43"/>
  <c r="G129" i="43"/>
  <c r="J128" i="43"/>
  <c r="I128" i="43"/>
  <c r="H128" i="43"/>
  <c r="G128" i="43"/>
  <c r="J127" i="43"/>
  <c r="I127" i="43"/>
  <c r="H127" i="43"/>
  <c r="G127" i="43"/>
  <c r="J126" i="43"/>
  <c r="I126" i="43"/>
  <c r="H126" i="43"/>
  <c r="G126" i="43"/>
  <c r="J125" i="43"/>
  <c r="I125" i="43"/>
  <c r="H125" i="43"/>
  <c r="G125" i="43"/>
  <c r="J124" i="43"/>
  <c r="I124" i="43"/>
  <c r="H124" i="43"/>
  <c r="G124" i="43"/>
  <c r="J123" i="43"/>
  <c r="I123" i="43"/>
  <c r="H123" i="43"/>
  <c r="G123" i="43"/>
  <c r="F149" i="43"/>
  <c r="F148" i="43"/>
  <c r="F147" i="43"/>
  <c r="F146" i="43"/>
  <c r="F145" i="43"/>
  <c r="F144" i="43"/>
  <c r="F143" i="43"/>
  <c r="F142" i="43"/>
  <c r="F141" i="43"/>
  <c r="F140" i="43"/>
  <c r="F139" i="43"/>
  <c r="F138" i="43"/>
  <c r="F137" i="43"/>
  <c r="F136" i="43"/>
  <c r="F135" i="43"/>
  <c r="F134" i="43"/>
  <c r="F133" i="43"/>
  <c r="F132" i="43"/>
  <c r="F131" i="43"/>
  <c r="F130" i="43"/>
  <c r="F129" i="43"/>
  <c r="F128" i="43"/>
  <c r="F127" i="43"/>
  <c r="F126" i="43"/>
  <c r="F125" i="43"/>
  <c r="F124" i="43"/>
  <c r="F123" i="43"/>
  <c r="D123" i="43" a="1"/>
  <c r="D148" i="43" s="1"/>
  <c r="J115" i="43"/>
  <c r="I115" i="43"/>
  <c r="H115" i="43"/>
  <c r="G115" i="43"/>
  <c r="J114" i="43"/>
  <c r="I114" i="43"/>
  <c r="H114" i="43"/>
  <c r="G114" i="43"/>
  <c r="J113" i="43"/>
  <c r="I113" i="43"/>
  <c r="H113" i="43"/>
  <c r="G113" i="43"/>
  <c r="J112" i="43"/>
  <c r="I112" i="43"/>
  <c r="H112" i="43"/>
  <c r="G112" i="43"/>
  <c r="J111" i="43"/>
  <c r="I111" i="43"/>
  <c r="H111" i="43"/>
  <c r="G111" i="43"/>
  <c r="J110" i="43"/>
  <c r="I110" i="43"/>
  <c r="H110" i="43"/>
  <c r="G110" i="43"/>
  <c r="J109" i="43"/>
  <c r="I109" i="43"/>
  <c r="H109" i="43"/>
  <c r="G109" i="43"/>
  <c r="J108" i="43"/>
  <c r="I108" i="43"/>
  <c r="H108" i="43"/>
  <c r="G108" i="43"/>
  <c r="J107" i="43"/>
  <c r="I107" i="43"/>
  <c r="H107" i="43"/>
  <c r="G107" i="43"/>
  <c r="J106" i="43"/>
  <c r="I106" i="43"/>
  <c r="H106" i="43"/>
  <c r="G106" i="43"/>
  <c r="J105" i="43"/>
  <c r="I105" i="43"/>
  <c r="H105" i="43"/>
  <c r="G105" i="43"/>
  <c r="J104" i="43"/>
  <c r="I104" i="43"/>
  <c r="H104" i="43"/>
  <c r="G104" i="43"/>
  <c r="J103" i="43"/>
  <c r="I103" i="43"/>
  <c r="H103" i="43"/>
  <c r="G103" i="43"/>
  <c r="J102" i="43"/>
  <c r="I102" i="43"/>
  <c r="H102" i="43"/>
  <c r="G102" i="43"/>
  <c r="J101" i="43"/>
  <c r="I101" i="43"/>
  <c r="H101" i="43"/>
  <c r="G101" i="43"/>
  <c r="J100" i="43"/>
  <c r="I100" i="43"/>
  <c r="H100" i="43"/>
  <c r="G100" i="43"/>
  <c r="F115" i="43"/>
  <c r="F114" i="43"/>
  <c r="F113" i="43"/>
  <c r="F112" i="43"/>
  <c r="F111" i="43"/>
  <c r="F110" i="43"/>
  <c r="F109" i="43"/>
  <c r="F108" i="43"/>
  <c r="F107" i="43"/>
  <c r="F106" i="43"/>
  <c r="F105" i="43"/>
  <c r="F104" i="43"/>
  <c r="F103" i="43"/>
  <c r="F102" i="43"/>
  <c r="F101" i="43"/>
  <c r="F100" i="43"/>
  <c r="D100" i="43" a="1"/>
  <c r="D115" i="43" s="1"/>
  <c r="J93" i="43"/>
  <c r="I93" i="43"/>
  <c r="H93" i="43"/>
  <c r="G93" i="43"/>
  <c r="J92" i="43"/>
  <c r="I92" i="43"/>
  <c r="H92" i="43"/>
  <c r="G92" i="43"/>
  <c r="J91" i="43"/>
  <c r="I91" i="43"/>
  <c r="H91" i="43"/>
  <c r="G91" i="43"/>
  <c r="F93" i="43"/>
  <c r="F92" i="43"/>
  <c r="F91" i="43"/>
  <c r="D137" i="43" l="1"/>
  <c r="D129" i="43"/>
  <c r="D145" i="43"/>
  <c r="D125" i="43"/>
  <c r="D141" i="43"/>
  <c r="D133" i="43"/>
  <c r="D149" i="43"/>
  <c r="D126" i="43"/>
  <c r="D130" i="43"/>
  <c r="D134" i="43"/>
  <c r="D138" i="43"/>
  <c r="D142" i="43"/>
  <c r="D146" i="43"/>
  <c r="D123" i="43"/>
  <c r="D127" i="43"/>
  <c r="D131" i="43"/>
  <c r="D135" i="43"/>
  <c r="D139" i="43"/>
  <c r="D143" i="43"/>
  <c r="D147" i="43"/>
  <c r="D124" i="43"/>
  <c r="D128" i="43"/>
  <c r="D132" i="43"/>
  <c r="D136" i="43"/>
  <c r="D140" i="43"/>
  <c r="D144" i="43"/>
  <c r="D100" i="43"/>
  <c r="D108" i="43"/>
  <c r="D101" i="43"/>
  <c r="D105" i="43"/>
  <c r="D109" i="43"/>
  <c r="D113" i="43"/>
  <c r="D104" i="43"/>
  <c r="D112" i="43"/>
  <c r="D102" i="43"/>
  <c r="D106" i="43"/>
  <c r="D110" i="43"/>
  <c r="D114" i="43"/>
  <c r="D103" i="43"/>
  <c r="D107" i="43"/>
  <c r="D111" i="43"/>
  <c r="E20" i="43"/>
  <c r="E19" i="43"/>
  <c r="E18" i="43"/>
  <c r="E17" i="43"/>
  <c r="S80" i="33" l="1" a="1"/>
  <c r="S80" i="33" s="1"/>
  <c r="R80" i="33" a="1"/>
  <c r="R80" i="33" s="1"/>
  <c r="Q80" i="33" a="1"/>
  <c r="Q80" i="33" s="1"/>
  <c r="P80" i="33" a="1"/>
  <c r="P80" i="33" s="1"/>
  <c r="S121" i="33" a="1"/>
  <c r="S121" i="33" s="1"/>
  <c r="R121" i="33" a="1"/>
  <c r="R121" i="33" s="1"/>
  <c r="Q121" i="33" a="1"/>
  <c r="Q121" i="33" s="1"/>
  <c r="P121" i="33" a="1"/>
  <c r="P121" i="33" s="1"/>
  <c r="O200" i="33" a="1"/>
  <c r="O200" i="33" s="1"/>
  <c r="S259" i="33" a="1"/>
  <c r="S259" i="33" s="1"/>
  <c r="R259" i="33" a="1"/>
  <c r="R259" i="33" s="1"/>
  <c r="Q259" i="33" a="1"/>
  <c r="Q259" i="33" s="1"/>
  <c r="P259" i="33" a="1"/>
  <c r="P259" i="33" s="1"/>
  <c r="B4" i="43"/>
  <c r="B9" i="40"/>
  <c r="B9" i="34"/>
  <c r="B9" i="33"/>
  <c r="D36" i="43" a="1"/>
  <c r="D51" i="43" s="1"/>
  <c r="D58" i="43" a="1"/>
  <c r="D84" i="43" s="1"/>
  <c r="D65" i="40" a="1"/>
  <c r="D78" i="40" s="1"/>
  <c r="D36" i="40" a="1"/>
  <c r="D60" i="40" s="1"/>
  <c r="D31" i="40" a="1"/>
  <c r="D32" i="40" s="1"/>
  <c r="J28" i="40"/>
  <c r="I28" i="40"/>
  <c r="H28" i="40"/>
  <c r="D63" i="33" a="1"/>
  <c r="D78" i="33" s="1"/>
  <c r="D34" i="33" a="1"/>
  <c r="D57" i="33" s="1"/>
  <c r="D29" i="33" a="1"/>
  <c r="D31" i="33" s="1"/>
  <c r="I26" i="33"/>
  <c r="H26" i="33"/>
  <c r="E26" i="33"/>
  <c r="E59" i="4"/>
  <c r="O110" i="34"/>
  <c r="O109" i="34"/>
  <c r="O108" i="34"/>
  <c r="O107" i="34"/>
  <c r="O106" i="34"/>
  <c r="O105" i="34"/>
  <c r="O104" i="34"/>
  <c r="O103" i="34"/>
  <c r="O102" i="34"/>
  <c r="O101" i="34"/>
  <c r="O100" i="34"/>
  <c r="O99" i="34"/>
  <c r="O98" i="34"/>
  <c r="O97" i="34"/>
  <c r="O96" i="34"/>
  <c r="O95" i="34"/>
  <c r="O92" i="34"/>
  <c r="O91" i="34"/>
  <c r="O90" i="34"/>
  <c r="O89" i="34"/>
  <c r="O88" i="34"/>
  <c r="O87" i="34"/>
  <c r="O86" i="34"/>
  <c r="O85" i="34"/>
  <c r="O84" i="34"/>
  <c r="O83" i="34"/>
  <c r="O82" i="34"/>
  <c r="O81" i="34"/>
  <c r="O80" i="34"/>
  <c r="O79" i="34"/>
  <c r="O78" i="34"/>
  <c r="O77" i="34"/>
  <c r="O76" i="34"/>
  <c r="O75" i="34"/>
  <c r="O74" i="34"/>
  <c r="O73" i="34"/>
  <c r="O72" i="34"/>
  <c r="O71" i="34"/>
  <c r="O70" i="34"/>
  <c r="O69" i="34"/>
  <c r="O68" i="34"/>
  <c r="O67" i="34"/>
  <c r="O66" i="34"/>
  <c r="D208" i="33" a="1"/>
  <c r="D210" i="33" s="1"/>
  <c r="I146" i="33"/>
  <c r="H146" i="33"/>
  <c r="E146" i="33"/>
  <c r="D88" i="33" a="1"/>
  <c r="D90" i="33" s="1"/>
  <c r="O62" i="34"/>
  <c r="O63" i="34"/>
  <c r="D61" i="34" a="1"/>
  <c r="D63" i="34" s="1"/>
  <c r="D149" i="33" a="1"/>
  <c r="D149" i="33" s="1"/>
  <c r="J10" i="34"/>
  <c r="O61" i="34"/>
  <c r="D95" i="34" a="1"/>
  <c r="D110" i="34" s="1"/>
  <c r="D66" i="34" a="1"/>
  <c r="D92" i="34" s="1"/>
  <c r="J58" i="34"/>
  <c r="I58" i="34"/>
  <c r="H58" i="34"/>
  <c r="D93" i="33" a="1"/>
  <c r="D119" i="33" s="1"/>
  <c r="J85" i="33"/>
  <c r="I85" i="33"/>
  <c r="H85" i="33"/>
  <c r="D242" i="33" a="1"/>
  <c r="D257" i="33" s="1"/>
  <c r="D213" i="33" a="1"/>
  <c r="D239" i="33" s="1"/>
  <c r="D183" i="33" a="1"/>
  <c r="D184" i="33" s="1"/>
  <c r="D154" i="33" a="1"/>
  <c r="D154" i="33" s="1"/>
  <c r="J205" i="33"/>
  <c r="I205" i="33"/>
  <c r="H205" i="33"/>
  <c r="E57" i="4"/>
  <c r="E58" i="4"/>
  <c r="A80" i="33" l="1"/>
  <c r="A200" i="33"/>
  <c r="A259" i="33"/>
  <c r="O112" i="34" a="1"/>
  <c r="O112" i="34" s="1"/>
  <c r="D36" i="43"/>
  <c r="D40" i="43"/>
  <c r="D44" i="43"/>
  <c r="D48" i="43"/>
  <c r="D37" i="43"/>
  <c r="D41" i="43"/>
  <c r="D45" i="43"/>
  <c r="D49" i="43"/>
  <c r="D38" i="43"/>
  <c r="D42" i="43"/>
  <c r="D46" i="43"/>
  <c r="D50" i="43"/>
  <c r="D39" i="43"/>
  <c r="D43" i="43"/>
  <c r="D47" i="43"/>
  <c r="D65" i="43"/>
  <c r="D81" i="43"/>
  <c r="D58" i="43"/>
  <c r="D62" i="43"/>
  <c r="D66" i="43"/>
  <c r="D70" i="43"/>
  <c r="D74" i="43"/>
  <c r="D78" i="43"/>
  <c r="D82" i="43"/>
  <c r="D61" i="43"/>
  <c r="D69" i="43"/>
  <c r="D77" i="43"/>
  <c r="D59" i="43"/>
  <c r="D63" i="43"/>
  <c r="D67" i="43"/>
  <c r="D71" i="43"/>
  <c r="D75" i="43"/>
  <c r="D79" i="43"/>
  <c r="D83" i="43"/>
  <c r="D73" i="43"/>
  <c r="D60" i="43"/>
  <c r="D64" i="43"/>
  <c r="D68" i="43"/>
  <c r="D72" i="43"/>
  <c r="D76" i="43"/>
  <c r="D80" i="43"/>
  <c r="D79" i="40"/>
  <c r="D37" i="40"/>
  <c r="D53" i="40"/>
  <c r="D67" i="40"/>
  <c r="D31" i="40"/>
  <c r="D41" i="40"/>
  <c r="D57" i="40"/>
  <c r="D71" i="40"/>
  <c r="D49" i="40"/>
  <c r="D33" i="40"/>
  <c r="D45" i="40"/>
  <c r="D61" i="40"/>
  <c r="D75" i="40"/>
  <c r="D38" i="40"/>
  <c r="D42" i="40"/>
  <c r="D46" i="40"/>
  <c r="D50" i="40"/>
  <c r="D54" i="40"/>
  <c r="D58" i="40"/>
  <c r="D62" i="40"/>
  <c r="D68" i="40"/>
  <c r="D72" i="40"/>
  <c r="D76" i="40"/>
  <c r="D80" i="40"/>
  <c r="D39" i="40"/>
  <c r="D43" i="40"/>
  <c r="D47" i="40"/>
  <c r="D51" i="40"/>
  <c r="D55" i="40"/>
  <c r="D59" i="40"/>
  <c r="D65" i="40"/>
  <c r="D69" i="40"/>
  <c r="D73" i="40"/>
  <c r="D77" i="40"/>
  <c r="D36" i="40"/>
  <c r="D40" i="40"/>
  <c r="D44" i="40"/>
  <c r="D48" i="40"/>
  <c r="D52" i="40"/>
  <c r="D56" i="40"/>
  <c r="D66" i="40"/>
  <c r="D70" i="40"/>
  <c r="D74" i="40"/>
  <c r="D63" i="33"/>
  <c r="D29" i="33"/>
  <c r="D71" i="33"/>
  <c r="D39" i="33"/>
  <c r="D47" i="33"/>
  <c r="D55" i="33"/>
  <c r="D34" i="33"/>
  <c r="D42" i="33"/>
  <c r="D50" i="33"/>
  <c r="D58" i="33"/>
  <c r="D64" i="33"/>
  <c r="D72" i="33"/>
  <c r="D35" i="33"/>
  <c r="D43" i="33"/>
  <c r="D51" i="33"/>
  <c r="D59" i="33"/>
  <c r="D67" i="33"/>
  <c r="D75" i="33"/>
  <c r="D38" i="33"/>
  <c r="D46" i="33"/>
  <c r="D54" i="33"/>
  <c r="D68" i="33"/>
  <c r="D76" i="33"/>
  <c r="D30" i="33"/>
  <c r="D36" i="33"/>
  <c r="D40" i="33"/>
  <c r="D44" i="33"/>
  <c r="D48" i="33"/>
  <c r="D52" i="33"/>
  <c r="D56" i="33"/>
  <c r="D60" i="33"/>
  <c r="D65" i="33"/>
  <c r="D69" i="33"/>
  <c r="D73" i="33"/>
  <c r="D77" i="33"/>
  <c r="D37" i="33"/>
  <c r="D41" i="33"/>
  <c r="D45" i="33"/>
  <c r="D49" i="33"/>
  <c r="D53" i="33"/>
  <c r="D66" i="33"/>
  <c r="D70" i="33"/>
  <c r="D74" i="33"/>
  <c r="D208" i="33"/>
  <c r="D209" i="33"/>
  <c r="D88" i="33"/>
  <c r="D89" i="33"/>
  <c r="D61" i="34"/>
  <c r="D62" i="34"/>
  <c r="D151" i="33"/>
  <c r="D150" i="33"/>
  <c r="D66" i="34"/>
  <c r="D70" i="34"/>
  <c r="D74" i="34"/>
  <c r="D78" i="34"/>
  <c r="D82" i="34"/>
  <c r="D86" i="34"/>
  <c r="D90" i="34"/>
  <c r="D95" i="34"/>
  <c r="D99" i="34"/>
  <c r="D103" i="34"/>
  <c r="D107" i="34"/>
  <c r="D69" i="34"/>
  <c r="D73" i="34"/>
  <c r="D77" i="34"/>
  <c r="D81" i="34"/>
  <c r="D85" i="34"/>
  <c r="D89" i="34"/>
  <c r="D67" i="34"/>
  <c r="D71" i="34"/>
  <c r="D75" i="34"/>
  <c r="D79" i="34"/>
  <c r="D83" i="34"/>
  <c r="D87" i="34"/>
  <c r="D91" i="34"/>
  <c r="D96" i="34"/>
  <c r="D100" i="34"/>
  <c r="D104" i="34"/>
  <c r="D108" i="34"/>
  <c r="D98" i="34"/>
  <c r="D102" i="34"/>
  <c r="D106" i="34"/>
  <c r="D68" i="34"/>
  <c r="D72" i="34"/>
  <c r="D76" i="34"/>
  <c r="D80" i="34"/>
  <c r="D84" i="34"/>
  <c r="D88" i="34"/>
  <c r="D97" i="34"/>
  <c r="D101" i="34"/>
  <c r="D105" i="34"/>
  <c r="D109" i="34"/>
  <c r="D96" i="33"/>
  <c r="D100" i="33"/>
  <c r="D104" i="33"/>
  <c r="D108" i="33"/>
  <c r="D112" i="33"/>
  <c r="D116" i="33"/>
  <c r="D93" i="33"/>
  <c r="D97" i="33"/>
  <c r="D101" i="33"/>
  <c r="D105" i="33"/>
  <c r="D109" i="33"/>
  <c r="D113" i="33"/>
  <c r="D117" i="33"/>
  <c r="D94" i="33"/>
  <c r="D98" i="33"/>
  <c r="D102" i="33"/>
  <c r="D106" i="33"/>
  <c r="D110" i="33"/>
  <c r="D114" i="33"/>
  <c r="D118" i="33"/>
  <c r="D95" i="33"/>
  <c r="D99" i="33"/>
  <c r="D103" i="33"/>
  <c r="D107" i="33"/>
  <c r="D111" i="33"/>
  <c r="D115" i="33"/>
  <c r="D242" i="33"/>
  <c r="D246" i="33"/>
  <c r="D250" i="33"/>
  <c r="D254" i="33"/>
  <c r="D243" i="33"/>
  <c r="D247" i="33"/>
  <c r="D251" i="33"/>
  <c r="D255" i="33"/>
  <c r="D244" i="33"/>
  <c r="D248" i="33"/>
  <c r="D252" i="33"/>
  <c r="D256" i="33"/>
  <c r="D245" i="33"/>
  <c r="D249" i="33"/>
  <c r="D253" i="33"/>
  <c r="D216" i="33"/>
  <c r="D224" i="33"/>
  <c r="D213" i="33"/>
  <c r="D225" i="33"/>
  <c r="D218" i="33"/>
  <c r="D226" i="33"/>
  <c r="D230" i="33"/>
  <c r="D234" i="33"/>
  <c r="D238" i="33"/>
  <c r="D220" i="33"/>
  <c r="D228" i="33"/>
  <c r="D232" i="33"/>
  <c r="D236" i="33"/>
  <c r="D217" i="33"/>
  <c r="D221" i="33"/>
  <c r="D229" i="33"/>
  <c r="D233" i="33"/>
  <c r="D237" i="33"/>
  <c r="D214" i="33"/>
  <c r="D222" i="33"/>
  <c r="D215" i="33"/>
  <c r="D219" i="33"/>
  <c r="D223" i="33"/>
  <c r="D227" i="33"/>
  <c r="D231" i="33"/>
  <c r="D235" i="33"/>
  <c r="D197" i="33"/>
  <c r="D193" i="33"/>
  <c r="D189" i="33"/>
  <c r="D185" i="33"/>
  <c r="D195" i="33"/>
  <c r="D191" i="33"/>
  <c r="D187" i="33"/>
  <c r="D183" i="33"/>
  <c r="D198" i="33"/>
  <c r="D194" i="33"/>
  <c r="D190" i="33"/>
  <c r="D186" i="33"/>
  <c r="D196" i="33"/>
  <c r="D192" i="33"/>
  <c r="D188" i="33"/>
  <c r="D180" i="33"/>
  <c r="D176" i="33"/>
  <c r="D172" i="33"/>
  <c r="D168" i="33"/>
  <c r="D164" i="33"/>
  <c r="D160" i="33"/>
  <c r="D156" i="33"/>
  <c r="D177" i="33"/>
  <c r="D173" i="33"/>
  <c r="D169" i="33"/>
  <c r="D165" i="33"/>
  <c r="D161" i="33"/>
  <c r="D157" i="33"/>
  <c r="D179" i="33"/>
  <c r="D175" i="33"/>
  <c r="D171" i="33"/>
  <c r="D167" i="33"/>
  <c r="D163" i="33"/>
  <c r="D159" i="33"/>
  <c r="D155" i="33"/>
  <c r="D178" i="33"/>
  <c r="D174" i="33"/>
  <c r="D170" i="33"/>
  <c r="D166" i="33"/>
  <c r="D162" i="33"/>
  <c r="D158" i="33"/>
  <c r="D19" i="25" l="1"/>
  <c r="D19" i="28" l="1"/>
  <c r="A1" i="43" l="1"/>
  <c r="H19" i="25" s="1"/>
  <c r="I16" i="40" l="1"/>
  <c r="J132" i="33"/>
  <c r="I132" i="33"/>
  <c r="H132" i="33"/>
  <c r="B6" i="30" l="1"/>
  <c r="D18" i="25" l="1"/>
  <c r="D18" i="28"/>
  <c r="J10" i="40" l="1"/>
  <c r="I10" i="40"/>
  <c r="H10" i="40"/>
  <c r="B10" i="40"/>
  <c r="B8" i="40"/>
  <c r="B7" i="40"/>
  <c r="B6" i="40"/>
  <c r="B5" i="40"/>
  <c r="B4" i="40"/>
  <c r="B3" i="40"/>
  <c r="D14" i="28" l="1"/>
  <c r="D17" i="25" l="1"/>
  <c r="D16" i="25"/>
  <c r="B4" i="25"/>
  <c r="B3" i="25"/>
  <c r="E82" i="4"/>
  <c r="D82" i="4"/>
  <c r="D74" i="4"/>
  <c r="D66" i="4"/>
  <c r="E64" i="4"/>
  <c r="E63" i="4"/>
  <c r="E62" i="4"/>
  <c r="E61" i="4"/>
  <c r="E60" i="4"/>
  <c r="E56" i="4"/>
  <c r="E55" i="4"/>
  <c r="E54" i="4"/>
  <c r="E53" i="4"/>
  <c r="E52" i="4"/>
  <c r="J17" i="4"/>
  <c r="K17" i="4" s="1"/>
  <c r="L17" i="4" s="1"/>
  <c r="M17" i="4" s="1"/>
  <c r="B4" i="4"/>
  <c r="B3" i="4"/>
  <c r="A1" i="4"/>
  <c r="B10" i="34"/>
  <c r="B8" i="34"/>
  <c r="B7" i="34"/>
  <c r="B6" i="34"/>
  <c r="B5" i="34"/>
  <c r="B4" i="34"/>
  <c r="B3" i="34"/>
  <c r="J10" i="33"/>
  <c r="B10" i="33"/>
  <c r="B8" i="33"/>
  <c r="B7" i="33"/>
  <c r="B6" i="33"/>
  <c r="B5" i="33"/>
  <c r="B4" i="33"/>
  <c r="B3" i="33"/>
  <c r="B4" i="30"/>
  <c r="B3" i="30"/>
  <c r="A1" i="30"/>
  <c r="D24" i="28"/>
  <c r="D23" i="28"/>
  <c r="D10" i="28"/>
  <c r="B6" i="28"/>
  <c r="B4" i="28"/>
  <c r="J146" i="33" l="1"/>
  <c r="J26" i="33"/>
  <c r="J15" i="4"/>
  <c r="M7" i="40"/>
  <c r="N17" i="4"/>
  <c r="M7" i="33"/>
  <c r="J16" i="4"/>
  <c r="K15" i="4" l="1"/>
  <c r="J19" i="4"/>
  <c r="J18" i="4"/>
  <c r="J20" i="4" s="1"/>
  <c r="N7" i="40"/>
  <c r="N7" i="33"/>
  <c r="O17" i="4"/>
  <c r="K16" i="4"/>
  <c r="K19" i="4" s="1"/>
  <c r="O7" i="40" l="1"/>
  <c r="P17" i="4"/>
  <c r="O7" i="34"/>
  <c r="O7" i="33"/>
  <c r="L15" i="4"/>
  <c r="L16" i="4" s="1"/>
  <c r="L19" i="4" s="1"/>
  <c r="K18" i="4"/>
  <c r="K20" i="4" s="1"/>
  <c r="P7" i="40" l="1"/>
  <c r="Q17" i="4"/>
  <c r="P7" i="33"/>
  <c r="P7" i="34"/>
  <c r="L18" i="4"/>
  <c r="L20" i="4" s="1"/>
  <c r="M15" i="4"/>
  <c r="M5" i="40" l="1"/>
  <c r="Q7" i="40"/>
  <c r="Q7" i="33"/>
  <c r="R17" i="4"/>
  <c r="Q7" i="34"/>
  <c r="M16" i="4"/>
  <c r="M19" i="4" s="1"/>
  <c r="M5" i="33"/>
  <c r="M9" i="33" l="1"/>
  <c r="M9" i="40"/>
  <c r="M6" i="40"/>
  <c r="R7" i="40"/>
  <c r="R7" i="33"/>
  <c r="S17" i="4"/>
  <c r="R7" i="34"/>
  <c r="M18" i="4"/>
  <c r="N15" i="4"/>
  <c r="M6" i="33"/>
  <c r="N5" i="40" l="1"/>
  <c r="S7" i="40"/>
  <c r="S7" i="34"/>
  <c r="S7" i="33"/>
  <c r="M8" i="40"/>
  <c r="M20" i="4"/>
  <c r="M10" i="34" s="1"/>
  <c r="N16" i="4"/>
  <c r="N19" i="4" s="1"/>
  <c r="N5" i="33"/>
  <c r="M8" i="33"/>
  <c r="N9" i="33" l="1"/>
  <c r="N9" i="40"/>
  <c r="N6" i="40"/>
  <c r="M10" i="40"/>
  <c r="O15" i="4"/>
  <c r="N18" i="4"/>
  <c r="N6" i="33"/>
  <c r="M10" i="33"/>
  <c r="O5" i="40" l="1"/>
  <c r="N8" i="40"/>
  <c r="N20" i="4"/>
  <c r="N10" i="34" s="1"/>
  <c r="N8" i="33"/>
  <c r="O5" i="33"/>
  <c r="O16" i="4"/>
  <c r="O19" i="4" s="1"/>
  <c r="O5" i="34"/>
  <c r="O9" i="40" l="1"/>
  <c r="O9" i="34"/>
  <c r="O9" i="33"/>
  <c r="O6" i="40"/>
  <c r="N10" i="40"/>
  <c r="O6" i="33"/>
  <c r="P15" i="4"/>
  <c r="O18" i="4"/>
  <c r="O6" i="34"/>
  <c r="N10" i="33"/>
  <c r="P5" i="40" l="1"/>
  <c r="N132" i="33"/>
  <c r="O8" i="40"/>
  <c r="O20" i="4"/>
  <c r="P5" i="33"/>
  <c r="P16" i="4"/>
  <c r="P19" i="4" s="1"/>
  <c r="P5" i="34"/>
  <c r="O8" i="33"/>
  <c r="O8" i="34"/>
  <c r="P9" i="34" l="1"/>
  <c r="P9" i="33"/>
  <c r="P9" i="40"/>
  <c r="P6" i="40"/>
  <c r="O10" i="40"/>
  <c r="O10" i="33"/>
  <c r="O10" i="34"/>
  <c r="P6" i="33"/>
  <c r="Q15" i="4"/>
  <c r="P18" i="4"/>
  <c r="P6" i="34"/>
  <c r="O58" i="34" l="1"/>
  <c r="O146" i="33"/>
  <c r="C143" i="33" s="1"/>
  <c r="Q5" i="40"/>
  <c r="O132" i="33"/>
  <c r="P8" i="40"/>
  <c r="P20" i="4"/>
  <c r="P8" i="33"/>
  <c r="P8" i="34"/>
  <c r="Q16" i="4"/>
  <c r="Q19" i="4" s="1"/>
  <c r="Q5" i="34"/>
  <c r="Q5" i="33"/>
  <c r="Q9" i="33" l="1"/>
  <c r="Q9" i="40"/>
  <c r="Q9" i="34"/>
  <c r="F48" i="43"/>
  <c r="F44" i="43"/>
  <c r="F40" i="43"/>
  <c r="F36" i="43"/>
  <c r="F81" i="43"/>
  <c r="F77" i="43"/>
  <c r="F73" i="43"/>
  <c r="F69" i="43"/>
  <c r="F65" i="43"/>
  <c r="F61" i="43"/>
  <c r="F58" i="43"/>
  <c r="F51" i="43"/>
  <c r="F47" i="43"/>
  <c r="F43" i="43"/>
  <c r="F39" i="43"/>
  <c r="F80" i="43"/>
  <c r="F76" i="43"/>
  <c r="F72" i="43"/>
  <c r="F68" i="43"/>
  <c r="F64" i="43"/>
  <c r="F60" i="43"/>
  <c r="F50" i="43"/>
  <c r="F46" i="43"/>
  <c r="F42" i="43"/>
  <c r="F38" i="43"/>
  <c r="F83" i="43"/>
  <c r="F79" i="43"/>
  <c r="F75" i="43"/>
  <c r="F71" i="43"/>
  <c r="F67" i="43"/>
  <c r="F63" i="43"/>
  <c r="F59" i="43"/>
  <c r="H11" i="43"/>
  <c r="F49" i="43"/>
  <c r="F45" i="43"/>
  <c r="F41" i="43"/>
  <c r="F37" i="43"/>
  <c r="F82" i="43"/>
  <c r="F78" i="43"/>
  <c r="F74" i="43"/>
  <c r="F70" i="43"/>
  <c r="F66" i="43"/>
  <c r="F62" i="43"/>
  <c r="F84" i="43"/>
  <c r="G29" i="43"/>
  <c r="F29" i="43" s="1"/>
  <c r="G27" i="43"/>
  <c r="G28" i="43"/>
  <c r="Q6" i="40"/>
  <c r="P10" i="40"/>
  <c r="P28" i="40" s="1"/>
  <c r="R15" i="4"/>
  <c r="Q6" i="34"/>
  <c r="Q18" i="4"/>
  <c r="Q6" i="33"/>
  <c r="P10" i="33"/>
  <c r="P26" i="33" s="1"/>
  <c r="P10" i="34"/>
  <c r="G37" i="43" l="1"/>
  <c r="G48" i="43"/>
  <c r="G41" i="43"/>
  <c r="G36" i="43"/>
  <c r="G45" i="43"/>
  <c r="G46" i="43"/>
  <c r="G39" i="43"/>
  <c r="G40" i="43"/>
  <c r="G38" i="43"/>
  <c r="G47" i="43"/>
  <c r="G42" i="43"/>
  <c r="G51" i="43"/>
  <c r="G49" i="43"/>
  <c r="G50" i="43"/>
  <c r="G43" i="43"/>
  <c r="G44" i="43"/>
  <c r="G60" i="43"/>
  <c r="G81" i="43"/>
  <c r="G84" i="43"/>
  <c r="G75" i="43"/>
  <c r="G64" i="43"/>
  <c r="G62" i="43"/>
  <c r="G78" i="43"/>
  <c r="G63" i="43"/>
  <c r="G79" i="43"/>
  <c r="G68" i="43"/>
  <c r="G58" i="43"/>
  <c r="G73" i="43"/>
  <c r="G70" i="43"/>
  <c r="G71" i="43"/>
  <c r="G76" i="43"/>
  <c r="G65" i="43"/>
  <c r="G74" i="43"/>
  <c r="G59" i="43"/>
  <c r="G80" i="43"/>
  <c r="G69" i="43"/>
  <c r="G66" i="43"/>
  <c r="G82" i="43"/>
  <c r="G67" i="43"/>
  <c r="G83" i="43"/>
  <c r="G72" i="43"/>
  <c r="G61" i="43"/>
  <c r="G77" i="43"/>
  <c r="F28" i="43"/>
  <c r="F27" i="43"/>
  <c r="P58" i="34"/>
  <c r="P85" i="33"/>
  <c r="P205" i="33"/>
  <c r="R5" i="40"/>
  <c r="P132" i="33"/>
  <c r="Q8" i="40"/>
  <c r="Q20" i="4"/>
  <c r="Q8" i="34"/>
  <c r="Q8" i="33"/>
  <c r="R5" i="34"/>
  <c r="R5" i="33"/>
  <c r="R16" i="4"/>
  <c r="R19" i="4" s="1"/>
  <c r="R9" i="33" l="1"/>
  <c r="R9" i="40"/>
  <c r="R9" i="34"/>
  <c r="R6" i="40"/>
  <c r="Q10" i="40"/>
  <c r="Q28" i="40" s="1"/>
  <c r="Q10" i="34"/>
  <c r="Q10" i="33"/>
  <c r="Q26" i="33" s="1"/>
  <c r="S15" i="4"/>
  <c r="R6" i="34"/>
  <c r="R18" i="4"/>
  <c r="R6" i="33"/>
  <c r="Q58" i="34" l="1"/>
  <c r="Q85" i="33"/>
  <c r="Q205" i="33"/>
  <c r="S5" i="40"/>
  <c r="Q132" i="33"/>
  <c r="R8" i="40"/>
  <c r="R20" i="4"/>
  <c r="R8" i="34"/>
  <c r="R8" i="33"/>
  <c r="S5" i="33"/>
  <c r="S16" i="4"/>
  <c r="S19" i="4" s="1"/>
  <c r="S5" i="34"/>
  <c r="S9" i="40" l="1"/>
  <c r="S9" i="34"/>
  <c r="S9" i="33"/>
  <c r="S6" i="40"/>
  <c r="R10" i="40"/>
  <c r="R28" i="40" s="1"/>
  <c r="R10" i="34"/>
  <c r="R10" i="33"/>
  <c r="R26" i="33" s="1"/>
  <c r="S18" i="4"/>
  <c r="S6" i="33"/>
  <c r="S6" i="34"/>
  <c r="R58" i="34" l="1"/>
  <c r="R85" i="33"/>
  <c r="R205" i="33"/>
  <c r="R132" i="33"/>
  <c r="S8" i="40"/>
  <c r="S20" i="4"/>
  <c r="S8" i="33"/>
  <c r="S8" i="34"/>
  <c r="S10" i="40" l="1"/>
  <c r="S28" i="40" s="1"/>
  <c r="S10" i="33"/>
  <c r="S26" i="33" s="1"/>
  <c r="S10" i="34"/>
  <c r="S58" i="34" l="1"/>
  <c r="S85" i="33"/>
  <c r="A121" i="33" s="1"/>
  <c r="S205" i="33"/>
  <c r="S132" i="33"/>
  <c r="O139" i="33" l="1"/>
  <c r="O141" i="33" s="1"/>
  <c r="P139" i="33"/>
  <c r="P141" i="33" l="1"/>
  <c r="P66" i="34"/>
  <c r="P36" i="40" s="1"/>
  <c r="P96" i="34"/>
  <c r="P66" i="40" s="1"/>
  <c r="P67" i="34"/>
  <c r="Q67" i="34" s="1"/>
  <c r="P83" i="34"/>
  <c r="P101" i="34"/>
  <c r="P68" i="34"/>
  <c r="P84" i="34"/>
  <c r="Q84" i="34" s="1"/>
  <c r="P102" i="34"/>
  <c r="P78" i="34"/>
  <c r="P69" i="34"/>
  <c r="P39" i="40" s="1"/>
  <c r="P85" i="34"/>
  <c r="Q85" i="34" s="1"/>
  <c r="P103" i="34"/>
  <c r="P108" i="34"/>
  <c r="P74" i="34"/>
  <c r="P104" i="34"/>
  <c r="Q104" i="34" s="1"/>
  <c r="P71" i="34"/>
  <c r="P87" i="34"/>
  <c r="P105" i="34"/>
  <c r="P72" i="34"/>
  <c r="Q72" i="34" s="1"/>
  <c r="P88" i="34"/>
  <c r="P106" i="34"/>
  <c r="P86" i="34"/>
  <c r="P73" i="34"/>
  <c r="Q73" i="34" s="1"/>
  <c r="P89" i="34"/>
  <c r="P107" i="34"/>
  <c r="P81" i="34"/>
  <c r="P82" i="34"/>
  <c r="Q82" i="34" s="1"/>
  <c r="P61" i="34"/>
  <c r="P75" i="34"/>
  <c r="P91" i="34"/>
  <c r="P109" i="34"/>
  <c r="Q109" i="34" s="1"/>
  <c r="P76" i="34"/>
  <c r="P92" i="34"/>
  <c r="P110" i="34"/>
  <c r="P80" i="40" s="1"/>
  <c r="P100" i="34"/>
  <c r="Q100" i="34" s="1"/>
  <c r="P77" i="34"/>
  <c r="P95" i="34"/>
  <c r="P90" i="34"/>
  <c r="P60" i="40" s="1"/>
  <c r="P63" i="34"/>
  <c r="Q63" i="34" s="1"/>
  <c r="P79" i="34"/>
  <c r="P97" i="34"/>
  <c r="P62" i="34"/>
  <c r="P80" i="34"/>
  <c r="Q80" i="34" s="1"/>
  <c r="P98" i="34"/>
  <c r="P70" i="34"/>
  <c r="P99" i="34"/>
  <c r="P68" i="40"/>
  <c r="P31" i="40"/>
  <c r="P32" i="40"/>
  <c r="P41" i="40"/>
  <c r="P57" i="40"/>
  <c r="P46" i="40"/>
  <c r="P62" i="40"/>
  <c r="P51" i="40"/>
  <c r="P40" i="40"/>
  <c r="P56" i="40"/>
  <c r="P45" i="40"/>
  <c r="P61" i="40"/>
  <c r="P44" i="40"/>
  <c r="P49" i="40"/>
  <c r="P38" i="40"/>
  <c r="P59" i="40"/>
  <c r="P48" i="40"/>
  <c r="P53" i="40"/>
  <c r="P58" i="40"/>
  <c r="P47" i="40"/>
  <c r="P73" i="40"/>
  <c r="P65" i="40"/>
  <c r="P75" i="40"/>
  <c r="P77" i="40"/>
  <c r="P67" i="40"/>
  <c r="P78" i="40"/>
  <c r="P71" i="40"/>
  <c r="P72" i="40"/>
  <c r="P69" i="40"/>
  <c r="P76" i="40"/>
  <c r="Q139" i="33"/>
  <c r="Q141" i="33" s="1"/>
  <c r="P70" i="40" l="1"/>
  <c r="P79" i="40"/>
  <c r="P42" i="40"/>
  <c r="P43" i="40"/>
  <c r="P50" i="40"/>
  <c r="Q99" i="34"/>
  <c r="Q62" i="34"/>
  <c r="Q90" i="34"/>
  <c r="Q110" i="34"/>
  <c r="Q91" i="34"/>
  <c r="Q81" i="34"/>
  <c r="Q86" i="34"/>
  <c r="Q105" i="34"/>
  <c r="Q74" i="34"/>
  <c r="Q44" i="40" s="1"/>
  <c r="Q69" i="34"/>
  <c r="Q39" i="40" s="1"/>
  <c r="Q68" i="34"/>
  <c r="Q96" i="34"/>
  <c r="P74" i="40"/>
  <c r="P37" i="40"/>
  <c r="P54" i="40"/>
  <c r="P33" i="40"/>
  <c r="Q70" i="34"/>
  <c r="Q40" i="40" s="1"/>
  <c r="Q97" i="34"/>
  <c r="Q95" i="34"/>
  <c r="Q92" i="34"/>
  <c r="Q62" i="40" s="1"/>
  <c r="Q75" i="34"/>
  <c r="Q107" i="34"/>
  <c r="Q77" i="40" s="1"/>
  <c r="Q106" i="34"/>
  <c r="Q87" i="34"/>
  <c r="Q108" i="34"/>
  <c r="Q78" i="34"/>
  <c r="Q101" i="34"/>
  <c r="Q71" i="40" s="1"/>
  <c r="Q66" i="34"/>
  <c r="Q36" i="40" s="1"/>
  <c r="P55" i="40"/>
  <c r="P52" i="40"/>
  <c r="Q98" i="34"/>
  <c r="Q79" i="34"/>
  <c r="Q49" i="40" s="1"/>
  <c r="Q77" i="34"/>
  <c r="Q76" i="34"/>
  <c r="Q61" i="34"/>
  <c r="Q89" i="34"/>
  <c r="Q88" i="34"/>
  <c r="Q71" i="34"/>
  <c r="Q41" i="40" s="1"/>
  <c r="Q103" i="34"/>
  <c r="Q102" i="34"/>
  <c r="Q83" i="34"/>
  <c r="P112" i="34" a="1"/>
  <c r="P112" i="34" s="1"/>
  <c r="Q43" i="40"/>
  <c r="Q32" i="40"/>
  <c r="Q33" i="40"/>
  <c r="Q50" i="40"/>
  <c r="Q57" i="40"/>
  <c r="Q47" i="40"/>
  <c r="Q37" i="40"/>
  <c r="Q54" i="40"/>
  <c r="Q61" i="40"/>
  <c r="Q51" i="40"/>
  <c r="Q48" i="40"/>
  <c r="Q55" i="40"/>
  <c r="Q45" i="40"/>
  <c r="Q52" i="40"/>
  <c r="Q42" i="40"/>
  <c r="Q59" i="40"/>
  <c r="Q56" i="40"/>
  <c r="Q46" i="40"/>
  <c r="Q66" i="40"/>
  <c r="Q79" i="40"/>
  <c r="Q78" i="40"/>
  <c r="Q70" i="40"/>
  <c r="Q72" i="40"/>
  <c r="Q67" i="40"/>
  <c r="Q68" i="40"/>
  <c r="Q75" i="40"/>
  <c r="Q80" i="40"/>
  <c r="Q69" i="40"/>
  <c r="Q74" i="40"/>
  <c r="S139" i="33"/>
  <c r="S141" i="33" s="1"/>
  <c r="R139" i="33"/>
  <c r="R141" i="33" s="1"/>
  <c r="P82" i="40" l="1" a="1"/>
  <c r="P82" i="40" s="1"/>
  <c r="R61" i="34"/>
  <c r="S61" i="34" s="1"/>
  <c r="R104" i="34"/>
  <c r="S104" i="34" s="1"/>
  <c r="R95" i="34"/>
  <c r="S95" i="34" s="1"/>
  <c r="R68" i="34"/>
  <c r="S68" i="34" s="1"/>
  <c r="R90" i="34"/>
  <c r="S90" i="34" s="1"/>
  <c r="R71" i="34"/>
  <c r="S71" i="34" s="1"/>
  <c r="R76" i="34"/>
  <c r="S76" i="34" s="1"/>
  <c r="R82" i="34"/>
  <c r="S82" i="34" s="1"/>
  <c r="R78" i="34"/>
  <c r="S78" i="34" s="1"/>
  <c r="R107" i="34"/>
  <c r="S107" i="34" s="1"/>
  <c r="R97" i="34"/>
  <c r="S97" i="34" s="1"/>
  <c r="R109" i="34"/>
  <c r="S109" i="34" s="1"/>
  <c r="R69" i="34"/>
  <c r="S69" i="34" s="1"/>
  <c r="R81" i="34"/>
  <c r="S81" i="34" s="1"/>
  <c r="R62" i="34"/>
  <c r="S62" i="34" s="1"/>
  <c r="R67" i="34"/>
  <c r="S67" i="34" s="1"/>
  <c r="R103" i="34"/>
  <c r="S103" i="34" s="1"/>
  <c r="R106" i="34"/>
  <c r="S106" i="34" s="1"/>
  <c r="R86" i="34"/>
  <c r="S86" i="34" s="1"/>
  <c r="Q73" i="40"/>
  <c r="Q38" i="40"/>
  <c r="Q76" i="40"/>
  <c r="Q60" i="40"/>
  <c r="R83" i="34"/>
  <c r="S83" i="34" s="1"/>
  <c r="R88" i="34"/>
  <c r="S88" i="34" s="1"/>
  <c r="R77" i="34"/>
  <c r="S77" i="34" s="1"/>
  <c r="R63" i="34"/>
  <c r="S63" i="34" s="1"/>
  <c r="R108" i="34"/>
  <c r="S108" i="34" s="1"/>
  <c r="R75" i="34"/>
  <c r="S75" i="34" s="1"/>
  <c r="R70" i="34"/>
  <c r="S70" i="34" s="1"/>
  <c r="R80" i="34"/>
  <c r="S80" i="34" s="1"/>
  <c r="R74" i="34"/>
  <c r="S74" i="34" s="1"/>
  <c r="R91" i="34"/>
  <c r="S91" i="34" s="1"/>
  <c r="R99" i="34"/>
  <c r="S99" i="34" s="1"/>
  <c r="R72" i="34"/>
  <c r="S72" i="34" s="1"/>
  <c r="R98" i="34"/>
  <c r="S98" i="34" s="1"/>
  <c r="R101" i="34"/>
  <c r="S101" i="34" s="1"/>
  <c r="R73" i="34"/>
  <c r="S73" i="34" s="1"/>
  <c r="Q65" i="40"/>
  <c r="Q58" i="40"/>
  <c r="Q31" i="40"/>
  <c r="Q53" i="40"/>
  <c r="R102" i="34"/>
  <c r="S102" i="34" s="1"/>
  <c r="R89" i="34"/>
  <c r="S89" i="34" s="1"/>
  <c r="R79" i="34"/>
  <c r="S79" i="34" s="1"/>
  <c r="R84" i="34"/>
  <c r="S84" i="34" s="1"/>
  <c r="R66" i="34"/>
  <c r="S66" i="34" s="1"/>
  <c r="R87" i="34"/>
  <c r="S87" i="34" s="1"/>
  <c r="R92" i="34"/>
  <c r="S92" i="34" s="1"/>
  <c r="R85" i="34"/>
  <c r="S85" i="34" s="1"/>
  <c r="R96" i="34"/>
  <c r="S96" i="34" s="1"/>
  <c r="R105" i="34"/>
  <c r="S105" i="34" s="1"/>
  <c r="R110" i="34"/>
  <c r="S110" i="34" s="1"/>
  <c r="R100" i="34"/>
  <c r="S100" i="34" s="1"/>
  <c r="A141" i="33"/>
  <c r="A1" i="33" s="1"/>
  <c r="H16" i="25" s="1"/>
  <c r="Q112" i="34" a="1"/>
  <c r="Q112" i="34" s="1"/>
  <c r="R43" i="40"/>
  <c r="R32" i="40"/>
  <c r="R31" i="40"/>
  <c r="R33" i="40"/>
  <c r="R38" i="40"/>
  <c r="R41" i="40"/>
  <c r="R54" i="40"/>
  <c r="R49" i="40"/>
  <c r="R62" i="40"/>
  <c r="R51" i="40"/>
  <c r="R37" i="40"/>
  <c r="R46" i="40"/>
  <c r="R59" i="40"/>
  <c r="R45" i="40"/>
  <c r="R58" i="40"/>
  <c r="R47" i="40"/>
  <c r="R60" i="40"/>
  <c r="R56" i="40"/>
  <c r="R42" i="40"/>
  <c r="R55" i="40"/>
  <c r="R53" i="40"/>
  <c r="R44" i="40"/>
  <c r="R80" i="40"/>
  <c r="R68" i="40"/>
  <c r="R78" i="40"/>
  <c r="R79" i="40"/>
  <c r="R69" i="40"/>
  <c r="R75" i="40"/>
  <c r="R73" i="40"/>
  <c r="R72" i="40"/>
  <c r="R65" i="40"/>
  <c r="R77" i="40" l="1"/>
  <c r="R74" i="40"/>
  <c r="R76" i="40"/>
  <c r="R67" i="40"/>
  <c r="R66" i="40"/>
  <c r="Q82" i="40" a="1"/>
  <c r="Q82" i="40" s="1"/>
  <c r="R50" i="40"/>
  <c r="R39" i="40"/>
  <c r="R36" i="40"/>
  <c r="R70" i="40"/>
  <c r="R71" i="40"/>
  <c r="R57" i="40"/>
  <c r="R61" i="40"/>
  <c r="R48" i="40"/>
  <c r="R40" i="40"/>
  <c r="R52" i="40"/>
  <c r="R112" i="34" a="1"/>
  <c r="R112" i="34" s="1"/>
  <c r="S75" i="40"/>
  <c r="S68" i="40"/>
  <c r="S45" i="40"/>
  <c r="S37" i="40"/>
  <c r="S49" i="40"/>
  <c r="S41" i="40"/>
  <c r="S77" i="40"/>
  <c r="S69" i="40"/>
  <c r="S78" i="40"/>
  <c r="S80" i="40"/>
  <c r="S55" i="40"/>
  <c r="S47" i="40"/>
  <c r="S59" i="40"/>
  <c r="S51" i="40"/>
  <c r="S36" i="40"/>
  <c r="S38" i="40"/>
  <c r="S31" i="40"/>
  <c r="S73" i="40"/>
  <c r="S53" i="40"/>
  <c r="S33" i="40"/>
  <c r="S71" i="40"/>
  <c r="S40" i="40"/>
  <c r="S79" i="40"/>
  <c r="S60" i="40"/>
  <c r="S65" i="40"/>
  <c r="S70" i="40"/>
  <c r="S74" i="40"/>
  <c r="S57" i="40"/>
  <c r="S42" i="40"/>
  <c r="S61" i="40"/>
  <c r="S46" i="40"/>
  <c r="S48" i="40"/>
  <c r="S52" i="40"/>
  <c r="S32" i="40"/>
  <c r="S72" i="40"/>
  <c r="S67" i="40"/>
  <c r="S66" i="40"/>
  <c r="S76" i="40"/>
  <c r="S44" i="40"/>
  <c r="S56" i="40"/>
  <c r="S58" i="40"/>
  <c r="S50" i="40"/>
  <c r="S62" i="40"/>
  <c r="S54" i="40"/>
  <c r="S39" i="40"/>
  <c r="S43" i="40"/>
  <c r="R82" i="40" l="1" a="1"/>
  <c r="R82" i="40" s="1"/>
  <c r="S82" i="40" a="1"/>
  <c r="S82" i="40" s="1"/>
  <c r="H20" i="40"/>
  <c r="H21" i="40"/>
  <c r="H19" i="40"/>
  <c r="S112" i="34" a="1"/>
  <c r="S112" i="34" s="1"/>
  <c r="I21" i="40" l="1"/>
  <c r="A82" i="40"/>
  <c r="H23" i="40" l="1"/>
  <c r="A112" i="34"/>
  <c r="A23" i="40" l="1"/>
  <c r="A1" i="34"/>
  <c r="H17" i="25" s="1"/>
  <c r="A1" i="40" l="1"/>
  <c r="H18" i="25" s="1"/>
  <c r="H21" i="25" s="1"/>
  <c r="H8" i="25" s="1"/>
  <c r="H10" i="25" s="1"/>
  <c r="B2" i="34" l="1"/>
  <c r="B2" i="4"/>
  <c r="B2" i="30"/>
  <c r="B2" i="33"/>
  <c r="B2" i="28"/>
  <c r="B2" i="40"/>
  <c r="B2" i="2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<sst xmlns="http://schemas.openxmlformats.org/spreadsheetml/2006/main" count="1355" uniqueCount="273">
  <si>
    <t>General Model Constant</t>
  </si>
  <si>
    <t>Name</t>
  </si>
  <si>
    <t>Mths_In_Mth</t>
  </si>
  <si>
    <t>Mths_In_Qtr</t>
  </si>
  <si>
    <t>Mths_In_Yr</t>
  </si>
  <si>
    <t>Heading 1</t>
  </si>
  <si>
    <t>Ok</t>
  </si>
  <si>
    <t>Error</t>
  </si>
  <si>
    <t>Half</t>
  </si>
  <si>
    <t>Yes</t>
  </si>
  <si>
    <t>No</t>
  </si>
  <si>
    <t>Yes_No</t>
  </si>
  <si>
    <t>Error Checks</t>
  </si>
  <si>
    <t>Days_In_Wk</t>
  </si>
  <si>
    <t>Calculations</t>
  </si>
  <si>
    <t>Assumptions</t>
  </si>
  <si>
    <t>Checks</t>
  </si>
  <si>
    <t>Error Message</t>
  </si>
  <si>
    <t>Model Title Message</t>
  </si>
  <si>
    <t>Alert Message</t>
  </si>
  <si>
    <t>Model Message</t>
  </si>
  <si>
    <t>Input</t>
  </si>
  <si>
    <t>Output</t>
  </si>
  <si>
    <t>Cells containing input texts/numbers NOT intended to be changed by model users</t>
  </si>
  <si>
    <t>Cells containing formulae NOT intended to be changed by model users</t>
  </si>
  <si>
    <t>Heading 2</t>
  </si>
  <si>
    <t>Cells containing assumptions intended to be manipulated by model users</t>
  </si>
  <si>
    <t>Level 1 heading NOT intended to be changed by model users</t>
  </si>
  <si>
    <t>Level 2 heading NOT intended to be changed by model users</t>
  </si>
  <si>
    <t>Model Developer:</t>
  </si>
  <si>
    <t>Purpose of the Model:</t>
  </si>
  <si>
    <t>Model Settings</t>
  </si>
  <si>
    <t>Model Checks</t>
  </si>
  <si>
    <t>End</t>
  </si>
  <si>
    <t>Qtrs_In_Yr</t>
  </si>
  <si>
    <t>N/A</t>
  </si>
  <si>
    <t>NA</t>
  </si>
  <si>
    <t>Model Legend:</t>
  </si>
  <si>
    <t>Cells where inputs or outputs are not applicable</t>
  </si>
  <si>
    <t>Cells containing a drop down list for users to select inputs</t>
  </si>
  <si>
    <t>Cells containing a hyperlink to another part of the workbook</t>
  </si>
  <si>
    <t>Cells representing there is an error in the nominated area of the workbook</t>
  </si>
  <si>
    <t>Cells representing there are no errors in the nominated area of the workbook</t>
  </si>
  <si>
    <t>Cells containing a link from external workbooks</t>
  </si>
  <si>
    <t>Drop Down</t>
  </si>
  <si>
    <t>Hyperlink</t>
  </si>
  <si>
    <t>Model Lookups</t>
  </si>
  <si>
    <t>Days_In_Yr</t>
  </si>
  <si>
    <t>Client Lookups</t>
  </si>
  <si>
    <t>Total Errors</t>
  </si>
  <si>
    <t>Table of Contents</t>
  </si>
  <si>
    <t>Inputs</t>
  </si>
  <si>
    <t>Outputs</t>
  </si>
  <si>
    <t>Appendix</t>
  </si>
  <si>
    <t>Go to Cover Sheet</t>
  </si>
  <si>
    <t>Period Counter</t>
  </si>
  <si>
    <t>Period Start Date</t>
  </si>
  <si>
    <t>Period End Date</t>
  </si>
  <si>
    <t>Model Start Date</t>
  </si>
  <si>
    <t>Periodicity Inputs</t>
  </si>
  <si>
    <t>Time Series Headings</t>
  </si>
  <si>
    <t>Base Year</t>
  </si>
  <si>
    <t>Year</t>
  </si>
  <si>
    <t>Actual</t>
  </si>
  <si>
    <t>Source</t>
  </si>
  <si>
    <t>Unit</t>
  </si>
  <si>
    <t>Basis</t>
  </si>
  <si>
    <t>Timing</t>
  </si>
  <si>
    <t>Real $2018</t>
  </si>
  <si>
    <t>Nominal</t>
  </si>
  <si>
    <t>LU_Basis</t>
  </si>
  <si>
    <t>Units</t>
  </si>
  <si>
    <t>Percent</t>
  </si>
  <si>
    <t>Dollars</t>
  </si>
  <si>
    <t>Factor</t>
  </si>
  <si>
    <t>$Millions</t>
  </si>
  <si>
    <t>$000's</t>
  </si>
  <si>
    <t>Millions</t>
  </si>
  <si>
    <t>Thousands</t>
  </si>
  <si>
    <t>LU_Units</t>
  </si>
  <si>
    <t>Start year</t>
  </si>
  <si>
    <t>Mid year</t>
  </si>
  <si>
    <t>End year</t>
  </si>
  <si>
    <t>LU_Timing</t>
  </si>
  <si>
    <t>LU_Timing_Value</t>
  </si>
  <si>
    <t>End_year</t>
  </si>
  <si>
    <t>Mid_year</t>
  </si>
  <si>
    <t>Start_year</t>
  </si>
  <si>
    <t>Calculated</t>
  </si>
  <si>
    <t>Not Applicable</t>
  </si>
  <si>
    <t>Number</t>
  </si>
  <si>
    <t>Km</t>
  </si>
  <si>
    <t>Kilometres</t>
  </si>
  <si>
    <t>Disclaimer:</t>
  </si>
  <si>
    <t>This model is confidential information of, and is owned by, Power and Water Corporation ABN 15 947 352 360 (PWC).  It may not be disclosed to, or used or relied on by, any person without the consent of PWC.
PWC has not verified the inputs or the outputs of this model and makes no representation or warranty as to the completeness, accuracy, reliability or appropriateness of the model, its inputs and outputs (including any forward looking statements) or how it functions.  To the extent permitted by law, any person using or relying on this model or its outputs does so at their own risk and agrees that PWC will not be liable to any person for any loss or damage of any kind arising out of or in any way connected with the use of this model (including negligence).   The references to PWC in this disclaimer includes their respective directors, officers, employees, contractors, advisers or agents.</t>
  </si>
  <si>
    <t>Inputs - Prices</t>
  </si>
  <si>
    <t>Tariff Class</t>
  </si>
  <si>
    <t>$/month/meter</t>
  </si>
  <si>
    <t>$/day/per NMI</t>
  </si>
  <si>
    <t>¢/kWh</t>
  </si>
  <si>
    <t>$/kVA</t>
  </si>
  <si>
    <t>PWC</t>
  </si>
  <si>
    <t>NMI-days</t>
  </si>
  <si>
    <t>Meter-month</t>
  </si>
  <si>
    <t>kWh</t>
  </si>
  <si>
    <t>kVA</t>
  </si>
  <si>
    <t>NMI</t>
  </si>
  <si>
    <t>Dollars_to_Thousands</t>
  </si>
  <si>
    <t>Cents_to_Dollars</t>
  </si>
  <si>
    <t>Item</t>
  </si>
  <si>
    <t>Inflation rate</t>
  </si>
  <si>
    <t>AER</t>
  </si>
  <si>
    <t>Real $2020</t>
  </si>
  <si>
    <t>Real $2019</t>
  </si>
  <si>
    <t>Real2018</t>
  </si>
  <si>
    <t>Real2019</t>
  </si>
  <si>
    <t>Real2020</t>
  </si>
  <si>
    <t>Tariff</t>
  </si>
  <si>
    <t>Power and Water Corporation</t>
  </si>
  <si>
    <t>Compliance Checks</t>
  </si>
  <si>
    <t>FY</t>
  </si>
  <si>
    <t>Check for errors</t>
  </si>
  <si>
    <t>Summary</t>
  </si>
  <si>
    <t>Determination Values</t>
  </si>
  <si>
    <t>Model Diagram</t>
  </si>
  <si>
    <t>Inflation</t>
  </si>
  <si>
    <t>ABS</t>
  </si>
  <si>
    <t>Consumer Price Index</t>
  </si>
  <si>
    <t>Quarter</t>
  </si>
  <si>
    <t>Forecast Inflation (from final decision)</t>
  </si>
  <si>
    <t>Basis of charging</t>
  </si>
  <si>
    <t/>
  </si>
  <si>
    <t>$/day/meter</t>
  </si>
  <si>
    <t>Dedicated CT and VT meters</t>
  </si>
  <si>
    <t>3 Phase Meters</t>
  </si>
  <si>
    <t>1 Phase Meters (including Prepayment)</t>
  </si>
  <si>
    <t>Annual Charge</t>
  </si>
  <si>
    <t>Price</t>
  </si>
  <si>
    <t>Metering service provision charges (for Types 1 – 6 meters)</t>
  </si>
  <si>
    <t>¢/day/NMI</t>
  </si>
  <si>
    <t xml:space="preserve">Real </t>
  </si>
  <si>
    <t>No Errors Found</t>
  </si>
  <si>
    <t>Output - Pricing Proposal</t>
  </si>
  <si>
    <t>Excluding GST</t>
  </si>
  <si>
    <t>GST Adjustment</t>
  </si>
  <si>
    <t>Including GST</t>
  </si>
  <si>
    <t>Index (Weighted Average for the eight capital cities)</t>
  </si>
  <si>
    <t>Tariff Compliance Year:</t>
  </si>
  <si>
    <t>FY21</t>
  </si>
  <si>
    <t>Revenue Input Type</t>
  </si>
  <si>
    <t>Estimate</t>
  </si>
  <si>
    <t>LU_Revenue_Input</t>
  </si>
  <si>
    <t>No Input</t>
  </si>
  <si>
    <t>No_Input</t>
  </si>
  <si>
    <t>The purpose of this model is to assesses tariffs for alternative control services (ACS) applicable to Power and Water Corporation customers and demonstrate compliance with AER requirements.</t>
  </si>
  <si>
    <t>Fee Based Services</t>
  </si>
  <si>
    <t>Metering Services</t>
  </si>
  <si>
    <t>Disconnection (and final read)</t>
  </si>
  <si>
    <t>Reconnection</t>
  </si>
  <si>
    <t>Reconnection - after hours</t>
  </si>
  <si>
    <t>Temporary disconnection and reconnection - physical dismantling</t>
  </si>
  <si>
    <t>Provision of 3 phase service</t>
  </si>
  <si>
    <t>Standard temporary builder’s connection</t>
  </si>
  <si>
    <t>Temporary disconnection and reconnection - no dismantling</t>
  </si>
  <si>
    <t>Complex disconnection</t>
  </si>
  <si>
    <t>Wasted visit fee</t>
  </si>
  <si>
    <t>Special meter test</t>
  </si>
  <si>
    <t>Exchange or replace meter – three phase</t>
  </si>
  <si>
    <t>Exchange or replace meter - single phase</t>
  </si>
  <si>
    <t>Relocation of meter</t>
  </si>
  <si>
    <t>Remove meter</t>
  </si>
  <si>
    <t>General meter inspection</t>
  </si>
  <si>
    <t>Special meter read - no appointment</t>
  </si>
  <si>
    <t>Special meter read - appointment</t>
  </si>
  <si>
    <t>Class 3 PV Assessment</t>
  </si>
  <si>
    <t>Meter program change</t>
  </si>
  <si>
    <t>Historical data requests</t>
  </si>
  <si>
    <t>Standing data requests</t>
  </si>
  <si>
    <t>Customer transfers</t>
  </si>
  <si>
    <t>Network tariff change request</t>
  </si>
  <si>
    <t>Prepayment Vending Charge</t>
  </si>
  <si>
    <t>Prepayment Meter Support Charge</t>
  </si>
  <si>
    <t xml:space="preserve">Installation of Minor Apparatus </t>
  </si>
  <si>
    <t>Class 1 &amp; 2 PV service</t>
  </si>
  <si>
    <t>Service Category</t>
  </si>
  <si>
    <t>Connection Services</t>
  </si>
  <si>
    <t>De-energisation / Re-energisation</t>
  </si>
  <si>
    <t>Meter Servicing (Fee based)</t>
  </si>
  <si>
    <t>Non Standard Data Services</t>
  </si>
  <si>
    <t>Miscellaneous services</t>
  </si>
  <si>
    <t>LU_Service_Categories</t>
  </si>
  <si>
    <t>Other</t>
  </si>
  <si>
    <t>Quoted Services</t>
  </si>
  <si>
    <t>Design related services</t>
  </si>
  <si>
    <t>Connection applications</t>
  </si>
  <si>
    <t>Access permits, oversights and facilitation</t>
  </si>
  <si>
    <t>Notices of arrangement and completion notices</t>
  </si>
  <si>
    <t>Network related property services</t>
  </si>
  <si>
    <t>Site establishment services</t>
  </si>
  <si>
    <t>Network safety services</t>
  </si>
  <si>
    <t>Planned interruption - customer request</t>
  </si>
  <si>
    <t>Performance of a statutory right (access prevented)</t>
  </si>
  <si>
    <t>Provision of network related training to third parties</t>
  </si>
  <si>
    <t>Non-standard reporting services</t>
  </si>
  <si>
    <t xml:space="preserve">Services provided for retailer of last resort event </t>
  </si>
  <si>
    <t>Rectification of illegal connections service</t>
  </si>
  <si>
    <t>Network changes at customer or retailer's request</t>
  </si>
  <si>
    <t>Annual prepayment meter licensing fee *</t>
  </si>
  <si>
    <t>Metering Services (Types 1 to 6)</t>
  </si>
  <si>
    <t>LU_Fee_Based_Services</t>
  </si>
  <si>
    <t>LU_Quoted_Services</t>
  </si>
  <si>
    <t>Service</t>
  </si>
  <si>
    <t>Quoted Services | Labour Component</t>
  </si>
  <si>
    <t>Price Caps by Service</t>
  </si>
  <si>
    <t>LU_Metering_Services</t>
  </si>
  <si>
    <t>Price Caps</t>
  </si>
  <si>
    <t>$/Hour</t>
  </si>
  <si>
    <t>X-factors (Years 2 to 5)</t>
  </si>
  <si>
    <t>Calculation - Price Caps</t>
  </si>
  <si>
    <t>PWC Inputs (Years 2 to 5)</t>
  </si>
  <si>
    <t>Prices (Years 2 to 5)</t>
  </si>
  <si>
    <t>Annual Adjustments for ACS Metering and Fee-based Services (Years 2 to 5)</t>
  </si>
  <si>
    <t>Output - Compliance</t>
  </si>
  <si>
    <t>Tariff Year</t>
  </si>
  <si>
    <t>Tariff Year:</t>
  </si>
  <si>
    <t>Days In Year:</t>
  </si>
  <si>
    <t>Days In Year</t>
  </si>
  <si>
    <t>Note: Consistent with the process used for FY20 tariffs, the annual metering charges have been converted to daily charges by dividing them by the number of days in the year.</t>
  </si>
  <si>
    <t>ACS Fee Based Services Pricing Parameters</t>
  </si>
  <si>
    <t>ACS Metering Services Pricing Parameters</t>
  </si>
  <si>
    <t>$/hour</t>
  </si>
  <si>
    <t>$/Request</t>
  </si>
  <si>
    <t>$/request</t>
  </si>
  <si>
    <t>* Cost of Prepayment meter software will be on charged according to customer requirements. Admin rate to be used to process cost recovery.</t>
  </si>
  <si>
    <t>This sheet outputs tables for the pricing proposal.  The prices reflect the tariff year selected below.</t>
  </si>
  <si>
    <t>← Nominate year</t>
  </si>
  <si>
    <t>ACS Pricing Model - Power and Water Corporation</t>
  </si>
  <si>
    <t>This sheet calculates the price caps for each alternative control service, split between metering services (types 1 to 6), fee based services and quoted services.</t>
  </si>
  <si>
    <t>Only the price cap of the labour component for quoted services is calculated. The contractor services and materials components are simply included at cost at the time a service is quoted.</t>
  </si>
  <si>
    <t>The price caps are calculated as per the formulas included in Attachment 13 of the Australian Energy Regulator's draft revenue determination for the 2019-24 period (repeated below), which were adopted in the final determination.</t>
  </si>
  <si>
    <t>$/Year/Meter</t>
  </si>
  <si>
    <t>ACS Quoted Services Pricing Parameters (Labour Component Only)</t>
  </si>
  <si>
    <t xml:space="preserve">This sheet tests whether the proposed prices fall within the calculated price caps. The checks are </t>
  </si>
  <si>
    <t>Quoted Services (Labour Component Only)</t>
  </si>
  <si>
    <t>This sheet inputs the proposed prices for each ACS service along with the data used to calculate the price caps included within the AER's revenue determination for the 2019-24 period.</t>
  </si>
  <si>
    <t>As per the AER's determination, annual adjustments are only allowed for ACS metering and ACS fee based services.</t>
  </si>
  <si>
    <t>This section inputs values from relevant network price determinations, including for annual return on debt updates.  The first sub-section inputs inflation inputs.  The second sub-section inputs the year 1 tariffs for each service.</t>
  </si>
  <si>
    <t>The third sub-section inputs the X-factors for each service.</t>
  </si>
  <si>
    <t>This section inputs values provided by PWC. The first sub-section inputs the proposed prices for years 2 to 5 of the regulatory period. The second sub-section inputs any proposed annual adjustments (e.g. to cover pass-throughs).</t>
  </si>
  <si>
    <t>Fee based service provision charges</t>
  </si>
  <si>
    <t>Quoted services provision charges</t>
  </si>
  <si>
    <t>Note: price caps are rounded to 2 decimal places</t>
  </si>
  <si>
    <t>Note: proposed prices are rounded to 2 decimal places</t>
  </si>
  <si>
    <t>Terms</t>
  </si>
  <si>
    <t xml:space="preserve">Source </t>
  </si>
  <si>
    <t xml:space="preserve">Inflation update </t>
  </si>
  <si>
    <t xml:space="preserve">Consistent with AER prescribed method we have updated inflation forecasts for 2020-21 to reflect the December 2019 ABS updates. Note this is consistent with SCS.  </t>
  </si>
  <si>
    <t>X-factor for metering services (Type 1 to 6)</t>
  </si>
  <si>
    <t>Consistent with AER final decision on page 21 of Attachment 15 (Table 15.7)</t>
  </si>
  <si>
    <t>X-factor re-connection, disconnection and final read</t>
  </si>
  <si>
    <t>Consistent with AER final decision on page 20 of Attachment 15 (Table 15.6)</t>
  </si>
  <si>
    <t>X-factor for all other services to apply to 2020-21</t>
  </si>
  <si>
    <t>Consistent with AER final decision on page on page 20 of Attachment 15 (Table 15.6)</t>
  </si>
  <si>
    <t>ACS pricing parameters</t>
  </si>
  <si>
    <t xml:space="preserve">Indicative price schedule for ACS Metering services (nominal $, excluding GST) </t>
  </si>
  <si>
    <t>Charge</t>
  </si>
  <si>
    <t>Indicative</t>
  </si>
  <si>
    <t>2019‐20</t>
  </si>
  <si>
    <t>2020‐21</t>
  </si>
  <si>
    <t>2021‐22</t>
  </si>
  <si>
    <t>2022‐23</t>
  </si>
  <si>
    <t>2023‐24</t>
  </si>
  <si>
    <t xml:space="preserve">Table 22: Indicative price schedule for ACS Fee based services (nominal $, excluding GST)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</si>
</sst>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8" formatCode="&quot;$&quot;#,##0.00;[Red]\-&quot;$&quot;#,##0.00"/>
    <numFmt numFmtId="43" formatCode="_-* #,##0.00_-;\-* #,##0.00_-;_-* &quot;-&quot;??_-;_-@_-"/>
    <numFmt numFmtId="164" formatCode="_(###0_);\(###0\);_(###0_)"/>
    <numFmt numFmtId="165" formatCode="_(#,##0.0_);\(#,##0.0\);_(&quot;-&quot;_)"/>
    <numFmt numFmtId="166" formatCode="_(#,##0.0\x_);\(#,##0.0\x\);_(&quot;-&quot;_)"/>
    <numFmt numFmtId="167" formatCode="_(#,##0.0%_);\(#,##0.0%\);_(&quot;-&quot;_)"/>
    <numFmt numFmtId="168" formatCode="_(&quot;$&quot;#,##0.00_);\(&quot;$&quot;#,##0.00\);_(&quot;-&quot;_)"/>
    <numFmt numFmtId="169" formatCode="_(#,##0_);\(#,##0\);_(&quot;-&quot;_)"/>
    <numFmt numFmtId="170" formatCode="_)d\-mmm\-yy_)"/>
    <numFmt numFmtId="171" formatCode="_(&quot;$&quot;#,##0.0_);\(&quot;$&quot;#,##0.0\);_(&quot;-&quot;_)"/>
    <numFmt numFmtId="172" formatCode="0.0"/>
    <numFmt numFmtId="173" formatCode="[Red]\●;[Red]\●;[Color10]\●"/>
    <numFmt numFmtId="174" formatCode="[Green]\●;[Red]\●;[Color16]\●"/>
    <numFmt numFmtId="175" formatCode="_(&quot;$&quot;#,##0_);\(&quot;$&quot;#,##0\);_(&quot;-&quot;_)"/>
    <numFmt numFmtId="176" formatCode="&quot;$&quot;#,##0.00"/>
    <numFmt numFmtId="177" formatCode="_(#,##0.00%_);\(#,##0.00%\);_(&quot;-&quot;_)"/>
    <numFmt numFmtId="178" formatCode="mmm\-yyyy"/>
    <numFmt numFmtId="179" formatCode="&quot;$&quot;#,##0.0000;[Red]\-&quot;$&quot;#,##0.0000"/>
  </numFmts>
  <fonts count="61" x14ac:knownFonts="1">
    <font>
      <sz val="8"/>
      <color rgb="FFFF0066"/>
      <name val="Helvetic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Helvetica"/>
      <family val="2"/>
    </font>
    <font>
      <sz val="8"/>
      <color theme="1"/>
      <name val="Helvetica"/>
      <family val="2"/>
    </font>
    <font>
      <b/>
      <sz val="8"/>
      <color theme="1"/>
      <name val="Helvetica"/>
      <family val="2"/>
    </font>
    <font>
      <b/>
      <sz val="11"/>
      <color theme="1"/>
      <name val="Calibri"/>
      <family val="2"/>
      <scheme val="minor"/>
    </font>
    <font>
      <sz val="8"/>
      <name val="Helvetica"/>
      <family val="2"/>
    </font>
    <font>
      <b/>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8"/>
      <color theme="10"/>
      <name val="Helvetica"/>
      <family val="2"/>
    </font>
    <font>
      <b/>
      <sz val="15"/>
      <color theme="1"/>
      <name val="Helvetica"/>
      <family val="2"/>
    </font>
    <font>
      <i/>
      <sz val="8"/>
      <color rgb="FF92D050"/>
      <name val="Helvetica"/>
      <family val="2"/>
    </font>
    <font>
      <b/>
      <sz val="8"/>
      <color theme="0"/>
      <name val="Helvetica"/>
      <family val="2"/>
    </font>
    <font>
      <b/>
      <sz val="8"/>
      <color theme="4"/>
      <name val="Helvetica"/>
      <family val="2"/>
    </font>
    <font>
      <sz val="8"/>
      <color theme="4"/>
      <name val="Helvetica"/>
      <family val="2"/>
    </font>
    <font>
      <sz val="7"/>
      <color theme="4"/>
      <name val="Helvetica"/>
      <family val="2"/>
    </font>
    <font>
      <b/>
      <sz val="15"/>
      <color theme="4"/>
      <name val="Helvetica"/>
      <family val="2"/>
    </font>
    <font>
      <b/>
      <sz val="10"/>
      <color theme="1"/>
      <name val="Helvetica"/>
      <family val="2"/>
    </font>
    <font>
      <sz val="10"/>
      <color theme="1"/>
      <name val="Helvetica"/>
      <family val="2"/>
    </font>
    <font>
      <sz val="10"/>
      <color theme="4"/>
      <name val="Helvetica"/>
      <family val="2"/>
    </font>
    <font>
      <b/>
      <sz val="10"/>
      <color theme="4"/>
      <name val="Helvetica"/>
      <family val="2"/>
    </font>
    <font>
      <b/>
      <sz val="11"/>
      <color theme="1"/>
      <name val="Helvetica"/>
      <family val="2"/>
    </font>
    <font>
      <b/>
      <sz val="11"/>
      <color theme="4"/>
      <name val="Helvetica"/>
      <family val="2"/>
    </font>
    <font>
      <b/>
      <sz val="12"/>
      <color theme="0"/>
      <name val="Helvetica"/>
      <family val="2"/>
    </font>
    <font>
      <b/>
      <sz val="10"/>
      <color theme="5"/>
      <name val="Helvetica"/>
      <family val="2"/>
    </font>
    <font>
      <sz val="10"/>
      <name val="Helvetica"/>
      <family val="2"/>
    </font>
    <font>
      <b/>
      <sz val="10"/>
      <name val="Helvetica"/>
      <family val="2"/>
    </font>
    <font>
      <sz val="10"/>
      <name val="Helvetica"/>
    </font>
    <font>
      <sz val="8"/>
      <color rgb="FFFF0066"/>
      <name val="Helvetica"/>
    </font>
    <font>
      <i/>
      <sz val="10"/>
      <name val="Helvetica"/>
    </font>
    <font>
      <sz val="8"/>
      <color rgb="FFFF0066"/>
      <name val="Helvetica"/>
      <family val="2"/>
    </font>
    <font>
      <sz val="10"/>
      <color rgb="FFFF0066"/>
      <name val="Calibri"/>
      <family val="2"/>
      <scheme val="minor"/>
    </font>
    <font>
      <b/>
      <sz val="10"/>
      <color theme="0"/>
      <name val="Calibri"/>
      <family val="2"/>
      <scheme val="minor"/>
    </font>
    <font>
      <b/>
      <sz val="8"/>
      <color theme="4"/>
      <name val="Helvetica"/>
    </font>
    <font>
      <i/>
      <sz val="8"/>
      <color theme="4"/>
      <name val="Helvetica"/>
    </font>
    <font>
      <sz val="10"/>
      <color theme="1"/>
      <name val="Calibri"/>
      <family val="2"/>
      <scheme val="minor"/>
    </font>
    <font>
      <b/>
      <sz val="10"/>
      <color rgb="FFFFFFFF"/>
      <name val="Calibri"/>
      <family val="2"/>
      <scheme val="minor"/>
    </font>
    <font>
      <sz val="9"/>
      <color rgb="FF000000"/>
      <name val="Calibri"/>
      <family val="2"/>
      <scheme val="minor"/>
    </font>
    <font>
      <u/>
      <sz val="11"/>
      <color theme="10"/>
      <name val="Calibri"/>
      <family val="2"/>
      <scheme val="minor"/>
    </font>
    <font>
      <b/>
      <sz val="16"/>
      <color theme="4"/>
      <name val="Calibri"/>
      <family val="2"/>
      <scheme val="minor"/>
    </font>
    <font>
      <b/>
      <sz val="10"/>
      <name val="Calibri"/>
      <family val="2"/>
      <scheme val="minor"/>
    </font>
    <font>
      <b/>
      <sz val="11"/>
      <name val="Calibri"/>
      <family val="2"/>
      <scheme val="minor"/>
    </font>
    <font>
      <sz val="10"/>
      <color rgb="FF4F81BD"/>
      <name val="Calibri"/>
      <family val="2"/>
      <scheme val="minor"/>
    </font>
    <font>
      <sz val="10"/>
      <color rgb="FFFFFFFF"/>
      <name val="Calibri"/>
      <family val="2"/>
    </font>
    <font>
      <sz val="10"/>
      <color rgb="FF000000"/>
      <name val="Calibri"/>
      <family val="2"/>
    </font>
    <font>
      <b/>
      <sz val="9"/>
      <color rgb="FFFFFFFF"/>
      <name val="Calibri"/>
      <family val="2"/>
    </font>
    <font>
      <sz val="9"/>
      <name val="Calibri"/>
      <family val="2"/>
    </font>
    <font>
      <b/>
      <sz val="9"/>
      <name val="Calibri"/>
      <family val="2"/>
    </font>
    <font>
      <b/>
      <sz val="9"/>
      <color rgb="FF000000"/>
      <name val="Calibri"/>
      <family val="2"/>
      <scheme val="minor"/>
    </font>
  </fonts>
  <fills count="22">
    <fill>
      <patternFill patternType="none"/>
    </fill>
    <fill>
      <patternFill patternType="gray125"/>
    </fill>
    <fill>
      <patternFill patternType="solid">
        <fgColor theme="3" tint="0.79998168889431442"/>
        <bgColor indexed="64"/>
      </patternFill>
    </fill>
    <fill>
      <patternFill patternType="solid">
        <fgColor theme="0" tint="-0.149967955565050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bgColor indexed="64"/>
      </patternFill>
    </fill>
    <fill>
      <patternFill patternType="solid">
        <fgColor theme="4" tint="0.79998168889431442"/>
        <bgColor indexed="64"/>
      </patternFill>
    </fill>
    <fill>
      <patternFill patternType="solid">
        <fgColor theme="9" tint="-0.24994659260841701"/>
        <bgColor indexed="64"/>
      </patternFill>
    </fill>
    <fill>
      <patternFill patternType="solid">
        <fgColor theme="6" tint="-0.24994659260841701"/>
        <bgColor indexed="64"/>
      </patternFill>
    </fill>
    <fill>
      <patternFill patternType="solid">
        <fgColor theme="6" tint="0.39994506668294322"/>
        <bgColor indexed="64"/>
      </patternFill>
    </fill>
    <fill>
      <patternFill patternType="solid">
        <fgColor theme="6" tint="0.59996337778862885"/>
        <bgColor indexed="64"/>
      </patternFill>
    </fill>
    <fill>
      <patternFill patternType="lightUp"/>
    </fill>
    <fill>
      <patternFill patternType="solid">
        <fgColor theme="6" tint="0.59999389629810485"/>
        <bgColor indexed="64"/>
      </patternFill>
    </fill>
    <fill>
      <patternFill patternType="solid">
        <fgColor rgb="FF2A3D6F"/>
        <bgColor indexed="64"/>
      </patternFill>
    </fill>
    <fill>
      <patternFill patternType="solid">
        <fgColor rgb="FF1F497D"/>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diagonal/>
    </border>
    <border>
      <left style="thin">
        <color theme="0"/>
      </left>
      <right style="thin">
        <color theme="0"/>
      </right>
      <top style="thin">
        <color theme="0"/>
      </top>
      <bottom style="thin">
        <color theme="0"/>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tted">
        <color auto="1"/>
      </top>
      <bottom/>
      <diagonal/>
    </border>
    <border>
      <left style="thin">
        <color theme="0"/>
      </left>
      <right/>
      <top style="thin">
        <color theme="0"/>
      </top>
      <bottom style="thin">
        <color theme="0"/>
      </bottom>
      <diagonal/>
    </border>
    <border>
      <left/>
      <right style="thin">
        <color theme="0"/>
      </right>
      <top style="dotted">
        <color auto="1"/>
      </top>
      <bottom/>
      <diagonal/>
    </border>
    <border>
      <left style="thin">
        <color theme="0"/>
      </left>
      <right style="thin">
        <color theme="0"/>
      </right>
      <top style="dotted">
        <color auto="1"/>
      </top>
      <bottom style="thin">
        <color theme="0"/>
      </bottom>
      <diagonal/>
    </border>
    <border>
      <left/>
      <right/>
      <top/>
      <bottom style="medium">
        <color indexed="64"/>
      </bottom>
      <diagonal/>
    </border>
    <border>
      <left/>
      <right/>
      <top style="medium">
        <color indexed="64"/>
      </top>
      <bottom style="medium">
        <color indexed="64"/>
      </bottom>
      <diagonal/>
    </border>
    <border>
      <left/>
      <right style="hair">
        <color auto="1"/>
      </right>
      <top/>
      <bottom/>
      <diagonal/>
    </border>
  </borders>
  <cellStyleXfs count="92">
    <xf numFmtId="0" fontId="0" fillId="0" borderId="0"/>
    <xf numFmtId="168" fontId="6" fillId="0" borderId="0" applyFill="0" applyBorder="0" applyProtection="0">
      <alignment vertical="center"/>
    </xf>
    <xf numFmtId="0" fontId="10" fillId="0" borderId="0" applyNumberFormat="0" applyFill="0" applyBorder="0" applyAlignment="0" applyProtection="0"/>
    <xf numFmtId="0" fontId="35" fillId="11" borderId="0" applyBorder="0">
      <alignment horizontal="left" vertical="center"/>
    </xf>
    <xf numFmtId="0" fontId="5" fillId="3" borderId="0" applyProtection="0">
      <alignment vertical="center"/>
    </xf>
    <xf numFmtId="0" fontId="7" fillId="0" borderId="0" applyFill="0" applyProtection="0">
      <alignment vertical="center"/>
    </xf>
    <xf numFmtId="0" fontId="6" fillId="0" borderId="0" applyFill="0" applyBorder="0" applyProtection="0">
      <alignment vertical="center"/>
    </xf>
    <xf numFmtId="0" fontId="8" fillId="0" borderId="5" applyNumberFormat="0" applyFill="0" applyAlignment="0" applyProtection="0"/>
    <xf numFmtId="0" fontId="31" fillId="12" borderId="4">
      <alignment horizontal="left" vertical="center"/>
      <protection locked="0"/>
    </xf>
    <xf numFmtId="164" fontId="30" fillId="0" borderId="0" applyFill="0" applyBorder="0">
      <alignment horizontal="center" vertical="center"/>
    </xf>
    <xf numFmtId="164" fontId="31" fillId="2" borderId="4">
      <alignment horizontal="center" vertical="center"/>
      <protection locked="0"/>
    </xf>
    <xf numFmtId="170" fontId="30" fillId="0" borderId="0" applyFill="0" applyBorder="0">
      <alignment horizontal="center" vertical="center"/>
    </xf>
    <xf numFmtId="170" fontId="31" fillId="12" borderId="4">
      <alignment horizontal="center" vertical="center"/>
      <protection locked="0"/>
    </xf>
    <xf numFmtId="165" fontId="30" fillId="0" borderId="0" applyFill="0" applyBorder="0">
      <alignment horizontal="right" vertical="center"/>
    </xf>
    <xf numFmtId="165" fontId="31" fillId="12" borderId="4">
      <alignment horizontal="right" vertical="center"/>
      <protection locked="0"/>
    </xf>
    <xf numFmtId="167" fontId="30" fillId="0" borderId="0" applyFill="0" applyBorder="0">
      <alignment horizontal="right" vertical="center"/>
    </xf>
    <xf numFmtId="167" fontId="31" fillId="12" borderId="4">
      <alignment horizontal="right" vertical="center"/>
      <protection locked="0"/>
    </xf>
    <xf numFmtId="166" fontId="30" fillId="0" borderId="0" applyFill="0" applyBorder="0">
      <alignment horizontal="right" vertical="center"/>
    </xf>
    <xf numFmtId="166" fontId="31" fillId="12" borderId="4">
      <alignment horizontal="right" vertical="center"/>
      <protection locked="0"/>
    </xf>
    <xf numFmtId="168" fontId="31" fillId="12" borderId="4">
      <alignment horizontal="right" vertical="center"/>
      <protection locked="0"/>
    </xf>
    <xf numFmtId="0" fontId="28" fillId="0" borderId="0" applyFill="0" applyBorder="0">
      <alignment horizontal="left" vertical="center"/>
    </xf>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6" applyNumberFormat="0" applyAlignment="0" applyProtection="0"/>
    <xf numFmtId="0" fontId="15" fillId="8" borderId="7" applyNumberFormat="0" applyAlignment="0" applyProtection="0"/>
    <xf numFmtId="0" fontId="16" fillId="8" borderId="6" applyNumberFormat="0" applyAlignment="0" applyProtection="0"/>
    <xf numFmtId="0" fontId="17" fillId="0" borderId="8" applyNumberFormat="0" applyFill="0" applyAlignment="0" applyProtection="0"/>
    <xf numFmtId="0" fontId="18" fillId="9" borderId="9" applyNumberFormat="0" applyAlignment="0" applyProtection="0"/>
    <xf numFmtId="0" fontId="19" fillId="0" borderId="0" applyNumberFormat="0" applyFill="0" applyBorder="0" applyAlignment="0" applyProtection="0"/>
    <xf numFmtId="0" fontId="6" fillId="10" borderId="10" applyNumberFormat="0" applyFont="0" applyAlignment="0" applyProtection="0"/>
    <xf numFmtId="0" fontId="20" fillId="0" borderId="0" applyNumberFormat="0" applyFill="0" applyBorder="0" applyAlignment="0" applyProtection="0"/>
    <xf numFmtId="0" fontId="21" fillId="0" borderId="0" applyNumberFormat="0" applyFill="0" applyBorder="0">
      <alignment horizontal="left" vertical="center"/>
    </xf>
    <xf numFmtId="0" fontId="22" fillId="0" borderId="0" applyFill="0" applyBorder="0">
      <alignment vertical="center"/>
    </xf>
    <xf numFmtId="0" fontId="32" fillId="0" borderId="0" applyFill="0" applyBorder="0">
      <alignment horizontal="left" vertical="center"/>
    </xf>
    <xf numFmtId="0" fontId="38" fillId="0" borderId="0" applyFill="0" applyBorder="0">
      <alignment horizontal="left" vertical="center"/>
    </xf>
    <xf numFmtId="0" fontId="31" fillId="0" borderId="0" applyFill="0" applyBorder="0">
      <alignment horizontal="left" vertical="center"/>
    </xf>
    <xf numFmtId="0" fontId="30" fillId="0" borderId="0" applyFill="0" applyBorder="0">
      <alignment vertical="center"/>
    </xf>
    <xf numFmtId="0" fontId="34" fillId="15" borderId="0" applyBorder="0">
      <alignment horizontal="left" vertical="center"/>
    </xf>
    <xf numFmtId="0" fontId="33" fillId="15" borderId="0" applyBorder="0">
      <alignment horizontal="left" vertical="center"/>
    </xf>
    <xf numFmtId="171" fontId="30" fillId="0" borderId="0" applyFill="0" applyBorder="0">
      <alignment horizontal="right" vertical="center"/>
    </xf>
    <xf numFmtId="0" fontId="27" fillId="0" borderId="0">
      <alignment horizontal="right" vertical="center"/>
    </xf>
    <xf numFmtId="0" fontId="24" fillId="13" borderId="0">
      <alignment horizontal="left" indent="3"/>
    </xf>
    <xf numFmtId="0" fontId="24" fillId="14" borderId="0">
      <alignment horizontal="left" indent="3"/>
    </xf>
    <xf numFmtId="173" fontId="9" fillId="0" borderId="0">
      <alignment horizontal="center" vertical="center"/>
    </xf>
    <xf numFmtId="174" fontId="26" fillId="12" borderId="4">
      <alignment horizontal="center" vertical="center"/>
      <protection locked="0"/>
    </xf>
    <xf numFmtId="174" fontId="9" fillId="0" borderId="0"/>
    <xf numFmtId="165" fontId="31" fillId="0" borderId="0" applyFill="0" applyBorder="0">
      <alignment horizontal="right" vertical="center"/>
    </xf>
    <xf numFmtId="170" fontId="31" fillId="0" borderId="0" applyFill="0" applyBorder="0">
      <alignment horizontal="center" vertical="center"/>
    </xf>
    <xf numFmtId="171" fontId="31" fillId="0" borderId="0" applyFill="0" applyBorder="0">
      <alignment horizontal="right" vertical="center"/>
    </xf>
    <xf numFmtId="166" fontId="31" fillId="0" borderId="0" applyFill="0" applyBorder="0">
      <alignment horizontal="right" vertical="center"/>
    </xf>
    <xf numFmtId="167" fontId="31" fillId="0" borderId="0" applyFill="0" applyBorder="0">
      <alignment horizontal="right" vertical="center"/>
    </xf>
    <xf numFmtId="164" fontId="31" fillId="0" borderId="0" applyFill="0" applyBorder="0">
      <alignment horizontal="center" vertical="center"/>
    </xf>
    <xf numFmtId="0" fontId="31" fillId="16" borderId="4">
      <alignment horizontal="center" vertical="center"/>
      <protection locked="0"/>
    </xf>
    <xf numFmtId="0" fontId="9" fillId="17" borderId="0"/>
    <xf numFmtId="165" fontId="37" fillId="3" borderId="4">
      <alignment horizontal="right" vertical="center"/>
      <protection locked="0"/>
    </xf>
    <xf numFmtId="0" fontId="43" fillId="0" borderId="0"/>
    <xf numFmtId="0" fontId="42" fillId="0" borderId="0"/>
    <xf numFmtId="9" fontId="42" fillId="0" borderId="0" applyFont="0" applyFill="0" applyBorder="0" applyAlignment="0" applyProtection="0"/>
    <xf numFmtId="9" fontId="42" fillId="0" borderId="0" applyFont="0" applyFill="0" applyBorder="0" applyAlignment="0" applyProtection="0"/>
    <xf numFmtId="0" fontId="44" fillId="19" borderId="0" applyBorder="0">
      <alignment horizontal="left" vertical="center"/>
    </xf>
    <xf numFmtId="0" fontId="4" fillId="0" borderId="0"/>
    <xf numFmtId="43" fontId="4" fillId="0" borderId="0" applyFont="0" applyFill="0" applyBorder="0" applyAlignment="0" applyProtection="0"/>
    <xf numFmtId="0" fontId="50" fillId="0" borderId="0" applyNumberFormat="0" applyFill="0" applyBorder="0" applyAlignment="0" applyProtection="0"/>
    <xf numFmtId="9" fontId="4" fillId="0" borderId="0" applyFont="0" applyFill="0" applyBorder="0" applyAlignment="0" applyProtection="0"/>
    <xf numFmtId="0" fontId="35" fillId="11" borderId="0" applyBorder="0">
      <alignment horizontal="left" vertical="center"/>
    </xf>
    <xf numFmtId="0" fontId="31" fillId="0" borderId="0" applyFill="0" applyBorder="0">
      <alignment horizontal="left" vertical="center"/>
    </xf>
    <xf numFmtId="0" fontId="21" fillId="0" borderId="0" applyNumberFormat="0" applyFill="0" applyBorder="0">
      <alignment horizontal="left" vertical="center"/>
    </xf>
    <xf numFmtId="0" fontId="30" fillId="0" borderId="0" applyFill="0" applyBorder="0">
      <alignment vertical="center"/>
    </xf>
    <xf numFmtId="0" fontId="51" fillId="0" borderId="0" applyFill="0" applyBorder="0">
      <alignment horizontal="left" vertical="center"/>
    </xf>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4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96">
    <xf numFmtId="0" fontId="0" fillId="0" borderId="0" xfId="0"/>
    <xf numFmtId="0" fontId="0" fillId="0" borderId="0" xfId="0" applyFont="1"/>
    <xf numFmtId="0" fontId="0" fillId="0" borderId="0" xfId="0" applyFont="1" applyFill="1"/>
    <xf numFmtId="0" fontId="0" fillId="0" borderId="0" xfId="0" applyFont="1" applyFill="1" applyAlignment="1">
      <alignment horizontal="left"/>
    </xf>
    <xf numFmtId="0" fontId="35" fillId="11" borderId="0" xfId="3">
      <alignment horizontal="left" vertical="center"/>
    </xf>
    <xf numFmtId="0" fontId="28" fillId="0" borderId="0" xfId="20">
      <alignment horizontal="left" vertical="center"/>
    </xf>
    <xf numFmtId="0" fontId="0" fillId="0" borderId="0" xfId="0" applyFont="1" applyFill="1"/>
    <xf numFmtId="0" fontId="0" fillId="0" borderId="0" xfId="0" applyFont="1"/>
    <xf numFmtId="0" fontId="32" fillId="0" borderId="0" xfId="34">
      <alignment horizontal="left" vertical="center"/>
    </xf>
    <xf numFmtId="0" fontId="0" fillId="0" borderId="0" xfId="0"/>
    <xf numFmtId="0" fontId="38" fillId="0" borderId="0" xfId="35" applyFill="1">
      <alignment horizontal="left" vertical="center"/>
    </xf>
    <xf numFmtId="0" fontId="31" fillId="0" borderId="0" xfId="36">
      <alignment horizontal="left" vertical="center"/>
    </xf>
    <xf numFmtId="0" fontId="30" fillId="0" borderId="0" xfId="37">
      <alignment vertical="center"/>
    </xf>
    <xf numFmtId="0" fontId="34" fillId="15" borderId="0" xfId="38">
      <alignment horizontal="left" vertical="center"/>
    </xf>
    <xf numFmtId="0" fontId="32" fillId="0" borderId="0" xfId="34" applyFill="1">
      <alignment horizontal="left" vertical="center"/>
    </xf>
    <xf numFmtId="0" fontId="30" fillId="0" borderId="0" xfId="37" applyFill="1">
      <alignment vertical="center"/>
    </xf>
    <xf numFmtId="0" fontId="31" fillId="0" borderId="0" xfId="36" applyFill="1">
      <alignment horizontal="left" vertical="center"/>
    </xf>
    <xf numFmtId="0" fontId="31" fillId="0" borderId="1" xfId="36" applyBorder="1" applyAlignment="1">
      <alignment horizontal="center" vertical="center"/>
    </xf>
    <xf numFmtId="0" fontId="23" fillId="0" borderId="0" xfId="37" applyFont="1" applyFill="1">
      <alignment vertical="center"/>
    </xf>
    <xf numFmtId="0" fontId="32" fillId="0" borderId="0" xfId="34" applyAlignment="1">
      <alignment horizontal="center" vertical="center"/>
    </xf>
    <xf numFmtId="0" fontId="0" fillId="0" borderId="0" xfId="0" applyFont="1" applyAlignment="1">
      <alignment horizontal="center"/>
    </xf>
    <xf numFmtId="0" fontId="31" fillId="0" borderId="0" xfId="36" applyAlignment="1">
      <alignment horizontal="center" vertical="center"/>
    </xf>
    <xf numFmtId="4" fontId="0" fillId="0" borderId="0" xfId="0" applyNumberFormat="1" applyFont="1"/>
    <xf numFmtId="172" fontId="0" fillId="0" borderId="0" xfId="0" applyNumberFormat="1" applyFont="1"/>
    <xf numFmtId="0" fontId="30" fillId="0" borderId="0" xfId="37" applyAlignment="1">
      <alignment horizontal="left" vertical="center" indent="1"/>
    </xf>
    <xf numFmtId="0" fontId="35" fillId="11" borderId="0" xfId="3" applyFill="1">
      <alignment horizontal="left" vertical="center"/>
    </xf>
    <xf numFmtId="0" fontId="31" fillId="0" borderId="0" xfId="36" applyAlignment="1">
      <alignment horizontal="left" vertical="center" indent="1"/>
    </xf>
    <xf numFmtId="169" fontId="30" fillId="0" borderId="0" xfId="13" applyNumberFormat="1">
      <alignment horizontal="right" vertical="center"/>
    </xf>
    <xf numFmtId="173" fontId="9" fillId="0" borderId="0" xfId="44" applyAlignment="1">
      <alignment horizontal="center"/>
    </xf>
    <xf numFmtId="173" fontId="9" fillId="0" borderId="3" xfId="44" applyBorder="1" applyAlignment="1">
      <alignment horizontal="center"/>
    </xf>
    <xf numFmtId="0" fontId="30" fillId="0" borderId="3" xfId="37" applyBorder="1">
      <alignment vertical="center"/>
    </xf>
    <xf numFmtId="0" fontId="0" fillId="0" borderId="14" xfId="0" applyBorder="1"/>
    <xf numFmtId="0" fontId="0" fillId="0" borderId="3" xfId="0" applyBorder="1"/>
    <xf numFmtId="0" fontId="0" fillId="0" borderId="15" xfId="0" applyBorder="1"/>
    <xf numFmtId="0" fontId="0" fillId="0" borderId="12" xfId="0" applyBorder="1"/>
    <xf numFmtId="0" fontId="0" fillId="0" borderId="0" xfId="0" applyBorder="1"/>
    <xf numFmtId="0" fontId="0" fillId="0" borderId="11" xfId="0" applyBorder="1"/>
    <xf numFmtId="0" fontId="31" fillId="0" borderId="0" xfId="36" applyBorder="1">
      <alignment horizontal="left" vertical="center"/>
    </xf>
    <xf numFmtId="0" fontId="32" fillId="0" borderId="0" xfId="34" applyBorder="1" applyAlignment="1">
      <alignment horizontal="center" vertical="center"/>
    </xf>
    <xf numFmtId="0" fontId="38" fillId="0" borderId="0" xfId="35" applyBorder="1" applyAlignment="1">
      <alignment horizontal="center" vertical="center"/>
    </xf>
    <xf numFmtId="0" fontId="24" fillId="11" borderId="0" xfId="3" applyFont="1" applyBorder="1" applyAlignment="1">
      <alignment horizontal="center" vertical="center"/>
    </xf>
    <xf numFmtId="0" fontId="25" fillId="15" borderId="0" xfId="38" applyFont="1" applyBorder="1" applyAlignment="1">
      <alignment horizontal="center" vertical="center"/>
    </xf>
    <xf numFmtId="0" fontId="0" fillId="0" borderId="16" xfId="0" applyBorder="1"/>
    <xf numFmtId="0" fontId="0" fillId="0" borderId="2" xfId="0" applyBorder="1"/>
    <xf numFmtId="0" fontId="0" fillId="0" borderId="13" xfId="0" applyBorder="1"/>
    <xf numFmtId="0" fontId="31" fillId="12" borderId="4" xfId="8" applyBorder="1" applyAlignment="1">
      <alignment horizontal="center" vertical="center"/>
      <protection locked="0"/>
    </xf>
    <xf numFmtId="0" fontId="0" fillId="0" borderId="0" xfId="0" applyAlignment="1"/>
    <xf numFmtId="0" fontId="32" fillId="0" borderId="0" xfId="34" applyFill="1" applyBorder="1" applyAlignment="1">
      <alignment vertical="center"/>
    </xf>
    <xf numFmtId="0" fontId="29" fillId="0" borderId="0" xfId="3" applyFont="1" applyFill="1">
      <alignment horizontal="left" vertical="center"/>
    </xf>
    <xf numFmtId="0" fontId="36" fillId="0" borderId="0" xfId="0" applyFont="1" applyFill="1" applyAlignment="1">
      <alignment horizontal="center"/>
    </xf>
    <xf numFmtId="0" fontId="21" fillId="0" borderId="0" xfId="32" applyBorder="1">
      <alignment horizontal="left" vertical="center"/>
    </xf>
    <xf numFmtId="0" fontId="21" fillId="0" borderId="0" xfId="32">
      <alignment horizontal="left" vertical="center"/>
    </xf>
    <xf numFmtId="0" fontId="21" fillId="0" borderId="0" xfId="32" applyAlignment="1">
      <alignment horizontal="center" vertical="center"/>
    </xf>
    <xf numFmtId="0" fontId="9" fillId="17" borderId="0" xfId="54"/>
    <xf numFmtId="0" fontId="31" fillId="16" borderId="4" xfId="53">
      <alignment horizontal="center" vertical="center"/>
      <protection locked="0"/>
    </xf>
    <xf numFmtId="165" fontId="31" fillId="3" borderId="4" xfId="14" applyFill="1">
      <alignment horizontal="right" vertical="center"/>
      <protection locked="0"/>
    </xf>
    <xf numFmtId="0" fontId="0" fillId="0" borderId="0" xfId="0" applyFill="1"/>
    <xf numFmtId="0" fontId="21" fillId="0" borderId="0" xfId="32" applyFill="1">
      <alignment horizontal="left" vertical="center"/>
    </xf>
    <xf numFmtId="170" fontId="31" fillId="0" borderId="1" xfId="48" applyBorder="1">
      <alignment horizontal="center" vertical="center"/>
    </xf>
    <xf numFmtId="170" fontId="30" fillId="0" borderId="0" xfId="11" applyAlignment="1">
      <alignment horizontal="right" vertical="center"/>
    </xf>
    <xf numFmtId="0" fontId="38" fillId="0" borderId="0" xfId="35" applyAlignment="1">
      <alignment horizontal="right" vertical="center"/>
    </xf>
    <xf numFmtId="0" fontId="38" fillId="0" borderId="0" xfId="35" applyAlignment="1">
      <alignment horizontal="center" vertical="center"/>
    </xf>
    <xf numFmtId="170" fontId="30" fillId="0" borderId="0" xfId="11" applyAlignment="1">
      <alignment horizontal="center" vertical="center"/>
    </xf>
    <xf numFmtId="169" fontId="30" fillId="0" borderId="0" xfId="13" applyNumberFormat="1" applyAlignment="1">
      <alignment horizontal="center" vertical="center"/>
    </xf>
    <xf numFmtId="0" fontId="30" fillId="0" borderId="0" xfId="37" applyAlignment="1">
      <alignment horizontal="center" vertical="center"/>
    </xf>
    <xf numFmtId="0" fontId="38" fillId="0" borderId="2" xfId="35" applyBorder="1" applyAlignment="1">
      <alignment horizontal="center" vertical="center"/>
    </xf>
    <xf numFmtId="0" fontId="31" fillId="0" borderId="0" xfId="36" applyFill="1" applyAlignment="1">
      <alignment horizontal="center" vertical="center"/>
    </xf>
    <xf numFmtId="173" fontId="9" fillId="0" borderId="0" xfId="44" applyBorder="1" applyAlignment="1">
      <alignment horizontal="center" vertical="center"/>
    </xf>
    <xf numFmtId="0" fontId="38" fillId="0" borderId="0" xfId="35" applyAlignment="1">
      <alignment horizontal="center" vertical="center" wrapText="1"/>
    </xf>
    <xf numFmtId="0" fontId="38" fillId="0" borderId="2" xfId="35" applyBorder="1" applyAlignment="1">
      <alignment horizontal="left" vertical="center"/>
    </xf>
    <xf numFmtId="176" fontId="0" fillId="0" borderId="0" xfId="0" applyNumberFormat="1" applyFont="1" applyFill="1"/>
    <xf numFmtId="165" fontId="31" fillId="12" borderId="4" xfId="14" applyNumberFormat="1" applyAlignment="1">
      <alignment horizontal="center" vertical="center"/>
      <protection locked="0"/>
    </xf>
    <xf numFmtId="0" fontId="31" fillId="0" borderId="0" xfId="36" applyFill="1" applyBorder="1">
      <alignment horizontal="left" vertical="center"/>
    </xf>
    <xf numFmtId="0" fontId="37" fillId="0" borderId="0" xfId="36" applyFont="1" applyFill="1" applyAlignment="1">
      <alignment horizontal="center" vertical="center"/>
    </xf>
    <xf numFmtId="0" fontId="37" fillId="0" borderId="0" xfId="36" applyFont="1" applyFill="1">
      <alignment horizontal="left" vertical="center"/>
    </xf>
    <xf numFmtId="0" fontId="9" fillId="0" borderId="0" xfId="0" applyFont="1" applyFill="1"/>
    <xf numFmtId="0" fontId="37" fillId="0" borderId="4" xfId="8" applyFont="1" applyFill="1" applyAlignment="1">
      <alignment horizontal="center" vertical="center"/>
      <protection locked="0"/>
    </xf>
    <xf numFmtId="0" fontId="37" fillId="0" borderId="4" xfId="53" applyFont="1" applyFill="1">
      <alignment horizontal="center" vertical="center"/>
      <protection locked="0"/>
    </xf>
    <xf numFmtId="0" fontId="40" fillId="0" borderId="0" xfId="0" applyFont="1" applyFill="1"/>
    <xf numFmtId="177" fontId="31" fillId="12" borderId="4" xfId="16" applyNumberFormat="1" applyAlignment="1">
      <alignment horizontal="center" vertical="center"/>
      <protection locked="0"/>
    </xf>
    <xf numFmtId="175" fontId="30" fillId="17" borderId="0" xfId="40" applyNumberFormat="1" applyFill="1" applyAlignment="1">
      <alignment horizontal="center" vertical="center"/>
    </xf>
    <xf numFmtId="173" fontId="9" fillId="0" borderId="0" xfId="44" applyFill="1" applyBorder="1" applyAlignment="1">
      <alignment horizontal="center" vertical="center"/>
    </xf>
    <xf numFmtId="0" fontId="26" fillId="0" borderId="0" xfId="0" applyFont="1" applyFill="1"/>
    <xf numFmtId="0" fontId="26" fillId="18" borderId="18" xfId="53" applyFont="1" applyFill="1" applyBorder="1">
      <alignment horizontal="center" vertical="center"/>
      <protection locked="0"/>
    </xf>
    <xf numFmtId="0" fontId="46" fillId="0" borderId="0" xfId="0" applyFont="1" applyFill="1" applyAlignment="1">
      <alignment horizontal="left" indent="1"/>
    </xf>
    <xf numFmtId="0" fontId="37" fillId="0" borderId="0" xfId="36" applyFont="1" applyFill="1" applyAlignment="1">
      <alignment horizontal="left" vertical="center" indent="1"/>
    </xf>
    <xf numFmtId="178" fontId="31" fillId="12" borderId="4" xfId="14" applyNumberFormat="1" applyAlignment="1">
      <alignment horizontal="center" vertical="center"/>
      <protection locked="0"/>
    </xf>
    <xf numFmtId="0" fontId="39" fillId="0" borderId="20" xfId="8" applyFont="1" applyFill="1" applyBorder="1" applyAlignment="1">
      <alignment horizontal="center" vertical="center"/>
      <protection locked="0"/>
    </xf>
    <xf numFmtId="0" fontId="39" fillId="0" borderId="20" xfId="53" applyFont="1" applyFill="1" applyBorder="1">
      <alignment horizontal="center" vertical="center"/>
      <protection locked="0"/>
    </xf>
    <xf numFmtId="177" fontId="39" fillId="0" borderId="20" xfId="16" applyNumberFormat="1" applyFont="1" applyFill="1" applyBorder="1" applyAlignment="1">
      <alignment horizontal="center" vertical="center"/>
      <protection locked="0"/>
    </xf>
    <xf numFmtId="0" fontId="39" fillId="0" borderId="17" xfId="36" applyFont="1" applyFill="1" applyBorder="1" applyAlignment="1">
      <alignment horizontal="left" vertical="center"/>
    </xf>
    <xf numFmtId="175" fontId="30" fillId="17" borderId="19" xfId="40" applyNumberFormat="1" applyFill="1" applyBorder="1" applyAlignment="1">
      <alignment horizontal="center" vertical="center"/>
    </xf>
    <xf numFmtId="0" fontId="26" fillId="0" borderId="0" xfId="0" applyFont="1" applyFill="1" applyAlignment="1">
      <alignment horizontal="left" indent="1"/>
    </xf>
    <xf numFmtId="0" fontId="45" fillId="0" borderId="0" xfId="0" applyFont="1" applyFill="1"/>
    <xf numFmtId="0" fontId="9" fillId="0" borderId="0" xfId="36" applyFont="1" applyFill="1" applyAlignment="1">
      <alignment horizontal="center" vertical="center"/>
    </xf>
    <xf numFmtId="0" fontId="43" fillId="0" borderId="0" xfId="56" applyAlignment="1">
      <alignment vertical="center"/>
    </xf>
    <xf numFmtId="0" fontId="43" fillId="0" borderId="0" xfId="56" quotePrefix="1" applyAlignment="1">
      <alignment vertical="center"/>
    </xf>
    <xf numFmtId="0" fontId="44" fillId="19" borderId="0" xfId="60" applyAlignment="1">
      <alignment horizontal="left" vertical="center"/>
    </xf>
    <xf numFmtId="0" fontId="47" fillId="0" borderId="21" xfId="61" applyFont="1" applyBorder="1" applyAlignment="1">
      <alignment horizontal="center" vertical="center" wrapText="1"/>
    </xf>
    <xf numFmtId="0" fontId="47" fillId="0" borderId="21" xfId="61" applyFont="1" applyBorder="1" applyAlignment="1">
      <alignment horizontal="left" vertical="center" wrapText="1" indent="4"/>
    </xf>
    <xf numFmtId="0" fontId="47" fillId="0" borderId="0" xfId="61" applyFont="1" applyAlignment="1">
      <alignment horizontal="center" vertical="center" wrapText="1"/>
    </xf>
    <xf numFmtId="0" fontId="47" fillId="0" borderId="0" xfId="61" applyFont="1" applyAlignment="1">
      <alignment horizontal="left" vertical="center" wrapText="1" indent="4"/>
    </xf>
    <xf numFmtId="0" fontId="48" fillId="20" borderId="22" xfId="61" applyFont="1" applyFill="1" applyBorder="1" applyAlignment="1">
      <alignment horizontal="center" vertical="center" wrapText="1"/>
    </xf>
    <xf numFmtId="0" fontId="42" fillId="0" borderId="0" xfId="57" applyFont="1" applyAlignment="1">
      <alignment vertical="center"/>
    </xf>
    <xf numFmtId="0" fontId="31" fillId="0" borderId="0" xfId="66" applyFont="1" applyFill="1" applyAlignment="1">
      <alignment horizontal="left" vertical="center"/>
    </xf>
    <xf numFmtId="0" fontId="21" fillId="0" borderId="0" xfId="67" applyFont="1" applyFill="1" applyAlignment="1">
      <alignment horizontal="left" vertical="center"/>
    </xf>
    <xf numFmtId="0" fontId="23" fillId="0" borderId="0" xfId="68" applyFont="1" applyFill="1" applyAlignment="1">
      <alignment vertical="center"/>
    </xf>
    <xf numFmtId="0" fontId="51" fillId="0" borderId="0" xfId="69" applyAlignment="1">
      <alignment horizontal="left" vertical="center"/>
    </xf>
    <xf numFmtId="179" fontId="49" fillId="0" borderId="0" xfId="61" applyNumberFormat="1" applyFont="1" applyFill="1" applyAlignment="1">
      <alignment horizontal="center" vertical="center" wrapText="1"/>
    </xf>
    <xf numFmtId="8" fontId="49" fillId="0" borderId="0" xfId="61" applyNumberFormat="1" applyFont="1" applyFill="1" applyAlignment="1">
      <alignment horizontal="center" vertical="center" wrapText="1"/>
    </xf>
    <xf numFmtId="179" fontId="49" fillId="0" borderId="21" xfId="61" applyNumberFormat="1" applyFont="1" applyFill="1" applyBorder="1" applyAlignment="1">
      <alignment horizontal="center" vertical="center" wrapText="1"/>
    </xf>
    <xf numFmtId="8" fontId="49" fillId="0" borderId="21" xfId="61" applyNumberFormat="1" applyFont="1" applyFill="1" applyBorder="1" applyAlignment="1">
      <alignment horizontal="center" vertical="center" wrapText="1"/>
    </xf>
    <xf numFmtId="9" fontId="0" fillId="0" borderId="0" xfId="59" applyFont="1"/>
    <xf numFmtId="0" fontId="0" fillId="0" borderId="0" xfId="0" applyFont="1"/>
    <xf numFmtId="0" fontId="0" fillId="0" borderId="0" xfId="0" applyFont="1" applyFill="1"/>
    <xf numFmtId="0" fontId="34" fillId="15" borderId="0" xfId="38">
      <alignment horizontal="left" vertical="center"/>
    </xf>
    <xf numFmtId="0" fontId="38" fillId="0" borderId="2" xfId="35" applyBorder="1" applyAlignment="1">
      <alignment horizontal="center" vertical="center"/>
    </xf>
    <xf numFmtId="168" fontId="30" fillId="0" borderId="23" xfId="40" applyNumberFormat="1" applyFill="1" applyBorder="1" applyAlignment="1">
      <alignment horizontal="center" vertical="center"/>
    </xf>
    <xf numFmtId="0" fontId="43" fillId="0" borderId="0" xfId="56" applyAlignment="1">
      <alignment horizontal="left" vertical="center" indent="5"/>
    </xf>
    <xf numFmtId="0" fontId="46" fillId="0" borderId="0" xfId="0" applyFont="1" applyFill="1" applyBorder="1" applyAlignment="1">
      <alignment horizontal="left" indent="1"/>
    </xf>
    <xf numFmtId="0" fontId="9" fillId="0" borderId="0" xfId="0" applyFont="1" applyFill="1" applyAlignment="1">
      <alignment horizontal="left" indent="4"/>
    </xf>
    <xf numFmtId="0" fontId="52" fillId="0" borderId="0" xfId="56" applyFont="1" applyAlignment="1">
      <alignment horizontal="right" vertical="center"/>
    </xf>
    <xf numFmtId="0" fontId="26" fillId="0" borderId="0" xfId="0" applyFont="1" applyFill="1" applyAlignment="1">
      <alignment horizontal="left"/>
    </xf>
    <xf numFmtId="169" fontId="30" fillId="0" borderId="0" xfId="13" applyNumberFormat="1" applyFill="1">
      <alignment horizontal="right" vertical="center"/>
    </xf>
    <xf numFmtId="0" fontId="0" fillId="0" borderId="0" xfId="0" applyFont="1" applyFill="1" applyAlignment="1">
      <alignment horizontal="left"/>
    </xf>
    <xf numFmtId="168" fontId="6" fillId="0" borderId="0" xfId="40" applyNumberFormat="1" applyFont="1" applyFill="1" applyAlignment="1">
      <alignment horizontal="center" vertical="center"/>
    </xf>
    <xf numFmtId="0" fontId="4" fillId="0" borderId="0" xfId="61" applyAlignment="1">
      <alignment horizontal="left" vertical="center" indent="5"/>
    </xf>
    <xf numFmtId="0" fontId="31" fillId="0" borderId="0" xfId="36" applyBorder="1" applyAlignment="1">
      <alignment horizontal="center" vertical="center"/>
    </xf>
    <xf numFmtId="0" fontId="26" fillId="0" borderId="0" xfId="0" applyFont="1" applyFill="1" applyAlignment="1">
      <alignment horizontal="center"/>
    </xf>
    <xf numFmtId="0" fontId="0" fillId="0" borderId="0" xfId="0" applyFont="1" applyFill="1"/>
    <xf numFmtId="0" fontId="38" fillId="0" borderId="2" xfId="35" applyBorder="1" applyAlignment="1">
      <alignment horizontal="left" vertical="center"/>
    </xf>
    <xf numFmtId="0" fontId="0" fillId="0" borderId="0" xfId="0"/>
    <xf numFmtId="0" fontId="38" fillId="0" borderId="0" xfId="35" applyAlignment="1">
      <alignment horizontal="center" vertical="center"/>
    </xf>
    <xf numFmtId="0" fontId="0" fillId="0" borderId="0" xfId="0"/>
    <xf numFmtId="0" fontId="0" fillId="0" borderId="0" xfId="0" applyFont="1"/>
    <xf numFmtId="0" fontId="0" fillId="0" borderId="0" xfId="0" applyFont="1" applyFill="1"/>
    <xf numFmtId="0" fontId="0" fillId="0" borderId="0" xfId="0" applyFont="1" applyFill="1" applyAlignment="1">
      <alignment horizontal="left"/>
    </xf>
    <xf numFmtId="0" fontId="32" fillId="0" borderId="0" xfId="34">
      <alignment horizontal="left" vertical="center"/>
    </xf>
    <xf numFmtId="0" fontId="34" fillId="15" borderId="0" xfId="38">
      <alignment horizontal="left" vertical="center"/>
    </xf>
    <xf numFmtId="0" fontId="30" fillId="0" borderId="0" xfId="37" applyFill="1">
      <alignment vertical="center"/>
    </xf>
    <xf numFmtId="0" fontId="31" fillId="0" borderId="0" xfId="36" applyFill="1">
      <alignment horizontal="left" vertical="center"/>
    </xf>
    <xf numFmtId="0" fontId="31" fillId="0" borderId="1" xfId="36" applyBorder="1" applyAlignment="1">
      <alignment horizontal="center" vertical="center"/>
    </xf>
    <xf numFmtId="0" fontId="32" fillId="0" borderId="0" xfId="34" applyAlignment="1">
      <alignment horizontal="center" vertical="center"/>
    </xf>
    <xf numFmtId="0" fontId="31" fillId="0" borderId="0" xfId="36" applyAlignment="1">
      <alignment horizontal="center" vertical="center"/>
    </xf>
    <xf numFmtId="0" fontId="29" fillId="0" borderId="0" xfId="3" applyFont="1" applyFill="1">
      <alignment horizontal="left" vertical="center"/>
    </xf>
    <xf numFmtId="0" fontId="21" fillId="0" borderId="0" xfId="32" applyFill="1">
      <alignment horizontal="left" vertical="center"/>
    </xf>
    <xf numFmtId="0" fontId="38" fillId="0" borderId="0" xfId="35" applyAlignment="1">
      <alignment horizontal="center" vertical="center"/>
    </xf>
    <xf numFmtId="0" fontId="30" fillId="0" borderId="0" xfId="37" applyAlignment="1">
      <alignment horizontal="center" vertical="center"/>
    </xf>
    <xf numFmtId="0" fontId="38" fillId="0" borderId="2" xfId="35" applyBorder="1" applyAlignment="1">
      <alignment horizontal="center" vertical="center"/>
    </xf>
    <xf numFmtId="167" fontId="31" fillId="12" borderId="4" xfId="16" applyAlignment="1">
      <alignment horizontal="center" vertical="center"/>
      <protection locked="0"/>
    </xf>
    <xf numFmtId="0" fontId="31" fillId="0" borderId="0" xfId="36" applyFill="1" applyAlignment="1">
      <alignment horizontal="center" vertical="center"/>
    </xf>
    <xf numFmtId="173" fontId="9" fillId="0" borderId="0" xfId="44" applyBorder="1" applyAlignment="1">
      <alignment horizontal="center" vertical="center"/>
    </xf>
    <xf numFmtId="0" fontId="30" fillId="0" borderId="0" xfId="37" applyFill="1" applyAlignment="1">
      <alignment horizontal="center" vertical="center"/>
    </xf>
    <xf numFmtId="0" fontId="38" fillId="0" borderId="2" xfId="35" applyBorder="1" applyAlignment="1">
      <alignment horizontal="left" vertical="center"/>
    </xf>
    <xf numFmtId="176" fontId="0" fillId="0" borderId="0" xfId="0" applyNumberFormat="1" applyFont="1" applyFill="1"/>
    <xf numFmtId="168" fontId="31" fillId="12" borderId="4" xfId="19" applyNumberFormat="1" applyAlignment="1">
      <alignment horizontal="center" vertical="center"/>
      <protection locked="0"/>
    </xf>
    <xf numFmtId="0" fontId="37" fillId="0" borderId="0" xfId="36" applyFont="1" applyFill="1" applyAlignment="1">
      <alignment horizontal="center" vertical="center"/>
    </xf>
    <xf numFmtId="0" fontId="37" fillId="0" borderId="0" xfId="36" applyFont="1" applyFill="1">
      <alignment horizontal="left" vertical="center"/>
    </xf>
    <xf numFmtId="0" fontId="9" fillId="0" borderId="0" xfId="0" applyFont="1" applyFill="1"/>
    <xf numFmtId="0" fontId="37" fillId="0" borderId="4" xfId="8" applyFont="1" applyFill="1" applyAlignment="1">
      <alignment horizontal="center" vertical="center"/>
      <protection locked="0"/>
    </xf>
    <xf numFmtId="0" fontId="37" fillId="0" borderId="4" xfId="53" applyFont="1" applyFill="1">
      <alignment horizontal="center" vertical="center"/>
      <protection locked="0"/>
    </xf>
    <xf numFmtId="168" fontId="30" fillId="0" borderId="0" xfId="40" applyNumberFormat="1" applyFill="1" applyAlignment="1">
      <alignment horizontal="center" vertical="center"/>
    </xf>
    <xf numFmtId="177" fontId="31" fillId="12" borderId="4" xfId="16" applyNumberFormat="1" applyAlignment="1">
      <alignment horizontal="center" vertical="center"/>
      <protection locked="0"/>
    </xf>
    <xf numFmtId="173" fontId="9" fillId="0" borderId="0" xfId="44" applyFill="1" applyBorder="1" applyAlignment="1">
      <alignment horizontal="center" vertical="center"/>
    </xf>
    <xf numFmtId="0" fontId="26" fillId="0" borderId="0" xfId="0" applyFont="1" applyFill="1"/>
    <xf numFmtId="0" fontId="26" fillId="18" borderId="18" xfId="53" applyFont="1" applyFill="1" applyBorder="1">
      <alignment horizontal="center" vertical="center"/>
      <protection locked="0"/>
    </xf>
    <xf numFmtId="0" fontId="37" fillId="0" borderId="0" xfId="36" applyFont="1" applyFill="1" applyAlignment="1">
      <alignment horizontal="left" vertical="center" indent="1"/>
    </xf>
    <xf numFmtId="0" fontId="41" fillId="0" borderId="0" xfId="36" applyFont="1" applyFill="1">
      <alignment horizontal="left" vertical="center"/>
    </xf>
    <xf numFmtId="0" fontId="37" fillId="0" borderId="4" xfId="53" applyFont="1" applyFill="1" applyAlignment="1">
      <alignment horizontal="left" vertical="center" indent="1"/>
      <protection locked="0"/>
    </xf>
    <xf numFmtId="0" fontId="26" fillId="0" borderId="0" xfId="0" applyFont="1" applyFill="1" applyAlignment="1">
      <alignment horizontal="left" indent="1"/>
    </xf>
    <xf numFmtId="0" fontId="9" fillId="0" borderId="0" xfId="36" applyFont="1" applyFill="1" applyAlignment="1">
      <alignment horizontal="center" vertical="center"/>
    </xf>
    <xf numFmtId="0" fontId="43" fillId="0" borderId="0" xfId="56" applyAlignment="1">
      <alignment vertical="center"/>
    </xf>
    <xf numFmtId="0" fontId="44" fillId="19" borderId="0" xfId="60" applyAlignment="1">
      <alignment horizontal="left" vertical="center"/>
    </xf>
    <xf numFmtId="168" fontId="0" fillId="0" borderId="0" xfId="0" applyNumberFormat="1" applyFont="1" applyFill="1"/>
    <xf numFmtId="0" fontId="44" fillId="19" borderId="0" xfId="60">
      <alignment horizontal="left" vertical="center"/>
    </xf>
    <xf numFmtId="0" fontId="54" fillId="0" borderId="0" xfId="61" applyFont="1" applyAlignment="1">
      <alignment horizontal="left" vertical="center"/>
    </xf>
    <xf numFmtId="0" fontId="55" fillId="20" borderId="0" xfId="0" applyFont="1" applyFill="1" applyAlignment="1">
      <alignment vertical="center"/>
    </xf>
    <xf numFmtId="0" fontId="56" fillId="21" borderId="0" xfId="0" applyFont="1" applyFill="1" applyAlignment="1">
      <alignment vertical="center"/>
    </xf>
    <xf numFmtId="10" fontId="56" fillId="21" borderId="0" xfId="0" applyNumberFormat="1" applyFont="1" applyFill="1" applyAlignment="1">
      <alignment vertical="center"/>
    </xf>
    <xf numFmtId="0" fontId="56" fillId="21" borderId="21" xfId="0" applyFont="1" applyFill="1" applyBorder="1" applyAlignment="1">
      <alignment vertical="center"/>
    </xf>
    <xf numFmtId="10" fontId="56" fillId="21" borderId="21" xfId="0" applyNumberFormat="1" applyFont="1" applyFill="1" applyBorder="1" applyAlignment="1">
      <alignment vertical="center"/>
    </xf>
    <xf numFmtId="0" fontId="57" fillId="19" borderId="0" xfId="0" applyFont="1" applyFill="1" applyAlignment="1">
      <alignment horizontal="left" vertical="center" wrapText="1" indent="4"/>
    </xf>
    <xf numFmtId="0" fontId="58" fillId="0" borderId="0" xfId="0" applyFont="1" applyAlignment="1">
      <alignment horizontal="left" vertical="center" wrapText="1" indent="4"/>
    </xf>
    <xf numFmtId="8" fontId="58" fillId="0" borderId="0" xfId="0" applyNumberFormat="1" applyFont="1" applyAlignment="1">
      <alignment horizontal="left" vertical="center" wrapText="1" indent="4"/>
    </xf>
    <xf numFmtId="8" fontId="58" fillId="0" borderId="0" xfId="0" applyNumberFormat="1" applyFont="1" applyAlignment="1">
      <alignment vertical="center" wrapText="1"/>
    </xf>
    <xf numFmtId="0" fontId="57" fillId="19" borderId="0" xfId="0" applyFont="1" applyFill="1" applyAlignment="1">
      <alignment vertical="center" wrapText="1"/>
    </xf>
    <xf numFmtId="0" fontId="57" fillId="19" borderId="0" xfId="0" applyFont="1" applyFill="1" applyAlignment="1">
      <alignment horizontal="center" vertical="center" wrapText="1"/>
    </xf>
    <xf numFmtId="8" fontId="49" fillId="0" borderId="0" xfId="61" applyNumberFormat="1" applyFont="1" applyAlignment="1">
      <alignment horizontal="center" vertical="center" wrapText="1"/>
    </xf>
    <xf numFmtId="8" fontId="49" fillId="0" borderId="21" xfId="61" applyNumberFormat="1" applyFont="1" applyBorder="1" applyAlignment="1">
      <alignment horizontal="center" vertical="center" wrapText="1"/>
    </xf>
    <xf numFmtId="0" fontId="9" fillId="0" borderId="0" xfId="0" applyFont="1" applyAlignment="1">
      <alignment horizontal="left" indent="4"/>
    </xf>
    <xf numFmtId="8" fontId="59" fillId="0" borderId="0" xfId="0" applyNumberFormat="1" applyFont="1" applyAlignment="1">
      <alignment horizontal="left" vertical="center" wrapText="1" indent="4"/>
    </xf>
    <xf numFmtId="8" fontId="60" fillId="0" borderId="0" xfId="61" applyNumberFormat="1" applyFont="1" applyAlignment="1">
      <alignment horizontal="center" vertical="center" wrapText="1"/>
    </xf>
    <xf numFmtId="8" fontId="60" fillId="0" borderId="21" xfId="61" applyNumberFormat="1" applyFont="1" applyBorder="1" applyAlignment="1">
      <alignment horizontal="center" vertical="center" wrapText="1"/>
    </xf>
    <xf numFmtId="0" fontId="31" fillId="0" borderId="0" xfId="36" applyFill="1" applyAlignment="1">
      <alignment horizontal="left" vertical="center" wrapText="1"/>
    </xf>
    <xf numFmtId="0" fontId="53" fillId="0" borderId="21" xfId="61" applyFont="1" applyBorder="1" applyAlignment="1">
      <alignment horizontal="center" vertical="center"/>
    </xf>
    <xf numFmtId="0" fontId="53" fillId="0" borderId="0" xfId="61" applyFont="1" applyBorder="1" applyAlignment="1">
      <alignment horizontal="center" vertical="center"/>
    </xf>
  </cellXfs>
  <cellStyles count="92">
    <cellStyle name="Bad" xfId="22" builtinId="27" hidden="1"/>
    <cellStyle name="Calculation" xfId="26" builtinId="22" hidden="1"/>
    <cellStyle name="Check Cell" xfId="28" builtinId="23" hidden="1"/>
    <cellStyle name="Check RedRedGreen" xfId="44"/>
    <cellStyle name="Comma 2" xfId="62"/>
    <cellStyle name="Comma 2 2" xfId="71"/>
    <cellStyle name="Comma 2 2 2" xfId="77"/>
    <cellStyle name="Comma 2 2 2 2" xfId="90"/>
    <cellStyle name="Comma 2 2 3" xfId="83"/>
    <cellStyle name="Comma 2 3" xfId="74"/>
    <cellStyle name="Comma 2 3 2" xfId="87"/>
    <cellStyle name="Comma 2 4" xfId="80"/>
    <cellStyle name="Comma 3" xfId="85"/>
    <cellStyle name="Currency" xfId="1" builtinId="4" hidden="1" customBuiltin="1"/>
    <cellStyle name="Currency" xfId="40"/>
    <cellStyle name="Currency Assumptions" xfId="19"/>
    <cellStyle name="Currency Input" xfId="49"/>
    <cellStyle name="Date" xfId="11"/>
    <cellStyle name="Date Assumptions" xfId="12"/>
    <cellStyle name="Date Input" xfId="48"/>
    <cellStyle name="Dropdown" xfId="53"/>
    <cellStyle name="Explanatory Text" xfId="31" builtinId="53" hidden="1"/>
    <cellStyle name="External Link" xfId="55"/>
    <cellStyle name="Good" xfId="21" builtinId="26" hidden="1"/>
    <cellStyle name="Heading 1" xfId="3" builtinId="16" customBuiltin="1"/>
    <cellStyle name="Heading 1 2 4" xfId="60"/>
    <cellStyle name="Heading 1 4" xfId="65"/>
    <cellStyle name="Heading 2" xfId="4" builtinId="17" hidden="1" customBuiltin="1"/>
    <cellStyle name="Heading 2 Input" xfId="38"/>
    <cellStyle name="Heading 2 Output" xfId="39"/>
    <cellStyle name="Heading 3" xfId="5" builtinId="18" hidden="1" customBuiltin="1"/>
    <cellStyle name="Heading 3 Input" xfId="34"/>
    <cellStyle name="Heading 3 Output" xfId="35"/>
    <cellStyle name="Heading 4" xfId="6" builtinId="19" hidden="1" customBuiltin="1"/>
    <cellStyle name="Heading 4 Assumptions" xfId="8"/>
    <cellStyle name="Heading 4 Input" xfId="36"/>
    <cellStyle name="Heading 4 Input 2" xfId="66"/>
    <cellStyle name="Heading 4 Output" xfId="37"/>
    <cellStyle name="Heading 4 Output 2" xfId="68"/>
    <cellStyle name="Hyperlink" xfId="32" builtinId="8" customBuiltin="1"/>
    <cellStyle name="Hyperlink 2" xfId="63"/>
    <cellStyle name="Hyperlink 5" xfId="67"/>
    <cellStyle name="Input" xfId="24" builtinId="20" hidden="1"/>
    <cellStyle name="Line Item Modifier" xfId="41"/>
    <cellStyle name="Linked Cell" xfId="27" builtinId="24" hidden="1"/>
    <cellStyle name="Multiple" xfId="17"/>
    <cellStyle name="Multiple Assumptions" xfId="18"/>
    <cellStyle name="Multiple Input" xfId="50"/>
    <cellStyle name="Neutral" xfId="23" builtinId="28" hidden="1"/>
    <cellStyle name="Normal" xfId="0" builtinId="0" customBuiltin="1"/>
    <cellStyle name="Normal 2" xfId="61"/>
    <cellStyle name="Normal 2 2" xfId="70"/>
    <cellStyle name="Normal 2 2 2" xfId="76"/>
    <cellStyle name="Normal 2 2 2 2" xfId="89"/>
    <cellStyle name="Normal 2 2 3" xfId="82"/>
    <cellStyle name="Normal 2 3" xfId="73"/>
    <cellStyle name="Normal 2 3 2" xfId="86"/>
    <cellStyle name="Normal 2 4" xfId="79"/>
    <cellStyle name="Normal 4 8" xfId="56"/>
    <cellStyle name="Normal 45" xfId="57"/>
    <cellStyle name="Not Applicable" xfId="54"/>
    <cellStyle name="Note" xfId="30" builtinId="10" hidden="1"/>
    <cellStyle name="Number" xfId="13"/>
    <cellStyle name="Number Assumptions" xfId="14"/>
    <cellStyle name="Number Input" xfId="47"/>
    <cellStyle name="Output" xfId="25" builtinId="21" hidden="1"/>
    <cellStyle name="Percent" xfId="59" builtinId="5"/>
    <cellStyle name="Percent 2" xfId="64"/>
    <cellStyle name="Percent 2 2" xfId="72"/>
    <cellStyle name="Percent 2 2 2" xfId="78"/>
    <cellStyle name="Percent 2 2 2 2" xfId="91"/>
    <cellStyle name="Percent 2 2 3" xfId="84"/>
    <cellStyle name="Percent 2 3" xfId="75"/>
    <cellStyle name="Percent 2 3 2" xfId="88"/>
    <cellStyle name="Percent 2 4" xfId="81"/>
    <cellStyle name="Percent 50" xfId="58"/>
    <cellStyle name="Percentage" xfId="15"/>
    <cellStyle name="Percentage Assumptions" xfId="16"/>
    <cellStyle name="Percentage Input" xfId="51"/>
    <cellStyle name="Sheet Title Input" xfId="20"/>
    <cellStyle name="Sheet Title Input 2 2" xfId="69"/>
    <cellStyle name="Sheet Title Output" xfId="33"/>
    <cellStyle name="Table Header 1" xfId="42"/>
    <cellStyle name="Table Header 2" xfId="43"/>
    <cellStyle name="Title" xfId="2" builtinId="15" hidden="1"/>
    <cellStyle name="Total" xfId="7" builtinId="25" hidden="1"/>
    <cellStyle name="Trigger Assumption GreenRedGrey" xfId="45"/>
    <cellStyle name="Trigger GreenRedGrey" xfId="46"/>
    <cellStyle name="Warning Text" xfId="29" builtinId="11" hidden="1"/>
    <cellStyle name="Year" xfId="9"/>
    <cellStyle name="Year Assumptions" xfId="10"/>
    <cellStyle name="Year Input" xfId="52"/>
  </cellStyles>
  <dxfs count="28">
    <dxf>
      <font>
        <b/>
        <i val="0"/>
        <color rgb="FFFF0000"/>
      </font>
    </dxf>
    <dxf>
      <font>
        <b/>
        <i val="0"/>
        <color rgb="FFFF0000"/>
      </font>
    </dxf>
    <dxf>
      <font>
        <b/>
        <i val="0"/>
        <color rgb="FFFF0000"/>
      </font>
    </dxf>
    <dxf>
      <font>
        <color rgb="FF00B050"/>
      </font>
    </dxf>
    <dxf>
      <font>
        <color rgb="FFFF0000"/>
      </font>
    </dxf>
    <dxf>
      <font>
        <color rgb="FF00B050"/>
      </font>
    </dxf>
    <dxf>
      <font>
        <color rgb="FFFF0000"/>
      </font>
    </dxf>
    <dxf>
      <fill>
        <patternFill>
          <bgColor theme="4" tint="0.59996337778862885"/>
        </patternFill>
      </fill>
      <border>
        <vertical/>
        <horizontal/>
      </border>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ill>
        <patternFill>
          <bgColor theme="4" tint="0.59996337778862885"/>
        </patternFill>
      </fill>
      <border>
        <vertical/>
        <horizontal/>
      </border>
    </dxf>
    <dxf>
      <fill>
        <patternFill>
          <bgColor theme="4" tint="0.59996337778862885"/>
        </patternFill>
      </fill>
      <border>
        <vertical/>
        <horizontal/>
      </border>
    </dxf>
    <dxf>
      <fill>
        <patternFill>
          <bgColor theme="4" tint="0.59996337778862885"/>
        </patternFill>
      </fill>
      <border>
        <vertical/>
        <horizontal/>
      </border>
    </dxf>
    <dxf>
      <font>
        <b/>
        <i val="0"/>
        <color rgb="FF00B050"/>
      </font>
    </dxf>
    <dxf>
      <font>
        <b/>
        <i val="0"/>
        <color theme="5"/>
      </font>
    </dxf>
    <dxf>
      <font>
        <b/>
        <i val="0"/>
        <color rgb="FFFF0000"/>
      </font>
    </dxf>
    <dxf>
      <font>
        <b/>
        <i val="0"/>
        <color rgb="FFFF0000"/>
      </font>
    </dxf>
    <dxf>
      <font>
        <b/>
        <i val="0"/>
        <color rgb="FFFF0000"/>
      </font>
    </dxf>
    <dxf>
      <font>
        <b/>
        <i val="0"/>
        <color rgb="FFFF0000"/>
      </font>
    </dxf>
    <dxf>
      <font>
        <b/>
        <i val="0"/>
        <color rgb="FFFF0000"/>
      </font>
    </dxf>
    <dxf>
      <font>
        <b val="0"/>
        <i val="0"/>
        <color rgb="FF00B050"/>
      </font>
    </dxf>
    <dxf>
      <font>
        <b val="0"/>
        <i val="0"/>
        <color rgb="FF00B050"/>
      </font>
    </dxf>
  </dxfs>
  <tableStyles count="0" defaultTableStyle="TableStyleMedium2" defaultPivotStyle="PivotStyleLight16"/>
  <colors>
    <mruColors>
      <color rgb="FF139C00"/>
      <color rgb="FF426286"/>
      <color rgb="FFFF0066"/>
      <color rgb="FFCC99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Output_Compliance!A1"/><Relationship Id="rId3" Type="http://schemas.openxmlformats.org/officeDocument/2006/relationships/hyperlink" Target="#Diagram!A1"/><Relationship Id="rId7" Type="http://schemas.openxmlformats.org/officeDocument/2006/relationships/hyperlink" Target="#Calculations_Price_Caps!A1"/><Relationship Id="rId2" Type="http://schemas.openxmlformats.org/officeDocument/2006/relationships/hyperlink" Target="#TOC!A1"/><Relationship Id="rId1" Type="http://schemas.openxmlformats.org/officeDocument/2006/relationships/hyperlink" Target="#Cover!A1"/><Relationship Id="rId6" Type="http://schemas.openxmlformats.org/officeDocument/2006/relationships/hyperlink" Target="#Inputs_Prices!A1"/><Relationship Id="rId5" Type="http://schemas.openxmlformats.org/officeDocument/2006/relationships/hyperlink" Target="#Checks!A1"/><Relationship Id="rId4" Type="http://schemas.openxmlformats.org/officeDocument/2006/relationships/hyperlink" Target="#Lookup!A1"/><Relationship Id="rId9" Type="http://schemas.openxmlformats.org/officeDocument/2006/relationships/hyperlink" Target="#Output_Pricing_Proposal!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76200</xdr:rowOff>
    </xdr:from>
    <xdr:to>
      <xdr:col>5</xdr:col>
      <xdr:colOff>369845</xdr:colOff>
      <xdr:row>8</xdr:row>
      <xdr:rowOff>102934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 y="895350"/>
          <a:ext cx="1971950"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1195386</xdr:colOff>
      <xdr:row>9</xdr:row>
      <xdr:rowOff>0</xdr:rowOff>
    </xdr:from>
    <xdr:to>
      <xdr:col>5</xdr:col>
      <xdr:colOff>0</xdr:colOff>
      <xdr:row>12</xdr:row>
      <xdr:rowOff>14287</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728786" y="1238250"/>
          <a:ext cx="1652589" cy="4000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Controls</a:t>
          </a:r>
        </a:p>
      </xdr:txBody>
    </xdr:sp>
    <xdr:clientData/>
  </xdr:twoCellAnchor>
  <xdr:twoCellAnchor>
    <xdr:from>
      <xdr:col>6</xdr:col>
      <xdr:colOff>204786</xdr:colOff>
      <xdr:row>8</xdr:row>
      <xdr:rowOff>114300</xdr:rowOff>
    </xdr:from>
    <xdr:to>
      <xdr:col>9</xdr:col>
      <xdr:colOff>0</xdr:colOff>
      <xdr:row>12</xdr:row>
      <xdr:rowOff>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4205286" y="1223963"/>
          <a:ext cx="1652589" cy="4000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Inputs</a:t>
          </a:r>
        </a:p>
      </xdr:txBody>
    </xdr:sp>
    <xdr:clientData/>
  </xdr:twoCellAnchor>
  <xdr:twoCellAnchor>
    <xdr:from>
      <xdr:col>10</xdr:col>
      <xdr:colOff>0</xdr:colOff>
      <xdr:row>8</xdr:row>
      <xdr:rowOff>104775</xdr:rowOff>
    </xdr:from>
    <xdr:to>
      <xdr:col>14</xdr:col>
      <xdr:colOff>0</xdr:colOff>
      <xdr:row>12</xdr:row>
      <xdr:rowOff>0</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6591300" y="1214438"/>
          <a:ext cx="2476500" cy="40957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AU" sz="1100"/>
            <a:t>Calculations</a:t>
          </a:r>
        </a:p>
      </xdr:txBody>
    </xdr:sp>
    <xdr:clientData/>
  </xdr:twoCellAnchor>
  <xdr:twoCellAnchor>
    <xdr:from>
      <xdr:col>15</xdr:col>
      <xdr:colOff>0</xdr:colOff>
      <xdr:row>9</xdr:row>
      <xdr:rowOff>0</xdr:rowOff>
    </xdr:from>
    <xdr:to>
      <xdr:col>17</xdr:col>
      <xdr:colOff>414339</xdr:colOff>
      <xdr:row>12</xdr:row>
      <xdr:rowOff>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9686925" y="1238250"/>
          <a:ext cx="1652589" cy="38576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Outputs</a:t>
          </a:r>
        </a:p>
      </xdr:txBody>
    </xdr:sp>
    <xdr:clientData/>
  </xdr:twoCellAnchor>
  <xdr:twoCellAnchor>
    <xdr:from>
      <xdr:col>3</xdr:col>
      <xdr:colOff>1195386</xdr:colOff>
      <xdr:row>14</xdr:row>
      <xdr:rowOff>0</xdr:rowOff>
    </xdr:from>
    <xdr:to>
      <xdr:col>5</xdr:col>
      <xdr:colOff>0</xdr:colOff>
      <xdr:row>17</xdr:row>
      <xdr:rowOff>14288</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0000000-0008-0000-0200-000006000000}"/>
            </a:ext>
          </a:extLst>
        </xdr:cNvPr>
        <xdr:cNvSpPr/>
      </xdr:nvSpPr>
      <xdr:spPr>
        <a:xfrm>
          <a:off x="1728786" y="18811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Cover</a:t>
          </a:r>
        </a:p>
      </xdr:txBody>
    </xdr:sp>
    <xdr:clientData/>
  </xdr:twoCellAnchor>
  <xdr:twoCellAnchor>
    <xdr:from>
      <xdr:col>3</xdr:col>
      <xdr:colOff>1195386</xdr:colOff>
      <xdr:row>17</xdr:row>
      <xdr:rowOff>114300</xdr:rowOff>
    </xdr:from>
    <xdr:to>
      <xdr:col>5</xdr:col>
      <xdr:colOff>0</xdr:colOff>
      <xdr:row>21</xdr:row>
      <xdr:rowOff>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0200-000007000000}"/>
            </a:ext>
          </a:extLst>
        </xdr:cNvPr>
        <xdr:cNvSpPr/>
      </xdr:nvSpPr>
      <xdr:spPr>
        <a:xfrm>
          <a:off x="1728786" y="2381250"/>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TOC</a:t>
          </a:r>
        </a:p>
      </xdr:txBody>
    </xdr:sp>
    <xdr:clientData/>
  </xdr:twoCellAnchor>
  <xdr:twoCellAnchor>
    <xdr:from>
      <xdr:col>3</xdr:col>
      <xdr:colOff>1195386</xdr:colOff>
      <xdr:row>22</xdr:row>
      <xdr:rowOff>0</xdr:rowOff>
    </xdr:from>
    <xdr:to>
      <xdr:col>5</xdr:col>
      <xdr:colOff>0</xdr:colOff>
      <xdr:row>25</xdr:row>
      <xdr:rowOff>14288</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00000000-0008-0000-0200-000008000000}"/>
            </a:ext>
          </a:extLst>
        </xdr:cNvPr>
        <xdr:cNvSpPr/>
      </xdr:nvSpPr>
      <xdr:spPr>
        <a:xfrm>
          <a:off x="1728786" y="29098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Diagram</a:t>
          </a:r>
        </a:p>
      </xdr:txBody>
    </xdr:sp>
    <xdr:clientData/>
  </xdr:twoCellAnchor>
  <xdr:twoCellAnchor>
    <xdr:from>
      <xdr:col>3</xdr:col>
      <xdr:colOff>1195386</xdr:colOff>
      <xdr:row>26</xdr:row>
      <xdr:rowOff>0</xdr:rowOff>
    </xdr:from>
    <xdr:to>
      <xdr:col>5</xdr:col>
      <xdr:colOff>0</xdr:colOff>
      <xdr:row>29</xdr:row>
      <xdr:rowOff>14288</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00000000-0008-0000-0200-000009000000}"/>
            </a:ext>
          </a:extLst>
        </xdr:cNvPr>
        <xdr:cNvSpPr/>
      </xdr:nvSpPr>
      <xdr:spPr>
        <a:xfrm>
          <a:off x="1728786" y="342423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Lookup</a:t>
          </a:r>
        </a:p>
      </xdr:txBody>
    </xdr:sp>
    <xdr:clientData/>
  </xdr:twoCellAnchor>
  <xdr:twoCellAnchor>
    <xdr:from>
      <xdr:col>3</xdr:col>
      <xdr:colOff>1195386</xdr:colOff>
      <xdr:row>30</xdr:row>
      <xdr:rowOff>0</xdr:rowOff>
    </xdr:from>
    <xdr:to>
      <xdr:col>5</xdr:col>
      <xdr:colOff>0</xdr:colOff>
      <xdr:row>33</xdr:row>
      <xdr:rowOff>14288</xdr:rowOff>
    </xdr:to>
    <xdr:sp macro="" textlink="">
      <xdr:nvSpPr>
        <xdr:cNvPr id="10" name="Rectangle 9">
          <a:hlinkClick xmlns:r="http://schemas.openxmlformats.org/officeDocument/2006/relationships" r:id="rId5"/>
          <a:extLst>
            <a:ext uri="{FF2B5EF4-FFF2-40B4-BE49-F238E27FC236}">
              <a16:creationId xmlns:a16="http://schemas.microsoft.com/office/drawing/2014/main" id="{00000000-0008-0000-0200-00000A000000}"/>
            </a:ext>
          </a:extLst>
        </xdr:cNvPr>
        <xdr:cNvSpPr/>
      </xdr:nvSpPr>
      <xdr:spPr>
        <a:xfrm>
          <a:off x="1728786" y="39385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Checks</a:t>
          </a:r>
        </a:p>
      </xdr:txBody>
    </xdr:sp>
    <xdr:clientData/>
  </xdr:twoCellAnchor>
  <xdr:twoCellAnchor>
    <xdr:from>
      <xdr:col>6</xdr:col>
      <xdr:colOff>204786</xdr:colOff>
      <xdr:row>13</xdr:row>
      <xdr:rowOff>123825</xdr:rowOff>
    </xdr:from>
    <xdr:to>
      <xdr:col>9</xdr:col>
      <xdr:colOff>0</xdr:colOff>
      <xdr:row>17</xdr:row>
      <xdr:rowOff>9525</xdr:rowOff>
    </xdr:to>
    <xdr:sp macro="" textlink="">
      <xdr:nvSpPr>
        <xdr:cNvPr id="11" name="Rectangle 10">
          <a:hlinkClick xmlns:r="http://schemas.openxmlformats.org/officeDocument/2006/relationships" r:id="rId6"/>
          <a:extLst>
            <a:ext uri="{FF2B5EF4-FFF2-40B4-BE49-F238E27FC236}">
              <a16:creationId xmlns:a16="http://schemas.microsoft.com/office/drawing/2014/main" id="{00000000-0008-0000-0200-00000B000000}"/>
            </a:ext>
          </a:extLst>
        </xdr:cNvPr>
        <xdr:cNvSpPr/>
      </xdr:nvSpPr>
      <xdr:spPr>
        <a:xfrm>
          <a:off x="4205286" y="1876425"/>
          <a:ext cx="1652589" cy="4000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Prices</a:t>
          </a:r>
        </a:p>
      </xdr:txBody>
    </xdr:sp>
    <xdr:clientData/>
  </xdr:twoCellAnchor>
  <xdr:twoCellAnchor>
    <xdr:from>
      <xdr:col>10</xdr:col>
      <xdr:colOff>0</xdr:colOff>
      <xdr:row>14</xdr:row>
      <xdr:rowOff>0</xdr:rowOff>
    </xdr:from>
    <xdr:to>
      <xdr:col>12</xdr:col>
      <xdr:colOff>414339</xdr:colOff>
      <xdr:row>17</xdr:row>
      <xdr:rowOff>14288</xdr:rowOff>
    </xdr:to>
    <xdr:sp macro="" textlink="">
      <xdr:nvSpPr>
        <xdr:cNvPr id="14" name="Rectangle 13">
          <a:hlinkClick xmlns:r="http://schemas.openxmlformats.org/officeDocument/2006/relationships" r:id="rId7"/>
          <a:extLst>
            <a:ext uri="{FF2B5EF4-FFF2-40B4-BE49-F238E27FC236}">
              <a16:creationId xmlns:a16="http://schemas.microsoft.com/office/drawing/2014/main" id="{00000000-0008-0000-0200-00000E000000}"/>
            </a:ext>
          </a:extLst>
        </xdr:cNvPr>
        <xdr:cNvSpPr/>
      </xdr:nvSpPr>
      <xdr:spPr>
        <a:xfrm>
          <a:off x="6591300" y="1881188"/>
          <a:ext cx="1652589" cy="40005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Price Caps</a:t>
          </a:r>
        </a:p>
      </xdr:txBody>
    </xdr:sp>
    <xdr:clientData/>
  </xdr:twoCellAnchor>
  <xdr:twoCellAnchor>
    <xdr:from>
      <xdr:col>15</xdr:col>
      <xdr:colOff>0</xdr:colOff>
      <xdr:row>14</xdr:row>
      <xdr:rowOff>0</xdr:rowOff>
    </xdr:from>
    <xdr:to>
      <xdr:col>17</xdr:col>
      <xdr:colOff>414339</xdr:colOff>
      <xdr:row>17</xdr:row>
      <xdr:rowOff>14288</xdr:rowOff>
    </xdr:to>
    <xdr:sp macro="" textlink="">
      <xdr:nvSpPr>
        <xdr:cNvPr id="19" name="Rectangle 18">
          <a:hlinkClick xmlns:r="http://schemas.openxmlformats.org/officeDocument/2006/relationships" r:id="rId8"/>
          <a:extLst>
            <a:ext uri="{FF2B5EF4-FFF2-40B4-BE49-F238E27FC236}">
              <a16:creationId xmlns:a16="http://schemas.microsoft.com/office/drawing/2014/main" id="{00000000-0008-0000-0200-000013000000}"/>
            </a:ext>
          </a:extLst>
        </xdr:cNvPr>
        <xdr:cNvSpPr/>
      </xdr:nvSpPr>
      <xdr:spPr>
        <a:xfrm>
          <a:off x="9686925" y="1881188"/>
          <a:ext cx="1652589" cy="400050"/>
        </a:xfrm>
        <a:prstGeom prst="rect">
          <a:avLst/>
        </a:prstGeom>
        <a:solidFill>
          <a:schemeClr val="tx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Compliance</a:t>
          </a:r>
        </a:p>
      </xdr:txBody>
    </xdr:sp>
    <xdr:clientData/>
  </xdr:twoCellAnchor>
  <xdr:twoCellAnchor>
    <xdr:from>
      <xdr:col>15</xdr:col>
      <xdr:colOff>0</xdr:colOff>
      <xdr:row>18</xdr:row>
      <xdr:rowOff>0</xdr:rowOff>
    </xdr:from>
    <xdr:to>
      <xdr:col>17</xdr:col>
      <xdr:colOff>414339</xdr:colOff>
      <xdr:row>21</xdr:row>
      <xdr:rowOff>14288</xdr:rowOff>
    </xdr:to>
    <xdr:sp macro="" textlink="">
      <xdr:nvSpPr>
        <xdr:cNvPr id="20" name="Rectangle 19">
          <a:hlinkClick xmlns:r="http://schemas.openxmlformats.org/officeDocument/2006/relationships" r:id="rId9"/>
          <a:extLst>
            <a:ext uri="{FF2B5EF4-FFF2-40B4-BE49-F238E27FC236}">
              <a16:creationId xmlns:a16="http://schemas.microsoft.com/office/drawing/2014/main" id="{00000000-0008-0000-0200-000014000000}"/>
            </a:ext>
          </a:extLst>
        </xdr:cNvPr>
        <xdr:cNvSpPr/>
      </xdr:nvSpPr>
      <xdr:spPr>
        <a:xfrm>
          <a:off x="9686925" y="2395538"/>
          <a:ext cx="1652589" cy="400050"/>
        </a:xfrm>
        <a:prstGeom prst="rect">
          <a:avLst/>
        </a:prstGeom>
        <a:solidFill>
          <a:schemeClr val="tx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Pricing</a:t>
          </a:r>
          <a:r>
            <a:rPr lang="en-AU" sz="1100" baseline="0"/>
            <a:t> Proposal</a:t>
          </a:r>
          <a:endParaRPr lang="en-AU" sz="1100"/>
        </a:p>
      </xdr:txBody>
    </xdr:sp>
    <xdr:clientData/>
  </xdr:twoCellAnchor>
  <xdr:twoCellAnchor>
    <xdr:from>
      <xdr:col>7</xdr:col>
      <xdr:colOff>411957</xdr:colOff>
      <xdr:row>17</xdr:row>
      <xdr:rowOff>9524</xdr:rowOff>
    </xdr:from>
    <xdr:to>
      <xdr:col>15</xdr:col>
      <xdr:colOff>1</xdr:colOff>
      <xdr:row>19</xdr:row>
      <xdr:rowOff>78581</xdr:rowOff>
    </xdr:to>
    <xdr:cxnSp macro="">
      <xdr:nvCxnSpPr>
        <xdr:cNvPr id="47" name="Connector: Elbow 46">
          <a:extLst>
            <a:ext uri="{FF2B5EF4-FFF2-40B4-BE49-F238E27FC236}">
              <a16:creationId xmlns:a16="http://schemas.microsoft.com/office/drawing/2014/main" id="{00000000-0008-0000-0200-00002F000000}"/>
            </a:ext>
          </a:extLst>
        </xdr:cNvPr>
        <xdr:cNvCxnSpPr>
          <a:cxnSpLocks/>
          <a:stCxn id="11" idx="2"/>
          <a:endCxn id="20" idx="1"/>
        </xdr:cNvCxnSpPr>
      </xdr:nvCxnSpPr>
      <xdr:spPr>
        <a:xfrm rot="16200000" flipH="1">
          <a:off x="7181850" y="469106"/>
          <a:ext cx="354807" cy="4655344"/>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414339</xdr:colOff>
      <xdr:row>15</xdr:row>
      <xdr:rowOff>71438</xdr:rowOff>
    </xdr:from>
    <xdr:to>
      <xdr:col>15</xdr:col>
      <xdr:colOff>0</xdr:colOff>
      <xdr:row>15</xdr:row>
      <xdr:rowOff>71438</xdr:rowOff>
    </xdr:to>
    <xdr:cxnSp macro="">
      <xdr:nvCxnSpPr>
        <xdr:cNvPr id="62" name="Straight Arrow Connector 61">
          <a:extLst>
            <a:ext uri="{FF2B5EF4-FFF2-40B4-BE49-F238E27FC236}">
              <a16:creationId xmlns:a16="http://schemas.microsoft.com/office/drawing/2014/main" id="{00000000-0008-0000-0200-00003E000000}"/>
            </a:ext>
          </a:extLst>
        </xdr:cNvPr>
        <xdr:cNvCxnSpPr>
          <a:stCxn id="14" idx="3"/>
          <a:endCxn id="19" idx="1"/>
        </xdr:cNvCxnSpPr>
      </xdr:nvCxnSpPr>
      <xdr:spPr>
        <a:xfrm>
          <a:off x="8243889" y="2081213"/>
          <a:ext cx="1443036" cy="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9</xdr:col>
      <xdr:colOff>0</xdr:colOff>
      <xdr:row>15</xdr:row>
      <xdr:rowOff>66675</xdr:rowOff>
    </xdr:from>
    <xdr:to>
      <xdr:col>10</xdr:col>
      <xdr:colOff>0</xdr:colOff>
      <xdr:row>15</xdr:row>
      <xdr:rowOff>71438</xdr:rowOff>
    </xdr:to>
    <xdr:cxnSp macro="">
      <xdr:nvCxnSpPr>
        <xdr:cNvPr id="71" name="Straight Arrow Connector 70">
          <a:extLst>
            <a:ext uri="{FF2B5EF4-FFF2-40B4-BE49-F238E27FC236}">
              <a16:creationId xmlns:a16="http://schemas.microsoft.com/office/drawing/2014/main" id="{00000000-0008-0000-0200-000047000000}"/>
            </a:ext>
          </a:extLst>
        </xdr:cNvPr>
        <xdr:cNvCxnSpPr>
          <a:stCxn id="11" idx="3"/>
          <a:endCxn id="14" idx="1"/>
        </xdr:cNvCxnSpPr>
      </xdr:nvCxnSpPr>
      <xdr:spPr>
        <a:xfrm>
          <a:off x="5857875" y="2076450"/>
          <a:ext cx="733425" cy="4763"/>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411956</xdr:colOff>
      <xdr:row>16</xdr:row>
      <xdr:rowOff>85722</xdr:rowOff>
    </xdr:from>
    <xdr:to>
      <xdr:col>15</xdr:col>
      <xdr:colOff>9528</xdr:colOff>
      <xdr:row>17</xdr:row>
      <xdr:rowOff>9525</xdr:rowOff>
    </xdr:to>
    <xdr:cxnSp macro="">
      <xdr:nvCxnSpPr>
        <xdr:cNvPr id="43" name="Connector: Elbow 42">
          <a:extLst>
            <a:ext uri="{FF2B5EF4-FFF2-40B4-BE49-F238E27FC236}">
              <a16:creationId xmlns:a16="http://schemas.microsoft.com/office/drawing/2014/main" id="{04A290C4-70EE-449B-95F6-5E92323AAEFF}"/>
            </a:ext>
          </a:extLst>
        </xdr:cNvPr>
        <xdr:cNvCxnSpPr>
          <a:cxnSpLocks/>
          <a:stCxn id="11" idx="2"/>
        </xdr:cNvCxnSpPr>
      </xdr:nvCxnSpPr>
      <xdr:spPr>
        <a:xfrm rot="5400000" flipH="1" flipV="1">
          <a:off x="7330678" y="253600"/>
          <a:ext cx="66678" cy="4664872"/>
        </a:xfrm>
        <a:prstGeom prst="bentConnector4">
          <a:avLst>
            <a:gd name="adj1" fmla="val -228561"/>
            <a:gd name="adj2" fmla="val 79275"/>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192741</xdr:colOff>
      <xdr:row>17</xdr:row>
      <xdr:rowOff>28575</xdr:rowOff>
    </xdr:from>
    <xdr:to>
      <xdr:col>4</xdr:col>
      <xdr:colOff>1938668</xdr:colOff>
      <xdr:row>52</xdr:row>
      <xdr:rowOff>17389</xdr:rowOff>
    </xdr:to>
    <xdr:pic>
      <xdr:nvPicPr>
        <xdr:cNvPr id="3" name="Picture 2">
          <a:extLst>
            <a:ext uri="{FF2B5EF4-FFF2-40B4-BE49-F238E27FC236}">
              <a16:creationId xmlns:a16="http://schemas.microsoft.com/office/drawing/2014/main" id="{2A09265F-B775-43DC-9A26-A8C587F54721}"/>
            </a:ext>
          </a:extLst>
        </xdr:cNvPr>
        <xdr:cNvPicPr>
          <a:picLocks noChangeAspect="1"/>
        </xdr:cNvPicPr>
      </xdr:nvPicPr>
      <xdr:blipFill>
        <a:blip xmlns:r="http://schemas.openxmlformats.org/officeDocument/2006/relationships" r:embed="rId1"/>
        <a:stretch>
          <a:fillRect/>
        </a:stretch>
      </xdr:blipFill>
      <xdr:spPr>
        <a:xfrm>
          <a:off x="707091" y="1800225"/>
          <a:ext cx="3708077" cy="4989439"/>
        </a:xfrm>
        <a:prstGeom prst="rect">
          <a:avLst/>
        </a:prstGeom>
      </xdr:spPr>
    </xdr:pic>
    <xdr:clientData/>
  </xdr:twoCellAnchor>
  <xdr:twoCellAnchor editAs="oneCell">
    <xdr:from>
      <xdr:col>4</xdr:col>
      <xdr:colOff>2581276</xdr:colOff>
      <xdr:row>17</xdr:row>
      <xdr:rowOff>2</xdr:rowOff>
    </xdr:from>
    <xdr:to>
      <xdr:col>10</xdr:col>
      <xdr:colOff>228600</xdr:colOff>
      <xdr:row>48</xdr:row>
      <xdr:rowOff>67433</xdr:rowOff>
    </xdr:to>
    <xdr:pic>
      <xdr:nvPicPr>
        <xdr:cNvPr id="6" name="Picture 5">
          <a:extLst>
            <a:ext uri="{FF2B5EF4-FFF2-40B4-BE49-F238E27FC236}">
              <a16:creationId xmlns:a16="http://schemas.microsoft.com/office/drawing/2014/main" id="{028B75C0-B574-44C2-8077-48AC6501B436}"/>
            </a:ext>
          </a:extLst>
        </xdr:cNvPr>
        <xdr:cNvPicPr>
          <a:picLocks noChangeAspect="1"/>
        </xdr:cNvPicPr>
      </xdr:nvPicPr>
      <xdr:blipFill>
        <a:blip xmlns:r="http://schemas.openxmlformats.org/officeDocument/2006/relationships" r:embed="rId2"/>
        <a:stretch>
          <a:fillRect/>
        </a:stretch>
      </xdr:blipFill>
      <xdr:spPr>
        <a:xfrm>
          <a:off x="5057776" y="1771652"/>
          <a:ext cx="3724274" cy="44965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33"/>
  <sheetViews>
    <sheetView showGridLines="0" zoomScale="115" zoomScaleNormal="115" workbookViewId="0"/>
  </sheetViews>
  <sheetFormatPr defaultColWidth="9.33203125" defaultRowHeight="10" x14ac:dyDescent="0.2"/>
  <cols>
    <col min="1" max="1" width="9.33203125" style="9"/>
    <col min="2" max="3" width="5.77734375" style="9" customWidth="1"/>
    <col min="4" max="4" width="12.77734375" style="9" customWidth="1"/>
    <col min="5" max="5" width="9.33203125" style="9"/>
    <col min="6" max="13" width="10.77734375" style="9" customWidth="1"/>
    <col min="14" max="16384" width="9.33203125" style="9"/>
  </cols>
  <sheetData>
    <row r="1" spans="2:7" ht="11.25" customHeight="1" x14ac:dyDescent="0.2"/>
    <row r="2" spans="2:7" ht="11.25" customHeight="1" x14ac:dyDescent="0.2"/>
    <row r="3" spans="2:7" s="7" customFormat="1" ht="19" x14ac:dyDescent="0.2">
      <c r="B3" s="5" t="s">
        <v>236</v>
      </c>
    </row>
    <row r="4" spans="2:7" ht="11.25" customHeight="1" x14ac:dyDescent="0.2"/>
    <row r="5" spans="2:7" ht="11.25" customHeight="1" x14ac:dyDescent="0.2"/>
    <row r="6" spans="2:7" ht="11.25" customHeight="1" x14ac:dyDescent="0.2">
      <c r="C6" s="56"/>
      <c r="D6" s="56"/>
      <c r="E6" s="56"/>
      <c r="F6" s="56"/>
      <c r="G6" s="56"/>
    </row>
    <row r="7" spans="2:7" ht="11.25" customHeight="1" x14ac:dyDescent="0.2">
      <c r="C7" s="56"/>
      <c r="D7" s="56"/>
      <c r="E7" s="56"/>
      <c r="F7" s="56"/>
      <c r="G7" s="56"/>
    </row>
    <row r="8" spans="2:7" ht="11.25" customHeight="1" x14ac:dyDescent="0.2">
      <c r="C8" s="56"/>
      <c r="D8" s="56"/>
      <c r="E8" s="56"/>
      <c r="F8" s="56"/>
      <c r="G8" s="56"/>
    </row>
    <row r="9" spans="2:7" x14ac:dyDescent="0.2">
      <c r="C9" s="56"/>
      <c r="D9" s="56"/>
      <c r="E9" s="56"/>
      <c r="F9" s="56"/>
      <c r="G9" s="56"/>
    </row>
    <row r="11" spans="2:7" ht="13" x14ac:dyDescent="0.2">
      <c r="C11" s="47" t="s">
        <v>29</v>
      </c>
      <c r="F11" s="72" t="s">
        <v>118</v>
      </c>
    </row>
    <row r="13" spans="2:7" ht="13" x14ac:dyDescent="0.2">
      <c r="C13" s="14" t="s">
        <v>30</v>
      </c>
    </row>
    <row r="14" spans="2:7" ht="12.5" x14ac:dyDescent="0.2">
      <c r="C14" s="16" t="s">
        <v>154</v>
      </c>
    </row>
    <row r="16" spans="2:7" ht="13" x14ac:dyDescent="0.2">
      <c r="C16" s="14" t="s">
        <v>37</v>
      </c>
    </row>
    <row r="18" spans="3:13" x14ac:dyDescent="0.2">
      <c r="C18" s="31"/>
      <c r="D18" s="32"/>
      <c r="E18" s="32"/>
      <c r="F18" s="32"/>
      <c r="G18" s="32"/>
      <c r="H18" s="32"/>
      <c r="I18" s="32"/>
      <c r="J18" s="32"/>
      <c r="K18" s="32"/>
      <c r="L18" s="32"/>
      <c r="M18" s="33"/>
    </row>
    <row r="19" spans="3:13" ht="12.5" x14ac:dyDescent="0.2">
      <c r="C19" s="34"/>
      <c r="D19" s="45" t="s">
        <v>15</v>
      </c>
      <c r="E19" s="35"/>
      <c r="F19" s="37" t="s">
        <v>26</v>
      </c>
      <c r="G19" s="35"/>
      <c r="H19" s="35"/>
      <c r="I19" s="35"/>
      <c r="J19" s="35"/>
      <c r="K19" s="35"/>
      <c r="L19" s="35"/>
      <c r="M19" s="36"/>
    </row>
    <row r="20" spans="3:13" ht="12.5" x14ac:dyDescent="0.2">
      <c r="C20" s="34"/>
      <c r="D20" s="54" t="s">
        <v>44</v>
      </c>
      <c r="E20" s="35"/>
      <c r="F20" s="37" t="s">
        <v>39</v>
      </c>
      <c r="G20" s="35"/>
      <c r="H20" s="35"/>
      <c r="I20" s="35"/>
      <c r="J20" s="35"/>
      <c r="K20" s="35"/>
      <c r="L20" s="35"/>
      <c r="M20" s="36"/>
    </row>
    <row r="21" spans="3:13" ht="13" x14ac:dyDescent="0.2">
      <c r="C21" s="34"/>
      <c r="D21" s="38" t="s">
        <v>21</v>
      </c>
      <c r="E21" s="35"/>
      <c r="F21" s="37" t="s">
        <v>23</v>
      </c>
      <c r="G21" s="35"/>
      <c r="H21" s="35"/>
      <c r="I21" s="35"/>
      <c r="J21" s="35"/>
      <c r="K21" s="35"/>
      <c r="L21" s="35"/>
      <c r="M21" s="36"/>
    </row>
    <row r="22" spans="3:13" ht="13" x14ac:dyDescent="0.2">
      <c r="C22" s="34"/>
      <c r="D22" s="39" t="s">
        <v>22</v>
      </c>
      <c r="E22" s="35"/>
      <c r="F22" s="37" t="s">
        <v>24</v>
      </c>
      <c r="G22" s="35"/>
      <c r="H22" s="35"/>
      <c r="I22" s="35"/>
      <c r="J22" s="35"/>
      <c r="K22" s="35"/>
      <c r="L22" s="35"/>
      <c r="M22" s="36"/>
    </row>
    <row r="23" spans="3:13" ht="12.5" x14ac:dyDescent="0.2">
      <c r="C23" s="34"/>
      <c r="D23" s="40" t="s">
        <v>5</v>
      </c>
      <c r="E23" s="35"/>
      <c r="F23" s="37" t="s">
        <v>27</v>
      </c>
      <c r="G23" s="35"/>
      <c r="H23" s="35"/>
      <c r="I23" s="35"/>
      <c r="J23" s="35"/>
      <c r="K23" s="35"/>
      <c r="L23" s="35"/>
      <c r="M23" s="36"/>
    </row>
    <row r="24" spans="3:13" ht="12.5" x14ac:dyDescent="0.2">
      <c r="C24" s="34"/>
      <c r="D24" s="41" t="s">
        <v>25</v>
      </c>
      <c r="E24" s="35"/>
      <c r="F24" s="37" t="s">
        <v>28</v>
      </c>
      <c r="G24" s="35"/>
      <c r="H24" s="35"/>
      <c r="I24" s="35"/>
      <c r="J24" s="35"/>
      <c r="K24" s="35"/>
      <c r="L24" s="35"/>
      <c r="M24" s="36"/>
    </row>
    <row r="25" spans="3:13" ht="12.5" x14ac:dyDescent="0.2">
      <c r="C25" s="34"/>
      <c r="D25" s="53"/>
      <c r="E25" s="35"/>
      <c r="F25" s="37" t="s">
        <v>38</v>
      </c>
      <c r="G25" s="35"/>
      <c r="H25" s="35"/>
      <c r="I25" s="35"/>
      <c r="J25" s="35"/>
      <c r="K25" s="35"/>
      <c r="L25" s="35"/>
      <c r="M25" s="36"/>
    </row>
    <row r="26" spans="3:13" ht="12.5" x14ac:dyDescent="0.2">
      <c r="C26" s="34"/>
      <c r="D26" s="52" t="s">
        <v>45</v>
      </c>
      <c r="E26" s="35"/>
      <c r="F26" s="37" t="s">
        <v>40</v>
      </c>
      <c r="G26" s="35"/>
      <c r="H26" s="35"/>
      <c r="I26" s="35"/>
      <c r="J26" s="35"/>
      <c r="K26" s="35"/>
      <c r="L26" s="35"/>
      <c r="M26" s="36"/>
    </row>
    <row r="27" spans="3:13" ht="13" x14ac:dyDescent="0.3">
      <c r="C27" s="34"/>
      <c r="D27" s="49" t="s">
        <v>7</v>
      </c>
      <c r="E27" s="35"/>
      <c r="F27" s="37" t="s">
        <v>41</v>
      </c>
      <c r="G27" s="35"/>
      <c r="H27" s="35"/>
      <c r="I27" s="35"/>
      <c r="J27" s="35"/>
      <c r="K27" s="35"/>
      <c r="L27" s="35"/>
      <c r="M27" s="36"/>
    </row>
    <row r="28" spans="3:13" ht="13" x14ac:dyDescent="0.3">
      <c r="C28" s="34"/>
      <c r="D28" s="49" t="s">
        <v>6</v>
      </c>
      <c r="E28" s="35"/>
      <c r="F28" s="37" t="s">
        <v>42</v>
      </c>
      <c r="G28" s="35"/>
      <c r="H28" s="35"/>
      <c r="I28" s="35"/>
      <c r="J28" s="35"/>
      <c r="K28" s="35"/>
      <c r="L28" s="35"/>
      <c r="M28" s="36"/>
    </row>
    <row r="29" spans="3:13" ht="12.5" x14ac:dyDescent="0.2">
      <c r="C29" s="34"/>
      <c r="D29" s="55"/>
      <c r="E29" s="35"/>
      <c r="F29" s="37" t="s">
        <v>43</v>
      </c>
      <c r="G29" s="35"/>
      <c r="H29" s="35"/>
      <c r="I29" s="35"/>
      <c r="J29" s="35"/>
      <c r="K29" s="35"/>
      <c r="L29" s="35"/>
      <c r="M29" s="36"/>
    </row>
    <row r="30" spans="3:13" x14ac:dyDescent="0.2">
      <c r="C30" s="42"/>
      <c r="D30" s="43"/>
      <c r="E30" s="43"/>
      <c r="F30" s="43"/>
      <c r="G30" s="43"/>
      <c r="H30" s="43"/>
      <c r="I30" s="43"/>
      <c r="J30" s="43"/>
      <c r="K30" s="43"/>
      <c r="L30" s="43"/>
      <c r="M30" s="44"/>
    </row>
    <row r="32" spans="3:13" ht="13" x14ac:dyDescent="0.2">
      <c r="C32" s="14" t="s">
        <v>93</v>
      </c>
      <c r="D32" s="50"/>
    </row>
    <row r="33" spans="3:24" ht="84" customHeight="1" x14ac:dyDescent="0.2">
      <c r="C33" s="193" t="s">
        <v>94</v>
      </c>
      <c r="D33" s="193"/>
      <c r="E33" s="193"/>
      <c r="F33" s="193"/>
      <c r="G33" s="193"/>
      <c r="H33" s="193"/>
      <c r="I33" s="193"/>
      <c r="J33" s="193"/>
      <c r="K33" s="193"/>
      <c r="L33" s="193"/>
      <c r="M33" s="193"/>
      <c r="N33" s="193"/>
      <c r="O33" s="193"/>
      <c r="P33" s="193"/>
      <c r="Q33" s="193"/>
      <c r="R33" s="193"/>
      <c r="S33" s="193"/>
      <c r="T33" s="193"/>
      <c r="U33" s="193"/>
      <c r="V33" s="193"/>
      <c r="W33" s="193"/>
      <c r="X33" s="193"/>
    </row>
  </sheetData>
  <mergeCells count="1">
    <mergeCell ref="C33:X33"/>
  </mergeCells>
  <conditionalFormatting sqref="D28">
    <cfRule type="cellIs" dxfId="27" priority="2" operator="equal">
      <formula>"Ok"</formula>
    </cfRule>
  </conditionalFormatting>
  <conditionalFormatting sqref="D27">
    <cfRule type="cellIs" dxfId="26" priority="1" operator="equal">
      <formula>"Ok"</formula>
    </cfRule>
  </conditionalFormatting>
  <pageMargins left="0.7" right="0.7" top="0.75" bottom="0.75" header="0.3" footer="0.3"/>
  <pageSetup paperSize="9" scale="7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workbookViewId="0"/>
  </sheetViews>
  <sheetFormatPr defaultColWidth="0" defaultRowHeight="10" x14ac:dyDescent="0.2"/>
  <cols>
    <col min="1" max="3" width="2.77734375" style="7" customWidth="1"/>
    <col min="4" max="4" width="43.77734375" style="7" customWidth="1"/>
    <col min="5" max="6" width="10.77734375" style="7" customWidth="1"/>
    <col min="7" max="15" width="10.77734375" style="7" hidden="1" customWidth="1"/>
    <col min="16" max="16384" width="9.33203125" style="7" hidden="1"/>
  </cols>
  <sheetData>
    <row r="1" spans="2:5" ht="19" x14ac:dyDescent="0.2">
      <c r="B1" s="5" t="s">
        <v>50</v>
      </c>
    </row>
    <row r="2" spans="2:5" x14ac:dyDescent="0.2">
      <c r="B2" s="18" t="str">
        <f ca="1">Title_Msg</f>
        <v>No Errors Found</v>
      </c>
    </row>
    <row r="3" spans="2:5" ht="12.5" x14ac:dyDescent="0.2">
      <c r="B3" s="57" t="s">
        <v>54</v>
      </c>
      <c r="C3" s="57"/>
      <c r="D3" s="57"/>
      <c r="E3" s="16"/>
    </row>
    <row r="4" spans="2:5" ht="13" x14ac:dyDescent="0.2">
      <c r="B4" s="48" t="str">
        <f>Model_Name</f>
        <v>ACS Pricing Model - Power and Water Corporation</v>
      </c>
    </row>
    <row r="6" spans="2:5" s="4" customFormat="1" ht="15.5" x14ac:dyDescent="0.2">
      <c r="B6" s="4" t="str">
        <f>B1</f>
        <v>Table of Contents</v>
      </c>
    </row>
    <row r="7" spans="2:5" s="6" customFormat="1" ht="4.5" customHeight="1" x14ac:dyDescent="0.2"/>
    <row r="8" spans="2:5" s="13" customFormat="1" ht="14" x14ac:dyDescent="0.2">
      <c r="C8" s="13" t="s">
        <v>51</v>
      </c>
    </row>
    <row r="9" spans="2:5" s="6" customFormat="1" ht="11.25" customHeight="1" x14ac:dyDescent="0.2"/>
    <row r="10" spans="2:5" s="6" customFormat="1" ht="11.25" customHeight="1" x14ac:dyDescent="0.2">
      <c r="D10" s="145" t="str">
        <f>Inputs_Prices!$B$1</f>
        <v>Inputs - Prices</v>
      </c>
    </row>
    <row r="11" spans="2:5" s="6" customFormat="1" ht="11.25" customHeight="1" x14ac:dyDescent="0.2"/>
    <row r="12" spans="2:5" s="13" customFormat="1" ht="14" x14ac:dyDescent="0.2">
      <c r="C12" s="13" t="s">
        <v>14</v>
      </c>
    </row>
    <row r="14" spans="2:5" x14ac:dyDescent="0.2">
      <c r="D14" s="145" t="str">
        <f>Calculations_Price_Caps!$B$1</f>
        <v>Calculation - Price Caps</v>
      </c>
    </row>
    <row r="16" spans="2:5" s="13" customFormat="1" ht="14" x14ac:dyDescent="0.2">
      <c r="C16" s="13" t="s">
        <v>52</v>
      </c>
    </row>
    <row r="18" spans="2:4" x14ac:dyDescent="0.2">
      <c r="D18" s="145" t="str">
        <f>Output_Compliance!$B$1</f>
        <v>Output - Compliance</v>
      </c>
    </row>
    <row r="19" spans="2:4" x14ac:dyDescent="0.2">
      <c r="D19" s="145" t="str">
        <f>Output_Pricing_Proposal!B1</f>
        <v>Output - Pricing Proposal</v>
      </c>
    </row>
    <row r="21" spans="2:4" s="13" customFormat="1" ht="14" x14ac:dyDescent="0.2">
      <c r="C21" s="13" t="s">
        <v>53</v>
      </c>
    </row>
    <row r="23" spans="2:4" x14ac:dyDescent="0.2">
      <c r="D23" s="57" t="str">
        <f>Lookup!B1</f>
        <v>Model Lookups</v>
      </c>
    </row>
    <row r="24" spans="2:4" x14ac:dyDescent="0.2">
      <c r="D24" s="57" t="str">
        <f>Checks!B1</f>
        <v>Checks</v>
      </c>
    </row>
    <row r="26" spans="2:4" s="4" customFormat="1" ht="15.5" x14ac:dyDescent="0.2">
      <c r="B26" s="4" t="s">
        <v>33</v>
      </c>
    </row>
  </sheetData>
  <conditionalFormatting sqref="B2">
    <cfRule type="cellIs" dxfId="25" priority="1" operator="notEqual">
      <formula>"No Errors Found"</formula>
    </cfRule>
  </conditionalFormatting>
  <hyperlinks>
    <hyperlink ref="D23" location="Lookup!A1" display="Lookup!A1"/>
    <hyperlink ref="D24" location="Checks!A1" display="Checks!A1"/>
    <hyperlink ref="B3:D3" location="Cover!A1" display="Go to Cover Sheet"/>
    <hyperlink ref="D10" location="Inputs!A1" display="Inputs!A1"/>
    <hyperlink ref="D14" location="Calculations!A1" display="Calculations!A1"/>
    <hyperlink ref="D18" location="Output_Compliance!A1" display="Output_Compliance!A1"/>
    <hyperlink ref="D19" location="Output_Pricing_Proposal!A1" display="Output_Pricing_Proposal!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pane ySplit="5" topLeftCell="A6" activePane="bottomLeft" state="frozen"/>
      <selection pane="bottomLeft" activeCell="B3" sqref="B3"/>
    </sheetView>
  </sheetViews>
  <sheetFormatPr defaultColWidth="9.33203125" defaultRowHeight="10" x14ac:dyDescent="0.2"/>
  <cols>
    <col min="1" max="1" width="3.6640625" style="7" customWidth="1"/>
    <col min="2" max="3" width="2.77734375" style="7" customWidth="1"/>
    <col min="4" max="4" width="25.77734375" style="7" customWidth="1"/>
    <col min="5" max="5" width="24" style="7" customWidth="1"/>
    <col min="6" max="9" width="10.77734375" style="7" customWidth="1"/>
    <col min="10" max="10" width="12.77734375" style="7" customWidth="1"/>
    <col min="11" max="24" width="10.77734375" style="7" customWidth="1"/>
    <col min="25" max="16384" width="9.33203125" style="7"/>
  </cols>
  <sheetData>
    <row r="1" spans="1:5" ht="19" x14ac:dyDescent="0.2">
      <c r="A1" s="67">
        <f>IF(SUM($A6:$A50)&gt;0,1,0)</f>
        <v>0</v>
      </c>
      <c r="B1" s="5" t="s">
        <v>124</v>
      </c>
    </row>
    <row r="2" spans="1:5" x14ac:dyDescent="0.2">
      <c r="B2" s="18" t="str">
        <f ca="1">Title_Msg</f>
        <v>No Errors Found</v>
      </c>
    </row>
    <row r="3" spans="1:5" x14ac:dyDescent="0.2">
      <c r="B3" s="57" t="str">
        <f>TOC!B1</f>
        <v>Table of Contents</v>
      </c>
      <c r="C3" s="51"/>
      <c r="D3" s="51"/>
      <c r="E3" s="51"/>
    </row>
    <row r="4" spans="1:5" ht="13" x14ac:dyDescent="0.2">
      <c r="B4" s="48" t="str">
        <f>Model_Name</f>
        <v>ACS Pricing Model - Power and Water Corporation</v>
      </c>
    </row>
    <row r="6" spans="1:5" s="4" customFormat="1" ht="15.5" x14ac:dyDescent="0.2">
      <c r="B6" s="4" t="str">
        <f>B1</f>
        <v>Model Diagram</v>
      </c>
    </row>
    <row r="8" spans="1:5" x14ac:dyDescent="0.2">
      <c r="D8" s="134"/>
      <c r="E8" s="134"/>
    </row>
    <row r="50" spans="2:2" s="4" customFormat="1" ht="15.5" x14ac:dyDescent="0.2">
      <c r="B50" s="4" t="s">
        <v>33</v>
      </c>
    </row>
  </sheetData>
  <conditionalFormatting sqref="B2">
    <cfRule type="cellIs" dxfId="24" priority="2" operator="notEqual">
      <formula>"No Errors Found"</formula>
    </cfRule>
  </conditionalFormatting>
  <hyperlinks>
    <hyperlink ref="B3:E3" location="TOC!A1" display="TOC!A1"/>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V261"/>
  <sheetViews>
    <sheetView showGridLines="0" zoomScaleNormal="100" workbookViewId="0">
      <pane ySplit="11" topLeftCell="A33" activePane="bottomLeft" state="frozen"/>
      <selection pane="bottomLeft" activeCell="P216" sqref="P216"/>
    </sheetView>
  </sheetViews>
  <sheetFormatPr defaultColWidth="9.33203125" defaultRowHeight="10" outlineLevelRow="1" x14ac:dyDescent="0.2"/>
  <cols>
    <col min="1" max="1" width="3.33203125" style="7" customWidth="1"/>
    <col min="2" max="3" width="2.77734375" style="7" customWidth="1"/>
    <col min="4" max="4" width="34.33203125" style="7" bestFit="1" customWidth="1"/>
    <col min="5" max="5" width="39.6640625" style="7" bestFit="1" customWidth="1"/>
    <col min="6" max="6" width="14.44140625" style="7" bestFit="1" customWidth="1"/>
    <col min="7" max="7" width="2.44140625" style="7" customWidth="1"/>
    <col min="8" max="8" width="12.33203125" style="7" bestFit="1" customWidth="1"/>
    <col min="9" max="11" width="12.77734375" style="7" customWidth="1"/>
    <col min="12" max="12" width="2.44140625" style="7" customWidth="1"/>
    <col min="13" max="19" width="12.77734375" style="7" customWidth="1"/>
    <col min="20" max="20" width="4.33203125" style="7" customWidth="1"/>
    <col min="21" max="24" width="10.77734375" style="7" customWidth="1"/>
    <col min="25" max="16384" width="9.33203125" style="7"/>
  </cols>
  <sheetData>
    <row r="1" spans="1:22" ht="19" x14ac:dyDescent="0.2">
      <c r="A1" s="67">
        <f>IF(SUM($A11:$A261)&gt;0,1,0)</f>
        <v>0</v>
      </c>
      <c r="B1" s="5" t="s">
        <v>95</v>
      </c>
    </row>
    <row r="2" spans="1:22" x14ac:dyDescent="0.2">
      <c r="B2" s="18" t="str">
        <f ca="1">Title_Msg</f>
        <v>No Errors Found</v>
      </c>
      <c r="E2" s="134"/>
    </row>
    <row r="3" spans="1:22" x14ac:dyDescent="0.2">
      <c r="B3" s="57" t="str">
        <f>TOC!B1</f>
        <v>Table of Contents</v>
      </c>
      <c r="C3" s="51"/>
      <c r="D3" s="51"/>
      <c r="E3" s="51"/>
    </row>
    <row r="4" spans="1:22" ht="13" x14ac:dyDescent="0.2">
      <c r="B4" s="48" t="str">
        <f>Model_Name</f>
        <v>ACS Pricing Model - Power and Water Corporation</v>
      </c>
    </row>
    <row r="5" spans="1:22" ht="12.5" hidden="1" outlineLevel="1" x14ac:dyDescent="0.2">
      <c r="B5" s="15" t="str">
        <f>Lookup!B15</f>
        <v>Period Start Date</v>
      </c>
      <c r="J5" s="62"/>
      <c r="K5" s="62"/>
      <c r="L5" s="62"/>
      <c r="M5" s="62">
        <f>Lookup!M15</f>
        <v>42917</v>
      </c>
      <c r="N5" s="62">
        <f>Lookup!N15</f>
        <v>43282</v>
      </c>
      <c r="O5" s="62">
        <f>Lookup!O15</f>
        <v>43647</v>
      </c>
      <c r="P5" s="62">
        <f>Lookup!P15</f>
        <v>44013</v>
      </c>
      <c r="Q5" s="62">
        <f>Lookup!Q15</f>
        <v>44378</v>
      </c>
      <c r="R5" s="62">
        <f>Lookup!R15</f>
        <v>44743</v>
      </c>
      <c r="S5" s="62">
        <f>Lookup!S15</f>
        <v>45108</v>
      </c>
    </row>
    <row r="6" spans="1:22" ht="12.5" hidden="1" outlineLevel="1" x14ac:dyDescent="0.2">
      <c r="B6" s="15" t="str">
        <f>Lookup!B16</f>
        <v>Period End Date</v>
      </c>
      <c r="J6" s="62"/>
      <c r="K6" s="62"/>
      <c r="L6" s="62"/>
      <c r="M6" s="62">
        <f>Lookup!M16</f>
        <v>43281</v>
      </c>
      <c r="N6" s="62">
        <f>Lookup!N16</f>
        <v>43646</v>
      </c>
      <c r="O6" s="62">
        <f>Lookup!O16</f>
        <v>44012</v>
      </c>
      <c r="P6" s="62">
        <f>Lookup!P16</f>
        <v>44377</v>
      </c>
      <c r="Q6" s="62">
        <f>Lookup!Q16</f>
        <v>44742</v>
      </c>
      <c r="R6" s="62">
        <f>Lookup!R16</f>
        <v>45107</v>
      </c>
      <c r="S6" s="62">
        <f>Lookup!S16</f>
        <v>45473</v>
      </c>
    </row>
    <row r="7" spans="1:22" ht="12.5" hidden="1" outlineLevel="1" x14ac:dyDescent="0.2">
      <c r="B7" s="15" t="str">
        <f>Lookup!B17</f>
        <v>Period Counter</v>
      </c>
      <c r="J7" s="63"/>
      <c r="K7" s="63"/>
      <c r="L7" s="63"/>
      <c r="M7" s="63">
        <f>Lookup!M17</f>
        <v>4</v>
      </c>
      <c r="N7" s="63">
        <f>Lookup!N17</f>
        <v>5</v>
      </c>
      <c r="O7" s="63">
        <f>Lookup!O17</f>
        <v>6</v>
      </c>
      <c r="P7" s="63">
        <f>Lookup!P17</f>
        <v>7</v>
      </c>
      <c r="Q7" s="63">
        <f>Lookup!Q17</f>
        <v>8</v>
      </c>
      <c r="R7" s="63">
        <f>Lookup!R17</f>
        <v>9</v>
      </c>
      <c r="S7" s="63">
        <f>Lookup!S17</f>
        <v>10</v>
      </c>
    </row>
    <row r="8" spans="1:22" ht="12.5" hidden="1" outlineLevel="1" x14ac:dyDescent="0.2">
      <c r="B8" s="15" t="str">
        <f>Lookup!B18</f>
        <v>Year</v>
      </c>
      <c r="J8" s="64"/>
      <c r="K8" s="64"/>
      <c r="L8" s="64"/>
      <c r="M8" s="64">
        <f>Lookup!M18</f>
        <v>2018</v>
      </c>
      <c r="N8" s="64">
        <f>Lookup!N18</f>
        <v>2019</v>
      </c>
      <c r="O8" s="64">
        <f>Lookup!O18</f>
        <v>2020</v>
      </c>
      <c r="P8" s="64">
        <f>Lookup!P18</f>
        <v>2021</v>
      </c>
      <c r="Q8" s="64">
        <f>Lookup!Q18</f>
        <v>2022</v>
      </c>
      <c r="R8" s="64">
        <f>Lookup!R18</f>
        <v>2023</v>
      </c>
      <c r="S8" s="64">
        <f>Lookup!S18</f>
        <v>2024</v>
      </c>
    </row>
    <row r="9" spans="1:22" ht="12.5" hidden="1" outlineLevel="1" x14ac:dyDescent="0.2">
      <c r="B9" s="139" t="str">
        <f>Lookup!B19</f>
        <v>Days In Year</v>
      </c>
      <c r="J9" s="64"/>
      <c r="K9" s="64"/>
      <c r="L9" s="64"/>
      <c r="M9" s="64">
        <f>Lookup!M19</f>
        <v>365</v>
      </c>
      <c r="N9" s="64">
        <f>Lookup!N19</f>
        <v>365</v>
      </c>
      <c r="O9" s="64">
        <f>Lookup!O19</f>
        <v>366</v>
      </c>
      <c r="P9" s="64">
        <f>Lookup!P19</f>
        <v>365</v>
      </c>
      <c r="Q9" s="64">
        <f>Lookup!Q19</f>
        <v>365</v>
      </c>
      <c r="R9" s="64">
        <f>Lookup!R19</f>
        <v>365</v>
      </c>
      <c r="S9" s="64">
        <f>Lookup!S19</f>
        <v>366</v>
      </c>
    </row>
    <row r="10" spans="1:22" ht="13" collapsed="1" x14ac:dyDescent="0.2">
      <c r="B10" s="10" t="str">
        <f>Lookup!B20</f>
        <v>FY</v>
      </c>
      <c r="D10" s="132" t="s">
        <v>117</v>
      </c>
      <c r="E10" s="132" t="s">
        <v>184</v>
      </c>
      <c r="F10" s="132"/>
      <c r="G10" s="131"/>
      <c r="H10" s="132" t="s">
        <v>64</v>
      </c>
      <c r="I10" s="132" t="s">
        <v>65</v>
      </c>
      <c r="J10" s="61" t="str">
        <f>Lookup!G20</f>
        <v>Basis</v>
      </c>
      <c r="K10" s="61"/>
      <c r="L10" s="61"/>
      <c r="M10" s="61" t="str">
        <f>Lookup!M20</f>
        <v>FY18</v>
      </c>
      <c r="N10" s="61" t="str">
        <f>Lookup!N20</f>
        <v>FY19</v>
      </c>
      <c r="O10" s="61" t="str">
        <f>Lookup!O20</f>
        <v>FY20</v>
      </c>
      <c r="P10" s="61" t="str">
        <f>Lookup!P20</f>
        <v>FY21</v>
      </c>
      <c r="Q10" s="61" t="str">
        <f>Lookup!Q20</f>
        <v>FY22</v>
      </c>
      <c r="R10" s="61" t="str">
        <f>Lookup!R20</f>
        <v>FY23</v>
      </c>
      <c r="S10" s="61" t="str">
        <f>Lookup!S20</f>
        <v>FY24</v>
      </c>
      <c r="U10" s="68"/>
      <c r="V10" s="68"/>
    </row>
    <row r="12" spans="1:22" s="4" customFormat="1" ht="15.5" x14ac:dyDescent="0.2">
      <c r="B12" s="4" t="s">
        <v>51</v>
      </c>
    </row>
    <row r="13" spans="1:22" s="6" customFormat="1" ht="11.25" customHeight="1" x14ac:dyDescent="0.2"/>
    <row r="14" spans="1:22" s="6" customFormat="1" ht="11.25" customHeight="1" x14ac:dyDescent="0.2">
      <c r="D14" s="164" t="s">
        <v>244</v>
      </c>
    </row>
    <row r="15" spans="1:22" s="6" customFormat="1" ht="11.25" customHeight="1" x14ac:dyDescent="0.2"/>
    <row r="16" spans="1:22" s="6" customFormat="1" ht="11.25" customHeight="1" x14ac:dyDescent="0.2"/>
    <row r="17" spans="2:21" s="4" customFormat="1" ht="15.5" x14ac:dyDescent="0.2">
      <c r="B17" s="4" t="s">
        <v>219</v>
      </c>
    </row>
    <row r="18" spans="2:21" s="114" customFormat="1" ht="11.25" customHeight="1" x14ac:dyDescent="0.2"/>
    <row r="19" spans="2:21" s="114" customFormat="1" ht="11.25" customHeight="1" x14ac:dyDescent="0.2">
      <c r="D19" s="164" t="s">
        <v>248</v>
      </c>
    </row>
    <row r="20" spans="2:21" s="135" customFormat="1" ht="11.25" customHeight="1" x14ac:dyDescent="0.2">
      <c r="D20" s="164" t="s">
        <v>245</v>
      </c>
    </row>
    <row r="21" spans="2:21" s="135" customFormat="1" ht="11.25" customHeight="1" x14ac:dyDescent="0.2"/>
    <row r="22" spans="2:21" s="135" customFormat="1" ht="11.25" customHeight="1" x14ac:dyDescent="0.2"/>
    <row r="23" spans="2:21" s="138" customFormat="1" ht="14" x14ac:dyDescent="0.2">
      <c r="C23" s="138" t="s">
        <v>220</v>
      </c>
    </row>
    <row r="24" spans="2:21" s="135" customFormat="1" ht="11.25" customHeight="1" x14ac:dyDescent="0.2"/>
    <row r="25" spans="2:21" s="135" customFormat="1" ht="11.25" customHeight="1" x14ac:dyDescent="0.2"/>
    <row r="26" spans="2:21" s="135" customFormat="1" ht="11.25" customHeight="1" x14ac:dyDescent="0.2">
      <c r="D26" s="153" t="s">
        <v>211</v>
      </c>
      <c r="E26" s="148" t="str">
        <f>E$10</f>
        <v>Service Category</v>
      </c>
      <c r="H26" s="148" t="str">
        <f>H$10</f>
        <v>Source</v>
      </c>
      <c r="I26" s="148" t="str">
        <f>I$10</f>
        <v>Unit</v>
      </c>
      <c r="J26" s="148" t="str">
        <f>J$10</f>
        <v>Basis</v>
      </c>
      <c r="L26" s="134"/>
      <c r="P26" s="148" t="str">
        <f t="shared" ref="P26:S26" si="0">P$10</f>
        <v>FY21</v>
      </c>
      <c r="Q26" s="148" t="str">
        <f t="shared" si="0"/>
        <v>FY22</v>
      </c>
      <c r="R26" s="148" t="str">
        <f t="shared" si="0"/>
        <v>FY23</v>
      </c>
      <c r="S26" s="148" t="str">
        <f t="shared" si="0"/>
        <v>FY24</v>
      </c>
    </row>
    <row r="27" spans="2:21" s="135" customFormat="1" ht="11.25" customHeight="1" x14ac:dyDescent="0.2">
      <c r="D27" s="136"/>
      <c r="O27" s="154"/>
    </row>
    <row r="28" spans="2:21" s="135" customFormat="1" ht="11.25" customHeight="1" x14ac:dyDescent="0.2">
      <c r="D28" s="167" t="s">
        <v>208</v>
      </c>
    </row>
    <row r="29" spans="2:21" s="135" customFormat="1" ht="11.25" customHeight="1" x14ac:dyDescent="0.2">
      <c r="D29" s="168" t="str">
        <f t="array" ref="D29:D31">LU_Metering_Services</f>
        <v>1 Phase Meters (including Prepayment)</v>
      </c>
      <c r="H29" s="159" t="s">
        <v>101</v>
      </c>
      <c r="I29" s="160" t="s">
        <v>240</v>
      </c>
      <c r="J29" s="160" t="s">
        <v>69</v>
      </c>
      <c r="P29" s="155">
        <v>64.66</v>
      </c>
      <c r="Q29" s="155">
        <v>68.39</v>
      </c>
      <c r="R29" s="155">
        <v>72.34</v>
      </c>
      <c r="S29" s="155">
        <v>76.52</v>
      </c>
      <c r="U29" s="164" t="s">
        <v>252</v>
      </c>
    </row>
    <row r="30" spans="2:21" s="135" customFormat="1" ht="11.25" customHeight="1" x14ac:dyDescent="0.2">
      <c r="D30" s="168" t="str">
        <v>3 Phase Meters</v>
      </c>
      <c r="H30" s="159" t="s">
        <v>101</v>
      </c>
      <c r="I30" s="160" t="s">
        <v>240</v>
      </c>
      <c r="J30" s="160" t="s">
        <v>69</v>
      </c>
      <c r="P30" s="155">
        <v>71.19</v>
      </c>
      <c r="Q30" s="155">
        <v>75.3</v>
      </c>
      <c r="R30" s="155">
        <v>79.650000000000006</v>
      </c>
      <c r="S30" s="155">
        <v>84.25</v>
      </c>
    </row>
    <row r="31" spans="2:21" s="135" customFormat="1" ht="11.25" customHeight="1" x14ac:dyDescent="0.2">
      <c r="D31" s="168" t="str">
        <v>Dedicated CT and VT meters</v>
      </c>
      <c r="H31" s="159" t="s">
        <v>101</v>
      </c>
      <c r="I31" s="160" t="s">
        <v>240</v>
      </c>
      <c r="J31" s="160" t="s">
        <v>69</v>
      </c>
      <c r="P31" s="155">
        <v>120.58</v>
      </c>
      <c r="Q31" s="155">
        <v>127.54</v>
      </c>
      <c r="R31" s="155">
        <v>134.9</v>
      </c>
      <c r="S31" s="155">
        <v>142.69</v>
      </c>
    </row>
    <row r="32" spans="2:21" s="135" customFormat="1" ht="11.25" customHeight="1" x14ac:dyDescent="0.2"/>
    <row r="33" spans="4:19" s="135" customFormat="1" ht="11.25" customHeight="1" x14ac:dyDescent="0.2">
      <c r="D33" s="167" t="s">
        <v>155</v>
      </c>
    </row>
    <row r="34" spans="4:19" s="135" customFormat="1" ht="11.25" customHeight="1" x14ac:dyDescent="0.2">
      <c r="D34" s="168" t="str">
        <f t="array" ref="D34:D60">LU_Fee_Based_Services</f>
        <v>Disconnection (and final read)</v>
      </c>
      <c r="E34" s="147" t="s">
        <v>185</v>
      </c>
      <c r="H34" s="159" t="s">
        <v>101</v>
      </c>
      <c r="I34" s="160" t="s">
        <v>231</v>
      </c>
      <c r="J34" s="160" t="s">
        <v>69</v>
      </c>
      <c r="P34" s="155">
        <v>65.349999999999994</v>
      </c>
      <c r="Q34" s="155">
        <v>64</v>
      </c>
      <c r="R34" s="155">
        <v>62.64</v>
      </c>
      <c r="S34" s="155">
        <v>61.24</v>
      </c>
    </row>
    <row r="35" spans="4:19" s="135" customFormat="1" ht="11.25" customHeight="1" x14ac:dyDescent="0.2">
      <c r="D35" s="168" t="str">
        <v>Reconnection</v>
      </c>
      <c r="E35" s="147" t="s">
        <v>185</v>
      </c>
      <c r="H35" s="159" t="s">
        <v>101</v>
      </c>
      <c r="I35" s="160" t="s">
        <v>231</v>
      </c>
      <c r="J35" s="160" t="s">
        <v>69</v>
      </c>
      <c r="P35" s="155">
        <v>65.349999999999994</v>
      </c>
      <c r="Q35" s="155">
        <v>64</v>
      </c>
      <c r="R35" s="155">
        <v>62.64</v>
      </c>
      <c r="S35" s="155">
        <v>61.24</v>
      </c>
    </row>
    <row r="36" spans="4:19" s="135" customFormat="1" ht="11.25" customHeight="1" x14ac:dyDescent="0.2">
      <c r="D36" s="168" t="str">
        <v>Reconnection - after hours</v>
      </c>
      <c r="E36" s="147" t="s">
        <v>185</v>
      </c>
      <c r="H36" s="159" t="s">
        <v>101</v>
      </c>
      <c r="I36" s="160" t="s">
        <v>231</v>
      </c>
      <c r="J36" s="160" t="s">
        <v>69</v>
      </c>
      <c r="P36" s="155">
        <v>121.39</v>
      </c>
      <c r="Q36" s="155">
        <v>118.88</v>
      </c>
      <c r="R36" s="155">
        <v>116.35</v>
      </c>
      <c r="S36" s="155">
        <v>113.75</v>
      </c>
    </row>
    <row r="37" spans="4:19" s="135" customFormat="1" ht="11.25" customHeight="1" x14ac:dyDescent="0.2">
      <c r="D37" s="168" t="str">
        <v>Temporary disconnection and reconnection - physical dismantling</v>
      </c>
      <c r="E37" s="147" t="s">
        <v>185</v>
      </c>
      <c r="H37" s="159" t="s">
        <v>101</v>
      </c>
      <c r="I37" s="160" t="s">
        <v>231</v>
      </c>
      <c r="J37" s="160" t="s">
        <v>69</v>
      </c>
      <c r="P37" s="155">
        <v>755.16</v>
      </c>
      <c r="Q37" s="155">
        <v>779.8</v>
      </c>
      <c r="R37" s="155">
        <v>806.48</v>
      </c>
      <c r="S37" s="155">
        <v>834</v>
      </c>
    </row>
    <row r="38" spans="4:19" s="135" customFormat="1" ht="11.25" customHeight="1" x14ac:dyDescent="0.2">
      <c r="D38" s="168" t="str">
        <v>Provision of 3 phase service</v>
      </c>
      <c r="E38" s="147" t="s">
        <v>185</v>
      </c>
      <c r="H38" s="159" t="s">
        <v>101</v>
      </c>
      <c r="I38" s="160" t="s">
        <v>231</v>
      </c>
      <c r="J38" s="160" t="s">
        <v>69</v>
      </c>
      <c r="P38" s="155">
        <v>1434.81</v>
      </c>
      <c r="Q38" s="155">
        <v>1481.63</v>
      </c>
      <c r="R38" s="155">
        <v>1532.31</v>
      </c>
      <c r="S38" s="155">
        <v>1584.6</v>
      </c>
    </row>
    <row r="39" spans="4:19" s="135" customFormat="1" ht="11.25" customHeight="1" x14ac:dyDescent="0.2">
      <c r="D39" s="168" t="str">
        <v>Standard temporary builder’s connection</v>
      </c>
      <c r="E39" s="147" t="s">
        <v>185</v>
      </c>
      <c r="H39" s="159" t="s">
        <v>101</v>
      </c>
      <c r="I39" s="160" t="s">
        <v>231</v>
      </c>
      <c r="J39" s="160" t="s">
        <v>69</v>
      </c>
      <c r="P39" s="155">
        <v>673.61</v>
      </c>
      <c r="Q39" s="155">
        <v>695.59</v>
      </c>
      <c r="R39" s="155">
        <v>719.39</v>
      </c>
      <c r="S39" s="155">
        <v>743.94</v>
      </c>
    </row>
    <row r="40" spans="4:19" s="135" customFormat="1" ht="11.25" customHeight="1" x14ac:dyDescent="0.2">
      <c r="D40" s="168" t="str">
        <v>Temporary disconnection and reconnection - no dismantling</v>
      </c>
      <c r="E40" s="147" t="s">
        <v>186</v>
      </c>
      <c r="H40" s="159" t="s">
        <v>101</v>
      </c>
      <c r="I40" s="160" t="s">
        <v>231</v>
      </c>
      <c r="J40" s="160" t="s">
        <v>69</v>
      </c>
      <c r="P40" s="155">
        <v>293</v>
      </c>
      <c r="Q40" s="155">
        <v>302.56</v>
      </c>
      <c r="R40" s="155">
        <v>312.91000000000003</v>
      </c>
      <c r="S40" s="155">
        <v>323.58999999999997</v>
      </c>
    </row>
    <row r="41" spans="4:19" s="135" customFormat="1" ht="11.25" customHeight="1" x14ac:dyDescent="0.2">
      <c r="D41" s="168" t="str">
        <v>Complex disconnection</v>
      </c>
      <c r="E41" s="147" t="s">
        <v>186</v>
      </c>
      <c r="H41" s="159" t="s">
        <v>101</v>
      </c>
      <c r="I41" s="160" t="s">
        <v>231</v>
      </c>
      <c r="J41" s="160" t="s">
        <v>69</v>
      </c>
      <c r="P41" s="155">
        <v>320.19</v>
      </c>
      <c r="Q41" s="155">
        <v>330.64</v>
      </c>
      <c r="R41" s="155">
        <v>341.95</v>
      </c>
      <c r="S41" s="155">
        <v>353.62</v>
      </c>
    </row>
    <row r="42" spans="4:19" s="135" customFormat="1" ht="11.25" customHeight="1" x14ac:dyDescent="0.2">
      <c r="D42" s="168" t="str">
        <v>Wasted visit fee</v>
      </c>
      <c r="E42" s="147" t="s">
        <v>185</v>
      </c>
      <c r="H42" s="159" t="s">
        <v>101</v>
      </c>
      <c r="I42" s="160" t="s">
        <v>231</v>
      </c>
      <c r="J42" s="160" t="s">
        <v>69</v>
      </c>
      <c r="P42" s="155">
        <v>157.07</v>
      </c>
      <c r="Q42" s="155">
        <v>162.19999999999999</v>
      </c>
      <c r="R42" s="155">
        <v>167.75</v>
      </c>
      <c r="S42" s="155">
        <v>173.47</v>
      </c>
    </row>
    <row r="43" spans="4:19" s="135" customFormat="1" ht="11.25" customHeight="1" x14ac:dyDescent="0.2">
      <c r="D43" s="168" t="str">
        <v>Special meter test</v>
      </c>
      <c r="E43" s="147" t="s">
        <v>187</v>
      </c>
      <c r="H43" s="159" t="s">
        <v>101</v>
      </c>
      <c r="I43" s="160" t="s">
        <v>231</v>
      </c>
      <c r="J43" s="160" t="s">
        <v>69</v>
      </c>
      <c r="P43" s="155">
        <v>306.60000000000002</v>
      </c>
      <c r="Q43" s="155">
        <v>316.61</v>
      </c>
      <c r="R43" s="155">
        <v>327.44</v>
      </c>
      <c r="S43" s="155">
        <v>338.61</v>
      </c>
    </row>
    <row r="44" spans="4:19" s="135" customFormat="1" ht="11.25" customHeight="1" x14ac:dyDescent="0.2">
      <c r="D44" s="168" t="str">
        <v>Exchange or replace meter – three phase</v>
      </c>
      <c r="E44" s="147" t="s">
        <v>187</v>
      </c>
      <c r="H44" s="159" t="s">
        <v>101</v>
      </c>
      <c r="I44" s="160" t="s">
        <v>231</v>
      </c>
      <c r="J44" s="160" t="s">
        <v>69</v>
      </c>
      <c r="P44" s="155">
        <v>676.38</v>
      </c>
      <c r="Q44" s="155">
        <v>698.45</v>
      </c>
      <c r="R44" s="155">
        <v>722.34</v>
      </c>
      <c r="S44" s="155">
        <v>746.99</v>
      </c>
    </row>
    <row r="45" spans="4:19" s="135" customFormat="1" ht="11.25" customHeight="1" x14ac:dyDescent="0.2">
      <c r="D45" s="168" t="str">
        <v>Exchange or replace meter - single phase</v>
      </c>
      <c r="E45" s="147" t="s">
        <v>187</v>
      </c>
      <c r="H45" s="159" t="s">
        <v>101</v>
      </c>
      <c r="I45" s="160" t="s">
        <v>231</v>
      </c>
      <c r="J45" s="160" t="s">
        <v>69</v>
      </c>
      <c r="P45" s="155">
        <v>566.26</v>
      </c>
      <c r="Q45" s="155">
        <v>584.74</v>
      </c>
      <c r="R45" s="155">
        <v>604.74</v>
      </c>
      <c r="S45" s="155">
        <v>625.38</v>
      </c>
    </row>
    <row r="46" spans="4:19" s="135" customFormat="1" ht="11.25" customHeight="1" x14ac:dyDescent="0.2">
      <c r="D46" s="168" t="str">
        <v>Relocation of meter</v>
      </c>
      <c r="E46" s="147" t="s">
        <v>187</v>
      </c>
      <c r="H46" s="159" t="s">
        <v>101</v>
      </c>
      <c r="I46" s="160" t="s">
        <v>231</v>
      </c>
      <c r="J46" s="160" t="s">
        <v>69</v>
      </c>
      <c r="P46" s="155">
        <v>320.19</v>
      </c>
      <c r="Q46" s="155">
        <v>330.64</v>
      </c>
      <c r="R46" s="155">
        <v>341.95</v>
      </c>
      <c r="S46" s="155">
        <v>353.62</v>
      </c>
    </row>
    <row r="47" spans="4:19" s="135" customFormat="1" ht="11.25" customHeight="1" x14ac:dyDescent="0.2">
      <c r="D47" s="168" t="str">
        <v>Remove meter</v>
      </c>
      <c r="E47" s="147" t="s">
        <v>187</v>
      </c>
      <c r="H47" s="159" t="s">
        <v>101</v>
      </c>
      <c r="I47" s="160" t="s">
        <v>231</v>
      </c>
      <c r="J47" s="160" t="s">
        <v>69</v>
      </c>
      <c r="P47" s="155">
        <v>320.19</v>
      </c>
      <c r="Q47" s="155">
        <v>330.64</v>
      </c>
      <c r="R47" s="155">
        <v>341.95</v>
      </c>
      <c r="S47" s="155">
        <v>353.62</v>
      </c>
    </row>
    <row r="48" spans="4:19" s="135" customFormat="1" ht="11.25" customHeight="1" x14ac:dyDescent="0.2">
      <c r="D48" s="168" t="str">
        <v>General meter inspection</v>
      </c>
      <c r="E48" s="147" t="s">
        <v>187</v>
      </c>
      <c r="H48" s="159" t="s">
        <v>101</v>
      </c>
      <c r="I48" s="160" t="s">
        <v>231</v>
      </c>
      <c r="J48" s="160" t="s">
        <v>69</v>
      </c>
      <c r="P48" s="155">
        <v>143.47999999999999</v>
      </c>
      <c r="Q48" s="155">
        <v>148.16</v>
      </c>
      <c r="R48" s="155">
        <v>153.22999999999999</v>
      </c>
      <c r="S48" s="155">
        <v>158.46</v>
      </c>
    </row>
    <row r="49" spans="4:19" s="135" customFormat="1" ht="11.25" customHeight="1" x14ac:dyDescent="0.2">
      <c r="D49" s="168" t="str">
        <v>Special meter read - no appointment</v>
      </c>
      <c r="E49" s="147" t="s">
        <v>187</v>
      </c>
      <c r="H49" s="159" t="s">
        <v>101</v>
      </c>
      <c r="I49" s="160" t="s">
        <v>231</v>
      </c>
      <c r="J49" s="160" t="s">
        <v>69</v>
      </c>
      <c r="P49" s="155">
        <v>36.46</v>
      </c>
      <c r="Q49" s="155">
        <v>37.65</v>
      </c>
      <c r="R49" s="155">
        <v>38.94</v>
      </c>
      <c r="S49" s="155">
        <v>40.270000000000003</v>
      </c>
    </row>
    <row r="50" spans="4:19" s="135" customFormat="1" ht="11.25" customHeight="1" x14ac:dyDescent="0.2">
      <c r="D50" s="168" t="str">
        <v>Special meter read - appointment</v>
      </c>
      <c r="E50" s="147" t="s">
        <v>187</v>
      </c>
      <c r="H50" s="159" t="s">
        <v>101</v>
      </c>
      <c r="I50" s="160" t="s">
        <v>231</v>
      </c>
      <c r="J50" s="160" t="s">
        <v>69</v>
      </c>
      <c r="P50" s="155">
        <v>78.86</v>
      </c>
      <c r="Q50" s="155">
        <v>81.430000000000007</v>
      </c>
      <c r="R50" s="155">
        <v>84.22</v>
      </c>
      <c r="S50" s="155">
        <v>87.09</v>
      </c>
    </row>
    <row r="51" spans="4:19" s="135" customFormat="1" ht="11.25" customHeight="1" x14ac:dyDescent="0.2">
      <c r="D51" s="168" t="str">
        <v>Class 3 PV Assessment</v>
      </c>
      <c r="E51" s="147" t="s">
        <v>185</v>
      </c>
      <c r="H51" s="159" t="s">
        <v>101</v>
      </c>
      <c r="I51" s="160" t="s">
        <v>231</v>
      </c>
      <c r="J51" s="160" t="s">
        <v>69</v>
      </c>
      <c r="P51" s="155">
        <v>1216.5899999999999</v>
      </c>
      <c r="Q51" s="155">
        <v>1256.29</v>
      </c>
      <c r="R51" s="155">
        <v>1299.27</v>
      </c>
      <c r="S51" s="155">
        <v>1343.61</v>
      </c>
    </row>
    <row r="52" spans="4:19" s="135" customFormat="1" ht="11.25" customHeight="1" x14ac:dyDescent="0.2">
      <c r="D52" s="168" t="str">
        <v>Meter program change</v>
      </c>
      <c r="E52" s="147" t="s">
        <v>187</v>
      </c>
      <c r="H52" s="159" t="s">
        <v>101</v>
      </c>
      <c r="I52" s="160" t="s">
        <v>231</v>
      </c>
      <c r="J52" s="160" t="s">
        <v>69</v>
      </c>
      <c r="P52" s="155">
        <v>165.52</v>
      </c>
      <c r="Q52" s="155">
        <v>170.92</v>
      </c>
      <c r="R52" s="155">
        <v>176.77</v>
      </c>
      <c r="S52" s="155">
        <v>182.8</v>
      </c>
    </row>
    <row r="53" spans="4:19" s="135" customFormat="1" ht="11.25" customHeight="1" x14ac:dyDescent="0.2">
      <c r="D53" s="168" t="str">
        <v>Historical data requests</v>
      </c>
      <c r="E53" s="147" t="s">
        <v>188</v>
      </c>
      <c r="H53" s="159" t="s">
        <v>101</v>
      </c>
      <c r="I53" s="160" t="s">
        <v>231</v>
      </c>
      <c r="J53" s="160" t="s">
        <v>69</v>
      </c>
      <c r="P53" s="155">
        <v>201.91</v>
      </c>
      <c r="Q53" s="155">
        <v>208.5</v>
      </c>
      <c r="R53" s="155">
        <v>215.63</v>
      </c>
      <c r="S53" s="155">
        <v>222.99</v>
      </c>
    </row>
    <row r="54" spans="4:19" s="135" customFormat="1" ht="11.25" customHeight="1" x14ac:dyDescent="0.2">
      <c r="D54" s="168" t="str">
        <v>Standing data requests</v>
      </c>
      <c r="E54" s="147" t="s">
        <v>188</v>
      </c>
      <c r="H54" s="159" t="s">
        <v>101</v>
      </c>
      <c r="I54" s="160" t="s">
        <v>231</v>
      </c>
      <c r="J54" s="160" t="s">
        <v>69</v>
      </c>
      <c r="P54" s="155">
        <v>44.65</v>
      </c>
      <c r="Q54" s="155">
        <v>46.11</v>
      </c>
      <c r="R54" s="155">
        <v>47.69</v>
      </c>
      <c r="S54" s="155">
        <v>49.32</v>
      </c>
    </row>
    <row r="55" spans="4:19" s="135" customFormat="1" ht="11.25" customHeight="1" x14ac:dyDescent="0.2">
      <c r="D55" s="168" t="str">
        <v>Customer transfers</v>
      </c>
      <c r="E55" s="147" t="s">
        <v>188</v>
      </c>
      <c r="H55" s="159" t="s">
        <v>101</v>
      </c>
      <c r="I55" s="160" t="s">
        <v>231</v>
      </c>
      <c r="J55" s="160" t="s">
        <v>69</v>
      </c>
      <c r="P55" s="155">
        <v>178.59</v>
      </c>
      <c r="Q55" s="155">
        <v>184.42</v>
      </c>
      <c r="R55" s="155">
        <v>190.73</v>
      </c>
      <c r="S55" s="155">
        <v>197.24</v>
      </c>
    </row>
    <row r="56" spans="4:19" s="135" customFormat="1" ht="11.25" customHeight="1" x14ac:dyDescent="0.2">
      <c r="D56" s="168" t="str">
        <v>Network tariff change request</v>
      </c>
      <c r="E56" s="147" t="s">
        <v>188</v>
      </c>
      <c r="H56" s="159" t="s">
        <v>101</v>
      </c>
      <c r="I56" s="160" t="s">
        <v>231</v>
      </c>
      <c r="J56" s="160" t="s">
        <v>69</v>
      </c>
      <c r="P56" s="155">
        <v>44.65</v>
      </c>
      <c r="Q56" s="155">
        <v>46.11</v>
      </c>
      <c r="R56" s="155">
        <v>47.69</v>
      </c>
      <c r="S56" s="155">
        <v>49.32</v>
      </c>
    </row>
    <row r="57" spans="4:19" s="135" customFormat="1" ht="11.25" customHeight="1" x14ac:dyDescent="0.2">
      <c r="D57" s="168" t="str">
        <v>Prepayment Vending Charge</v>
      </c>
      <c r="E57" s="147" t="s">
        <v>188</v>
      </c>
      <c r="H57" s="159" t="s">
        <v>101</v>
      </c>
      <c r="I57" s="160" t="s">
        <v>231</v>
      </c>
      <c r="J57" s="160" t="s">
        <v>69</v>
      </c>
      <c r="P57" s="155">
        <v>0.49</v>
      </c>
      <c r="Q57" s="155">
        <v>0.51</v>
      </c>
      <c r="R57" s="155">
        <v>0.53</v>
      </c>
      <c r="S57" s="155">
        <v>0.55000000000000004</v>
      </c>
    </row>
    <row r="58" spans="4:19" s="135" customFormat="1" ht="11.25" customHeight="1" x14ac:dyDescent="0.2">
      <c r="D58" s="168" t="str">
        <v>Prepayment Meter Support Charge</v>
      </c>
      <c r="E58" s="147" t="s">
        <v>188</v>
      </c>
      <c r="H58" s="159" t="s">
        <v>101</v>
      </c>
      <c r="I58" s="160" t="s">
        <v>231</v>
      </c>
      <c r="J58" s="160" t="s">
        <v>69</v>
      </c>
      <c r="P58" s="155">
        <v>67.97</v>
      </c>
      <c r="Q58" s="155">
        <v>70.19</v>
      </c>
      <c r="R58" s="155">
        <v>72.59</v>
      </c>
      <c r="S58" s="155">
        <v>75.069999999999993</v>
      </c>
    </row>
    <row r="59" spans="4:19" s="135" customFormat="1" ht="11.25" customHeight="1" x14ac:dyDescent="0.2">
      <c r="D59" s="168" t="str">
        <v xml:space="preserve">Installation of Minor Apparatus </v>
      </c>
      <c r="E59" s="147" t="s">
        <v>189</v>
      </c>
      <c r="H59" s="159" t="s">
        <v>101</v>
      </c>
      <c r="I59" s="160" t="s">
        <v>231</v>
      </c>
      <c r="J59" s="160" t="s">
        <v>69</v>
      </c>
      <c r="P59" s="155">
        <v>639.62</v>
      </c>
      <c r="Q59" s="155">
        <v>660.49</v>
      </c>
      <c r="R59" s="155">
        <v>683.08</v>
      </c>
      <c r="S59" s="155">
        <v>706.39</v>
      </c>
    </row>
    <row r="60" spans="4:19" s="135" customFormat="1" ht="11.25" customHeight="1" x14ac:dyDescent="0.2">
      <c r="D60" s="168" t="str">
        <v>Class 1 &amp; 2 PV service</v>
      </c>
      <c r="E60" s="147" t="s">
        <v>185</v>
      </c>
      <c r="H60" s="159" t="s">
        <v>101</v>
      </c>
      <c r="I60" s="160" t="s">
        <v>231</v>
      </c>
      <c r="J60" s="160" t="s">
        <v>69</v>
      </c>
      <c r="P60" s="155">
        <v>89.3</v>
      </c>
      <c r="Q60" s="155">
        <v>92.21</v>
      </c>
      <c r="R60" s="155">
        <v>95.36</v>
      </c>
      <c r="S60" s="155">
        <v>98.61</v>
      </c>
    </row>
    <row r="61" spans="4:19" s="135" customFormat="1" ht="11.25" customHeight="1" x14ac:dyDescent="0.2"/>
    <row r="62" spans="4:19" s="135" customFormat="1" ht="11.25" customHeight="1" x14ac:dyDescent="0.2">
      <c r="D62" s="167" t="s">
        <v>212</v>
      </c>
    </row>
    <row r="63" spans="4:19" s="135" customFormat="1" ht="11.25" customHeight="1" x14ac:dyDescent="0.2">
      <c r="D63" s="168" t="str">
        <f t="array" ref="D63:D78">LU_Quoted_Services</f>
        <v>Design related services</v>
      </c>
      <c r="E63" s="147" t="s">
        <v>89</v>
      </c>
      <c r="H63" s="159" t="s">
        <v>101</v>
      </c>
      <c r="I63" s="160" t="s">
        <v>216</v>
      </c>
      <c r="J63" s="160" t="s">
        <v>69</v>
      </c>
      <c r="P63" s="155">
        <v>159.38999999999999</v>
      </c>
      <c r="Q63" s="155">
        <v>164.59</v>
      </c>
      <c r="R63" s="155">
        <v>170.22</v>
      </c>
      <c r="S63" s="155">
        <v>176.03</v>
      </c>
    </row>
    <row r="64" spans="4:19" s="135" customFormat="1" ht="11.25" customHeight="1" x14ac:dyDescent="0.2">
      <c r="D64" s="168" t="str">
        <v>Connection applications</v>
      </c>
      <c r="E64" s="147" t="s">
        <v>89</v>
      </c>
      <c r="H64" s="159" t="s">
        <v>101</v>
      </c>
      <c r="I64" s="160" t="s">
        <v>216</v>
      </c>
      <c r="J64" s="160" t="s">
        <v>69</v>
      </c>
      <c r="P64" s="155">
        <v>159.38999999999999</v>
      </c>
      <c r="Q64" s="155">
        <v>164.59</v>
      </c>
      <c r="R64" s="155">
        <v>170.22</v>
      </c>
      <c r="S64" s="155">
        <v>176.03</v>
      </c>
    </row>
    <row r="65" spans="1:19" s="135" customFormat="1" ht="11.25" customHeight="1" x14ac:dyDescent="0.2">
      <c r="D65" s="168" t="str">
        <v>Access permits, oversights and facilitation</v>
      </c>
      <c r="E65" s="147" t="s">
        <v>89</v>
      </c>
      <c r="H65" s="159" t="s">
        <v>101</v>
      </c>
      <c r="I65" s="160" t="s">
        <v>216</v>
      </c>
      <c r="J65" s="160" t="s">
        <v>69</v>
      </c>
      <c r="P65" s="155">
        <v>159.38999999999999</v>
      </c>
      <c r="Q65" s="155">
        <v>164.59</v>
      </c>
      <c r="R65" s="155">
        <v>170.22</v>
      </c>
      <c r="S65" s="155">
        <v>176.03</v>
      </c>
    </row>
    <row r="66" spans="1:19" s="135" customFormat="1" ht="11.25" customHeight="1" x14ac:dyDescent="0.2">
      <c r="D66" s="168" t="str">
        <v>Notices of arrangement and completion notices</v>
      </c>
      <c r="E66" s="147" t="s">
        <v>89</v>
      </c>
      <c r="H66" s="159" t="s">
        <v>101</v>
      </c>
      <c r="I66" s="160" t="s">
        <v>216</v>
      </c>
      <c r="J66" s="160" t="s">
        <v>69</v>
      </c>
      <c r="P66" s="155">
        <v>89.3</v>
      </c>
      <c r="Q66" s="155">
        <v>92.21</v>
      </c>
      <c r="R66" s="155">
        <v>95.36</v>
      </c>
      <c r="S66" s="155">
        <v>98.61</v>
      </c>
    </row>
    <row r="67" spans="1:19" s="135" customFormat="1" ht="11.25" customHeight="1" x14ac:dyDescent="0.2">
      <c r="D67" s="168" t="str">
        <v>Network related property services</v>
      </c>
      <c r="E67" s="147" t="s">
        <v>89</v>
      </c>
      <c r="H67" s="159" t="s">
        <v>101</v>
      </c>
      <c r="I67" s="160" t="s">
        <v>216</v>
      </c>
      <c r="J67" s="160" t="s">
        <v>69</v>
      </c>
      <c r="P67" s="155">
        <v>89.3</v>
      </c>
      <c r="Q67" s="155">
        <v>92.21</v>
      </c>
      <c r="R67" s="155">
        <v>95.36</v>
      </c>
      <c r="S67" s="155">
        <v>98.61</v>
      </c>
    </row>
    <row r="68" spans="1:19" s="135" customFormat="1" ht="11.25" customHeight="1" x14ac:dyDescent="0.2">
      <c r="D68" s="168" t="str">
        <v>Site establishment services</v>
      </c>
      <c r="E68" s="147" t="s">
        <v>89</v>
      </c>
      <c r="H68" s="159" t="s">
        <v>101</v>
      </c>
      <c r="I68" s="160" t="s">
        <v>216</v>
      </c>
      <c r="J68" s="160" t="s">
        <v>69</v>
      </c>
      <c r="P68" s="155">
        <v>89.3</v>
      </c>
      <c r="Q68" s="155">
        <v>92.21</v>
      </c>
      <c r="R68" s="155">
        <v>95.36</v>
      </c>
      <c r="S68" s="155">
        <v>98.61</v>
      </c>
    </row>
    <row r="69" spans="1:19" s="135" customFormat="1" ht="11.25" customHeight="1" x14ac:dyDescent="0.2">
      <c r="D69" s="168" t="str">
        <v>Network safety services</v>
      </c>
      <c r="E69" s="147" t="s">
        <v>89</v>
      </c>
      <c r="H69" s="159" t="s">
        <v>101</v>
      </c>
      <c r="I69" s="160" t="s">
        <v>216</v>
      </c>
      <c r="J69" s="160" t="s">
        <v>69</v>
      </c>
      <c r="P69" s="155">
        <v>135.91999999999999</v>
      </c>
      <c r="Q69" s="155">
        <v>140.36000000000001</v>
      </c>
      <c r="R69" s="155">
        <v>145.16</v>
      </c>
      <c r="S69" s="155">
        <v>150.11000000000001</v>
      </c>
    </row>
    <row r="70" spans="1:19" s="135" customFormat="1" ht="11.25" customHeight="1" x14ac:dyDescent="0.2">
      <c r="D70" s="168" t="str">
        <v>Network tariff change request</v>
      </c>
      <c r="E70" s="147" t="s">
        <v>89</v>
      </c>
      <c r="H70" s="159" t="s">
        <v>101</v>
      </c>
      <c r="I70" s="160" t="s">
        <v>216</v>
      </c>
      <c r="J70" s="160" t="s">
        <v>69</v>
      </c>
      <c r="P70" s="155">
        <v>89.3</v>
      </c>
      <c r="Q70" s="155">
        <v>92.21</v>
      </c>
      <c r="R70" s="155">
        <v>95.36</v>
      </c>
      <c r="S70" s="155">
        <v>98.61</v>
      </c>
    </row>
    <row r="71" spans="1:19" s="135" customFormat="1" ht="11.25" customHeight="1" x14ac:dyDescent="0.2">
      <c r="D71" s="168" t="str">
        <v>Planned interruption - customer request</v>
      </c>
      <c r="E71" s="147" t="s">
        <v>89</v>
      </c>
      <c r="H71" s="159" t="s">
        <v>101</v>
      </c>
      <c r="I71" s="160" t="s">
        <v>216</v>
      </c>
      <c r="J71" s="160" t="s">
        <v>69</v>
      </c>
      <c r="P71" s="155">
        <v>135.91999999999999</v>
      </c>
      <c r="Q71" s="155">
        <v>140.36000000000001</v>
      </c>
      <c r="R71" s="155">
        <v>145.16</v>
      </c>
      <c r="S71" s="155">
        <v>150.11000000000001</v>
      </c>
    </row>
    <row r="72" spans="1:19" s="135" customFormat="1" ht="11.25" customHeight="1" x14ac:dyDescent="0.2">
      <c r="D72" s="168" t="str">
        <v>Performance of a statutory right (access prevented)</v>
      </c>
      <c r="E72" s="147" t="s">
        <v>89</v>
      </c>
      <c r="H72" s="159" t="s">
        <v>101</v>
      </c>
      <c r="I72" s="160" t="s">
        <v>216</v>
      </c>
      <c r="J72" s="160" t="s">
        <v>69</v>
      </c>
      <c r="P72" s="155">
        <v>135.91999999999999</v>
      </c>
      <c r="Q72" s="155">
        <v>140.36000000000001</v>
      </c>
      <c r="R72" s="155">
        <v>145.16</v>
      </c>
      <c r="S72" s="155">
        <v>150.11000000000001</v>
      </c>
    </row>
    <row r="73" spans="1:19" s="135" customFormat="1" ht="11.25" customHeight="1" x14ac:dyDescent="0.2">
      <c r="D73" s="168" t="str">
        <v>Provision of network related training to third parties</v>
      </c>
      <c r="E73" s="147" t="s">
        <v>89</v>
      </c>
      <c r="H73" s="159" t="s">
        <v>101</v>
      </c>
      <c r="I73" s="160" t="s">
        <v>216</v>
      </c>
      <c r="J73" s="160" t="s">
        <v>69</v>
      </c>
      <c r="P73" s="155">
        <v>89.3</v>
      </c>
      <c r="Q73" s="155">
        <v>92.21</v>
      </c>
      <c r="R73" s="155">
        <v>95.36</v>
      </c>
      <c r="S73" s="155">
        <v>98.61</v>
      </c>
    </row>
    <row r="74" spans="1:19" s="135" customFormat="1" ht="11.25" customHeight="1" x14ac:dyDescent="0.2">
      <c r="D74" s="168" t="str">
        <v>Non-standard reporting services</v>
      </c>
      <c r="E74" s="147" t="s">
        <v>89</v>
      </c>
      <c r="H74" s="159" t="s">
        <v>101</v>
      </c>
      <c r="I74" s="160" t="s">
        <v>216</v>
      </c>
      <c r="J74" s="160" t="s">
        <v>69</v>
      </c>
      <c r="P74" s="155">
        <v>89.3</v>
      </c>
      <c r="Q74" s="155">
        <v>92.21</v>
      </c>
      <c r="R74" s="155">
        <v>95.36</v>
      </c>
      <c r="S74" s="155">
        <v>98.61</v>
      </c>
    </row>
    <row r="75" spans="1:19" s="135" customFormat="1" ht="11.25" customHeight="1" x14ac:dyDescent="0.2">
      <c r="D75" s="168" t="str">
        <v xml:space="preserve">Services provided for retailer of last resort event </v>
      </c>
      <c r="E75" s="147" t="s">
        <v>89</v>
      </c>
      <c r="H75" s="159" t="s">
        <v>101</v>
      </c>
      <c r="I75" s="160" t="s">
        <v>216</v>
      </c>
      <c r="J75" s="160" t="s">
        <v>69</v>
      </c>
      <c r="P75" s="155">
        <v>89.3</v>
      </c>
      <c r="Q75" s="155">
        <v>92.21</v>
      </c>
      <c r="R75" s="155">
        <v>95.36</v>
      </c>
      <c r="S75" s="155">
        <v>98.61</v>
      </c>
    </row>
    <row r="76" spans="1:19" s="135" customFormat="1" ht="11.25" customHeight="1" x14ac:dyDescent="0.2">
      <c r="D76" s="168" t="str">
        <v>Rectification of illegal connections service</v>
      </c>
      <c r="E76" s="147" t="s">
        <v>89</v>
      </c>
      <c r="H76" s="159" t="s">
        <v>101</v>
      </c>
      <c r="I76" s="160" t="s">
        <v>216</v>
      </c>
      <c r="J76" s="160" t="s">
        <v>69</v>
      </c>
      <c r="P76" s="155">
        <v>135.91999999999999</v>
      </c>
      <c r="Q76" s="155">
        <v>140.36000000000001</v>
      </c>
      <c r="R76" s="155">
        <v>145.16</v>
      </c>
      <c r="S76" s="155">
        <v>150.11000000000001</v>
      </c>
    </row>
    <row r="77" spans="1:19" s="135" customFormat="1" ht="11.25" customHeight="1" x14ac:dyDescent="0.2">
      <c r="D77" s="168" t="str">
        <v>Network changes at customer or retailer's request</v>
      </c>
      <c r="E77" s="147" t="s">
        <v>89</v>
      </c>
      <c r="H77" s="159" t="s">
        <v>101</v>
      </c>
      <c r="I77" s="160" t="s">
        <v>216</v>
      </c>
      <c r="J77" s="160" t="s">
        <v>69</v>
      </c>
      <c r="P77" s="155">
        <v>135.91999999999999</v>
      </c>
      <c r="Q77" s="155">
        <v>140.36000000000001</v>
      </c>
      <c r="R77" s="155">
        <v>145.16</v>
      </c>
      <c r="S77" s="155">
        <v>150.11000000000001</v>
      </c>
    </row>
    <row r="78" spans="1:19" s="135" customFormat="1" ht="11.25" customHeight="1" x14ac:dyDescent="0.2">
      <c r="D78" s="168" t="str">
        <v>Annual prepayment meter licensing fee *</v>
      </c>
      <c r="E78" s="147" t="s">
        <v>89</v>
      </c>
      <c r="H78" s="159" t="s">
        <v>101</v>
      </c>
      <c r="I78" s="160" t="s">
        <v>216</v>
      </c>
      <c r="J78" s="160" t="s">
        <v>69</v>
      </c>
      <c r="P78" s="155">
        <v>89.3</v>
      </c>
      <c r="Q78" s="155">
        <v>92.21</v>
      </c>
      <c r="R78" s="155">
        <v>95.36</v>
      </c>
      <c r="S78" s="155">
        <v>98.61</v>
      </c>
    </row>
    <row r="79" spans="1:19" s="135" customFormat="1" ht="11.25" customHeight="1" x14ac:dyDescent="0.2"/>
    <row r="80" spans="1:19" s="135" customFormat="1" ht="11.25" hidden="1" customHeight="1" outlineLevel="1" x14ac:dyDescent="0.2">
      <c r="A80" s="163">
        <f>IF(SUM($O80:$S80)=0,0,1)</f>
        <v>0</v>
      </c>
      <c r="D80" s="157" t="s">
        <v>121</v>
      </c>
      <c r="E80" s="156"/>
      <c r="F80" s="156"/>
      <c r="G80" s="158"/>
      <c r="H80" s="156"/>
      <c r="I80" s="156"/>
      <c r="J80" s="156"/>
      <c r="K80" s="150"/>
      <c r="P80" s="151" cm="1">
        <f t="array" ref="P80">IF(SUMPRODUCT(--ISERROR(P29:P78*1))&lt;&gt;0,1,0)</f>
        <v>0</v>
      </c>
      <c r="Q80" s="151" cm="1">
        <f t="array" ref="Q80">IF(SUMPRODUCT(--ISERROR(Q29:Q78*1))&lt;&gt;0,1,0)</f>
        <v>0</v>
      </c>
      <c r="R80" s="151" cm="1">
        <f t="array" ref="R80">IF(SUMPRODUCT(--ISERROR(R29:R78*1))&lt;&gt;0,1,0)</f>
        <v>0</v>
      </c>
      <c r="S80" s="151" cm="1">
        <f t="array" ref="S80">IF(SUMPRODUCT(--ISERROR(S29:S78*1))&lt;&gt;0,1,0)</f>
        <v>0</v>
      </c>
    </row>
    <row r="81" spans="3:19" s="135" customFormat="1" ht="11.25" customHeight="1" collapsed="1" x14ac:dyDescent="0.2"/>
    <row r="82" spans="3:19" s="138" customFormat="1" ht="14" x14ac:dyDescent="0.2">
      <c r="C82" s="138" t="s">
        <v>221</v>
      </c>
    </row>
    <row r="83" spans="3:19" s="135" customFormat="1" ht="11.25" customHeight="1" x14ac:dyDescent="0.2"/>
    <row r="84" spans="3:19" s="135" customFormat="1" ht="11.25" customHeight="1" x14ac:dyDescent="0.2"/>
    <row r="85" spans="3:19" s="135" customFormat="1" ht="11.25" customHeight="1" x14ac:dyDescent="0.2">
      <c r="D85" s="153" t="s">
        <v>211</v>
      </c>
      <c r="H85" s="148" t="str">
        <f>Lookup!E$20</f>
        <v>Source</v>
      </c>
      <c r="I85" s="148" t="str">
        <f>Lookup!F$20</f>
        <v>Unit</v>
      </c>
      <c r="J85" s="148" t="str">
        <f>Lookup!G$20</f>
        <v>Basis</v>
      </c>
      <c r="L85" s="134"/>
      <c r="P85" s="148" t="str">
        <f>P$10</f>
        <v>FY21</v>
      </c>
      <c r="Q85" s="148" t="str">
        <f>Q$10</f>
        <v>FY22</v>
      </c>
      <c r="R85" s="148" t="str">
        <f>R$10</f>
        <v>FY23</v>
      </c>
      <c r="S85" s="148" t="str">
        <f>S$10</f>
        <v>FY24</v>
      </c>
    </row>
    <row r="86" spans="3:19" s="135" customFormat="1" ht="11.25" customHeight="1" x14ac:dyDescent="0.2">
      <c r="P86" s="154"/>
      <c r="Q86" s="154"/>
      <c r="R86" s="154"/>
      <c r="S86" s="154"/>
    </row>
    <row r="87" spans="3:19" s="135" customFormat="1" ht="11.25" customHeight="1" x14ac:dyDescent="0.2">
      <c r="D87" s="167" t="s">
        <v>208</v>
      </c>
      <c r="P87" s="154"/>
      <c r="Q87" s="154"/>
      <c r="R87" s="154"/>
      <c r="S87" s="154"/>
    </row>
    <row r="88" spans="3:19" s="135" customFormat="1" ht="11.25" customHeight="1" x14ac:dyDescent="0.2">
      <c r="D88" s="168" t="str">
        <f t="array" ref="D88:D90">LU_Metering_Services</f>
        <v>1 Phase Meters (including Prepayment)</v>
      </c>
      <c r="H88" s="159" t="s">
        <v>101</v>
      </c>
      <c r="I88" s="160" t="s">
        <v>240</v>
      </c>
      <c r="J88" s="160" t="s">
        <v>69</v>
      </c>
      <c r="P88" s="155">
        <v>0</v>
      </c>
      <c r="Q88" s="155">
        <v>0</v>
      </c>
      <c r="R88" s="155">
        <v>0</v>
      </c>
      <c r="S88" s="155">
        <v>0</v>
      </c>
    </row>
    <row r="89" spans="3:19" s="135" customFormat="1" ht="11.25" customHeight="1" x14ac:dyDescent="0.2">
      <c r="D89" s="168" t="str">
        <v>3 Phase Meters</v>
      </c>
      <c r="H89" s="159" t="s">
        <v>101</v>
      </c>
      <c r="I89" s="160" t="s">
        <v>240</v>
      </c>
      <c r="J89" s="160" t="s">
        <v>69</v>
      </c>
      <c r="P89" s="155">
        <v>0</v>
      </c>
      <c r="Q89" s="155">
        <v>0</v>
      </c>
      <c r="R89" s="155">
        <v>0</v>
      </c>
      <c r="S89" s="155">
        <v>0</v>
      </c>
    </row>
    <row r="90" spans="3:19" s="135" customFormat="1" ht="11.25" customHeight="1" x14ac:dyDescent="0.2">
      <c r="D90" s="168" t="str">
        <v>Dedicated CT and VT meters</v>
      </c>
      <c r="H90" s="159" t="s">
        <v>101</v>
      </c>
      <c r="I90" s="160" t="s">
        <v>240</v>
      </c>
      <c r="J90" s="160" t="s">
        <v>69</v>
      </c>
      <c r="P90" s="155">
        <v>0</v>
      </c>
      <c r="Q90" s="155">
        <v>0</v>
      </c>
      <c r="R90" s="155">
        <v>0</v>
      </c>
      <c r="S90" s="155">
        <v>0</v>
      </c>
    </row>
    <row r="91" spans="3:19" s="135" customFormat="1" ht="11.25" customHeight="1" x14ac:dyDescent="0.2">
      <c r="P91" s="154"/>
      <c r="Q91" s="154"/>
      <c r="R91" s="154"/>
      <c r="S91" s="154"/>
    </row>
    <row r="92" spans="3:19" s="135" customFormat="1" ht="11.25" customHeight="1" x14ac:dyDescent="0.2">
      <c r="D92" s="167" t="s">
        <v>155</v>
      </c>
      <c r="P92" s="154"/>
      <c r="Q92" s="154"/>
      <c r="R92" s="154"/>
      <c r="S92" s="154"/>
    </row>
    <row r="93" spans="3:19" s="135" customFormat="1" ht="11.25" customHeight="1" x14ac:dyDescent="0.2">
      <c r="D93" s="166" t="str">
        <f t="array" ref="D93:D119">LU_Fee_Based_Services</f>
        <v>Disconnection (and final read)</v>
      </c>
      <c r="H93" s="159" t="s">
        <v>101</v>
      </c>
      <c r="I93" s="160" t="s">
        <v>231</v>
      </c>
      <c r="J93" s="160" t="s">
        <v>69</v>
      </c>
      <c r="P93" s="155">
        <v>0</v>
      </c>
      <c r="Q93" s="155">
        <v>0</v>
      </c>
      <c r="R93" s="155">
        <v>0</v>
      </c>
      <c r="S93" s="155">
        <v>0</v>
      </c>
    </row>
    <row r="94" spans="3:19" s="135" customFormat="1" ht="11.25" customHeight="1" x14ac:dyDescent="0.2">
      <c r="D94" s="166" t="str">
        <v>Reconnection</v>
      </c>
      <c r="H94" s="159" t="s">
        <v>101</v>
      </c>
      <c r="I94" s="160" t="s">
        <v>231</v>
      </c>
      <c r="J94" s="160" t="s">
        <v>69</v>
      </c>
      <c r="P94" s="155">
        <v>0</v>
      </c>
      <c r="Q94" s="155">
        <v>0</v>
      </c>
      <c r="R94" s="155">
        <v>0</v>
      </c>
      <c r="S94" s="155">
        <v>0</v>
      </c>
    </row>
    <row r="95" spans="3:19" s="135" customFormat="1" ht="11.25" customHeight="1" x14ac:dyDescent="0.2">
      <c r="D95" s="166" t="str">
        <v>Reconnection - after hours</v>
      </c>
      <c r="H95" s="159" t="s">
        <v>101</v>
      </c>
      <c r="I95" s="160" t="s">
        <v>231</v>
      </c>
      <c r="J95" s="160" t="s">
        <v>69</v>
      </c>
      <c r="P95" s="155">
        <v>0</v>
      </c>
      <c r="Q95" s="155">
        <v>0</v>
      </c>
      <c r="R95" s="155">
        <v>0</v>
      </c>
      <c r="S95" s="155">
        <v>0</v>
      </c>
    </row>
    <row r="96" spans="3:19" s="135" customFormat="1" ht="11.25" customHeight="1" x14ac:dyDescent="0.2">
      <c r="D96" s="166" t="str">
        <v>Temporary disconnection and reconnection - physical dismantling</v>
      </c>
      <c r="H96" s="159" t="s">
        <v>101</v>
      </c>
      <c r="I96" s="160" t="s">
        <v>231</v>
      </c>
      <c r="J96" s="160" t="s">
        <v>69</v>
      </c>
      <c r="P96" s="155">
        <v>0</v>
      </c>
      <c r="Q96" s="155">
        <v>0</v>
      </c>
      <c r="R96" s="155">
        <v>0</v>
      </c>
      <c r="S96" s="155">
        <v>0</v>
      </c>
    </row>
    <row r="97" spans="4:19" s="135" customFormat="1" ht="11.25" customHeight="1" x14ac:dyDescent="0.2">
      <c r="D97" s="166" t="str">
        <v>Provision of 3 phase service</v>
      </c>
      <c r="H97" s="159" t="s">
        <v>101</v>
      </c>
      <c r="I97" s="160" t="s">
        <v>231</v>
      </c>
      <c r="J97" s="160" t="s">
        <v>69</v>
      </c>
      <c r="P97" s="155">
        <v>0</v>
      </c>
      <c r="Q97" s="155">
        <v>0</v>
      </c>
      <c r="R97" s="155">
        <v>0</v>
      </c>
      <c r="S97" s="155">
        <v>0</v>
      </c>
    </row>
    <row r="98" spans="4:19" s="135" customFormat="1" ht="11.25" customHeight="1" x14ac:dyDescent="0.2">
      <c r="D98" s="166" t="str">
        <v>Standard temporary builder’s connection</v>
      </c>
      <c r="H98" s="159" t="s">
        <v>101</v>
      </c>
      <c r="I98" s="160" t="s">
        <v>231</v>
      </c>
      <c r="J98" s="160" t="s">
        <v>69</v>
      </c>
      <c r="P98" s="155">
        <v>0</v>
      </c>
      <c r="Q98" s="155">
        <v>0</v>
      </c>
      <c r="R98" s="155">
        <v>0</v>
      </c>
      <c r="S98" s="155">
        <v>0</v>
      </c>
    </row>
    <row r="99" spans="4:19" s="135" customFormat="1" ht="11.25" customHeight="1" x14ac:dyDescent="0.2">
      <c r="D99" s="166" t="str">
        <v>Temporary disconnection and reconnection - no dismantling</v>
      </c>
      <c r="H99" s="159" t="s">
        <v>101</v>
      </c>
      <c r="I99" s="160" t="s">
        <v>231</v>
      </c>
      <c r="J99" s="160" t="s">
        <v>69</v>
      </c>
      <c r="P99" s="155">
        <v>0</v>
      </c>
      <c r="Q99" s="155">
        <v>0</v>
      </c>
      <c r="R99" s="155">
        <v>0</v>
      </c>
      <c r="S99" s="155">
        <v>0</v>
      </c>
    </row>
    <row r="100" spans="4:19" s="135" customFormat="1" ht="11.25" customHeight="1" x14ac:dyDescent="0.2">
      <c r="D100" s="166" t="str">
        <v>Complex disconnection</v>
      </c>
      <c r="H100" s="159" t="s">
        <v>101</v>
      </c>
      <c r="I100" s="160" t="s">
        <v>231</v>
      </c>
      <c r="J100" s="160" t="s">
        <v>69</v>
      </c>
      <c r="P100" s="155">
        <v>0</v>
      </c>
      <c r="Q100" s="155">
        <v>0</v>
      </c>
      <c r="R100" s="155">
        <v>0</v>
      </c>
      <c r="S100" s="155">
        <v>0</v>
      </c>
    </row>
    <row r="101" spans="4:19" s="135" customFormat="1" ht="11.25" customHeight="1" x14ac:dyDescent="0.2">
      <c r="D101" s="166" t="str">
        <v>Wasted visit fee</v>
      </c>
      <c r="H101" s="159" t="s">
        <v>101</v>
      </c>
      <c r="I101" s="160" t="s">
        <v>231</v>
      </c>
      <c r="J101" s="160" t="s">
        <v>69</v>
      </c>
      <c r="P101" s="155">
        <v>0</v>
      </c>
      <c r="Q101" s="155">
        <v>0</v>
      </c>
      <c r="R101" s="155">
        <v>0</v>
      </c>
      <c r="S101" s="155">
        <v>0</v>
      </c>
    </row>
    <row r="102" spans="4:19" s="135" customFormat="1" ht="11.25" customHeight="1" x14ac:dyDescent="0.2">
      <c r="D102" s="166" t="str">
        <v>Special meter test</v>
      </c>
      <c r="H102" s="159" t="s">
        <v>101</v>
      </c>
      <c r="I102" s="160" t="s">
        <v>231</v>
      </c>
      <c r="J102" s="160" t="s">
        <v>69</v>
      </c>
      <c r="P102" s="155">
        <v>0</v>
      </c>
      <c r="Q102" s="155">
        <v>0</v>
      </c>
      <c r="R102" s="155">
        <v>0</v>
      </c>
      <c r="S102" s="155">
        <v>0</v>
      </c>
    </row>
    <row r="103" spans="4:19" s="135" customFormat="1" ht="11.25" customHeight="1" x14ac:dyDescent="0.2">
      <c r="D103" s="166" t="str">
        <v>Exchange or replace meter – three phase</v>
      </c>
      <c r="H103" s="159" t="s">
        <v>101</v>
      </c>
      <c r="I103" s="160" t="s">
        <v>231</v>
      </c>
      <c r="J103" s="160" t="s">
        <v>69</v>
      </c>
      <c r="P103" s="155">
        <v>0</v>
      </c>
      <c r="Q103" s="155">
        <v>0</v>
      </c>
      <c r="R103" s="155">
        <v>0</v>
      </c>
      <c r="S103" s="155">
        <v>0</v>
      </c>
    </row>
    <row r="104" spans="4:19" s="135" customFormat="1" ht="11.25" customHeight="1" x14ac:dyDescent="0.2">
      <c r="D104" s="166" t="str">
        <v>Exchange or replace meter - single phase</v>
      </c>
      <c r="H104" s="159" t="s">
        <v>101</v>
      </c>
      <c r="I104" s="160" t="s">
        <v>231</v>
      </c>
      <c r="J104" s="160" t="s">
        <v>69</v>
      </c>
      <c r="P104" s="155">
        <v>0</v>
      </c>
      <c r="Q104" s="155">
        <v>0</v>
      </c>
      <c r="R104" s="155">
        <v>0</v>
      </c>
      <c r="S104" s="155">
        <v>0</v>
      </c>
    </row>
    <row r="105" spans="4:19" s="135" customFormat="1" ht="11.25" customHeight="1" x14ac:dyDescent="0.2">
      <c r="D105" s="166" t="str">
        <v>Relocation of meter</v>
      </c>
      <c r="H105" s="159" t="s">
        <v>101</v>
      </c>
      <c r="I105" s="160" t="s">
        <v>231</v>
      </c>
      <c r="J105" s="160" t="s">
        <v>69</v>
      </c>
      <c r="P105" s="155">
        <v>0</v>
      </c>
      <c r="Q105" s="155">
        <v>0</v>
      </c>
      <c r="R105" s="155">
        <v>0</v>
      </c>
      <c r="S105" s="155">
        <v>0</v>
      </c>
    </row>
    <row r="106" spans="4:19" s="135" customFormat="1" ht="11.25" customHeight="1" x14ac:dyDescent="0.2">
      <c r="D106" s="166" t="str">
        <v>Remove meter</v>
      </c>
      <c r="H106" s="159" t="s">
        <v>101</v>
      </c>
      <c r="I106" s="160" t="s">
        <v>231</v>
      </c>
      <c r="J106" s="160" t="s">
        <v>69</v>
      </c>
      <c r="P106" s="155">
        <v>0</v>
      </c>
      <c r="Q106" s="155">
        <v>0</v>
      </c>
      <c r="R106" s="155">
        <v>0</v>
      </c>
      <c r="S106" s="155">
        <v>0</v>
      </c>
    </row>
    <row r="107" spans="4:19" s="135" customFormat="1" ht="11.25" customHeight="1" x14ac:dyDescent="0.2">
      <c r="D107" s="166" t="str">
        <v>General meter inspection</v>
      </c>
      <c r="H107" s="159" t="s">
        <v>101</v>
      </c>
      <c r="I107" s="160" t="s">
        <v>231</v>
      </c>
      <c r="J107" s="160" t="s">
        <v>69</v>
      </c>
      <c r="P107" s="155">
        <v>0</v>
      </c>
      <c r="Q107" s="155">
        <v>0</v>
      </c>
      <c r="R107" s="155">
        <v>0</v>
      </c>
      <c r="S107" s="155">
        <v>0</v>
      </c>
    </row>
    <row r="108" spans="4:19" s="135" customFormat="1" ht="11.25" customHeight="1" x14ac:dyDescent="0.2">
      <c r="D108" s="166" t="str">
        <v>Special meter read - no appointment</v>
      </c>
      <c r="H108" s="159" t="s">
        <v>101</v>
      </c>
      <c r="I108" s="160" t="s">
        <v>231</v>
      </c>
      <c r="J108" s="160" t="s">
        <v>69</v>
      </c>
      <c r="P108" s="155">
        <v>0</v>
      </c>
      <c r="Q108" s="155">
        <v>0</v>
      </c>
      <c r="R108" s="155">
        <v>0</v>
      </c>
      <c r="S108" s="155">
        <v>0</v>
      </c>
    </row>
    <row r="109" spans="4:19" s="135" customFormat="1" ht="11.25" customHeight="1" x14ac:dyDescent="0.2">
      <c r="D109" s="166" t="str">
        <v>Special meter read - appointment</v>
      </c>
      <c r="H109" s="159" t="s">
        <v>101</v>
      </c>
      <c r="I109" s="160" t="s">
        <v>231</v>
      </c>
      <c r="J109" s="160" t="s">
        <v>69</v>
      </c>
      <c r="P109" s="155"/>
      <c r="Q109" s="155">
        <v>0</v>
      </c>
      <c r="R109" s="155">
        <v>0</v>
      </c>
      <c r="S109" s="155">
        <v>0</v>
      </c>
    </row>
    <row r="110" spans="4:19" s="135" customFormat="1" ht="11.25" customHeight="1" x14ac:dyDescent="0.2">
      <c r="D110" s="166" t="str">
        <v>Class 3 PV Assessment</v>
      </c>
      <c r="H110" s="159" t="s">
        <v>101</v>
      </c>
      <c r="I110" s="160" t="s">
        <v>231</v>
      </c>
      <c r="J110" s="160" t="s">
        <v>69</v>
      </c>
      <c r="P110" s="155">
        <v>0</v>
      </c>
      <c r="Q110" s="155">
        <v>0</v>
      </c>
      <c r="R110" s="155">
        <v>0</v>
      </c>
      <c r="S110" s="155">
        <v>0</v>
      </c>
    </row>
    <row r="111" spans="4:19" s="135" customFormat="1" ht="11.25" customHeight="1" x14ac:dyDescent="0.2">
      <c r="D111" s="166" t="str">
        <v>Meter program change</v>
      </c>
      <c r="H111" s="159" t="s">
        <v>101</v>
      </c>
      <c r="I111" s="160" t="s">
        <v>231</v>
      </c>
      <c r="J111" s="160" t="s">
        <v>69</v>
      </c>
      <c r="P111" s="155">
        <v>0</v>
      </c>
      <c r="Q111" s="155">
        <v>0</v>
      </c>
      <c r="R111" s="155">
        <v>0</v>
      </c>
      <c r="S111" s="155">
        <v>0</v>
      </c>
    </row>
    <row r="112" spans="4:19" s="135" customFormat="1" ht="11.25" customHeight="1" x14ac:dyDescent="0.2">
      <c r="D112" s="166" t="str">
        <v>Historical data requests</v>
      </c>
      <c r="H112" s="159" t="s">
        <v>101</v>
      </c>
      <c r="I112" s="160" t="s">
        <v>231</v>
      </c>
      <c r="J112" s="160" t="s">
        <v>69</v>
      </c>
      <c r="P112" s="155">
        <v>0</v>
      </c>
      <c r="Q112" s="155">
        <v>0</v>
      </c>
      <c r="R112" s="155">
        <v>0</v>
      </c>
      <c r="S112" s="155">
        <v>0</v>
      </c>
    </row>
    <row r="113" spans="1:19" s="135" customFormat="1" ht="11.25" customHeight="1" x14ac:dyDescent="0.2">
      <c r="D113" s="166" t="str">
        <v>Standing data requests</v>
      </c>
      <c r="H113" s="159" t="s">
        <v>101</v>
      </c>
      <c r="I113" s="160" t="s">
        <v>231</v>
      </c>
      <c r="J113" s="160" t="s">
        <v>69</v>
      </c>
      <c r="P113" s="155">
        <v>0</v>
      </c>
      <c r="Q113" s="155">
        <v>0</v>
      </c>
      <c r="R113" s="155">
        <v>0</v>
      </c>
      <c r="S113" s="155">
        <v>0</v>
      </c>
    </row>
    <row r="114" spans="1:19" s="135" customFormat="1" ht="11.25" customHeight="1" x14ac:dyDescent="0.2">
      <c r="D114" s="166" t="str">
        <v>Customer transfers</v>
      </c>
      <c r="H114" s="159" t="s">
        <v>101</v>
      </c>
      <c r="I114" s="160" t="s">
        <v>231</v>
      </c>
      <c r="J114" s="160" t="s">
        <v>69</v>
      </c>
      <c r="P114" s="155">
        <v>0</v>
      </c>
      <c r="Q114" s="155">
        <v>0</v>
      </c>
      <c r="R114" s="155">
        <v>0</v>
      </c>
      <c r="S114" s="155">
        <v>0</v>
      </c>
    </row>
    <row r="115" spans="1:19" s="135" customFormat="1" ht="11.25" customHeight="1" x14ac:dyDescent="0.2">
      <c r="D115" s="166" t="str">
        <v>Network tariff change request</v>
      </c>
      <c r="H115" s="159" t="s">
        <v>101</v>
      </c>
      <c r="I115" s="160" t="s">
        <v>231</v>
      </c>
      <c r="J115" s="160" t="s">
        <v>69</v>
      </c>
      <c r="P115" s="155">
        <v>0</v>
      </c>
      <c r="Q115" s="155">
        <v>0</v>
      </c>
      <c r="R115" s="155">
        <v>0</v>
      </c>
      <c r="S115" s="155">
        <v>0</v>
      </c>
    </row>
    <row r="116" spans="1:19" s="135" customFormat="1" ht="11.25" customHeight="1" x14ac:dyDescent="0.2">
      <c r="D116" s="166" t="str">
        <v>Prepayment Vending Charge</v>
      </c>
      <c r="H116" s="159" t="s">
        <v>101</v>
      </c>
      <c r="I116" s="160" t="s">
        <v>231</v>
      </c>
      <c r="J116" s="160" t="s">
        <v>69</v>
      </c>
      <c r="P116" s="155">
        <v>0</v>
      </c>
      <c r="Q116" s="155">
        <v>0</v>
      </c>
      <c r="R116" s="155">
        <v>0</v>
      </c>
      <c r="S116" s="155">
        <v>0</v>
      </c>
    </row>
    <row r="117" spans="1:19" s="135" customFormat="1" ht="11.25" customHeight="1" x14ac:dyDescent="0.2">
      <c r="D117" s="166" t="str">
        <v>Prepayment Meter Support Charge</v>
      </c>
      <c r="H117" s="159" t="s">
        <v>101</v>
      </c>
      <c r="I117" s="160" t="s">
        <v>231</v>
      </c>
      <c r="J117" s="160" t="s">
        <v>69</v>
      </c>
      <c r="P117" s="155">
        <v>0</v>
      </c>
      <c r="Q117" s="155">
        <v>0</v>
      </c>
      <c r="R117" s="155">
        <v>0</v>
      </c>
      <c r="S117" s="155">
        <v>0</v>
      </c>
    </row>
    <row r="118" spans="1:19" s="135" customFormat="1" ht="11.25" customHeight="1" x14ac:dyDescent="0.2">
      <c r="D118" s="166" t="str">
        <v xml:space="preserve">Installation of Minor Apparatus </v>
      </c>
      <c r="H118" s="159" t="s">
        <v>101</v>
      </c>
      <c r="I118" s="160" t="s">
        <v>231</v>
      </c>
      <c r="J118" s="160" t="s">
        <v>69</v>
      </c>
      <c r="P118" s="155">
        <v>0</v>
      </c>
      <c r="Q118" s="155">
        <v>0</v>
      </c>
      <c r="R118" s="155">
        <v>0</v>
      </c>
      <c r="S118" s="155">
        <v>0</v>
      </c>
    </row>
    <row r="119" spans="1:19" s="135" customFormat="1" ht="11.25" customHeight="1" x14ac:dyDescent="0.2">
      <c r="D119" s="166" t="str">
        <v>Class 1 &amp; 2 PV service</v>
      </c>
      <c r="H119" s="159" t="s">
        <v>101</v>
      </c>
      <c r="I119" s="160" t="s">
        <v>231</v>
      </c>
      <c r="J119" s="160" t="s">
        <v>69</v>
      </c>
      <c r="P119" s="155">
        <v>0</v>
      </c>
      <c r="Q119" s="155">
        <v>0</v>
      </c>
      <c r="R119" s="155">
        <v>0</v>
      </c>
      <c r="S119" s="155">
        <v>0</v>
      </c>
    </row>
    <row r="120" spans="1:19" s="135" customFormat="1" ht="11.25" customHeight="1" x14ac:dyDescent="0.2"/>
    <row r="121" spans="1:19" s="135" customFormat="1" ht="11.25" hidden="1" customHeight="1" outlineLevel="1" x14ac:dyDescent="0.2">
      <c r="A121" s="163">
        <f>IF(SUM($O121:$S121)=0,0,1)</f>
        <v>0</v>
      </c>
      <c r="D121" s="157" t="s">
        <v>121</v>
      </c>
      <c r="E121" s="156"/>
      <c r="F121" s="156"/>
      <c r="G121" s="158"/>
      <c r="H121" s="156"/>
      <c r="I121" s="156"/>
      <c r="J121" s="156"/>
      <c r="K121" s="150"/>
      <c r="P121" s="151" cm="1">
        <f t="array" ref="P121">IF(SUMPRODUCT(--ISERROR(P88:P119*1))&lt;&gt;0,1,0)</f>
        <v>0</v>
      </c>
      <c r="Q121" s="151" cm="1">
        <f t="array" ref="Q121">IF(SUMPRODUCT(--ISERROR(Q88:Q119*1))&lt;&gt;0,1,0)</f>
        <v>0</v>
      </c>
      <c r="R121" s="151" cm="1">
        <f t="array" ref="R121">IF(SUMPRODUCT(--ISERROR(R88:R119*1))&lt;&gt;0,1,0)</f>
        <v>0</v>
      </c>
      <c r="S121" s="151" cm="1">
        <f t="array" ref="S121">IF(SUMPRODUCT(--ISERROR(S88:S119*1))&lt;&gt;0,1,0)</f>
        <v>0</v>
      </c>
    </row>
    <row r="122" spans="1:19" s="135" customFormat="1" ht="11.25" customHeight="1" collapsed="1" x14ac:dyDescent="0.2"/>
    <row r="123" spans="1:19" s="4" customFormat="1" ht="15.5" x14ac:dyDescent="0.2">
      <c r="B123" s="4" t="s">
        <v>123</v>
      </c>
    </row>
    <row r="124" spans="1:19" s="6" customFormat="1" ht="11.25" customHeight="1" x14ac:dyDescent="0.2"/>
    <row r="125" spans="1:19" s="6" customFormat="1" ht="11.25" customHeight="1" x14ac:dyDescent="0.2">
      <c r="D125" s="164" t="s">
        <v>246</v>
      </c>
    </row>
    <row r="126" spans="1:19" s="6" customFormat="1" ht="11.25" customHeight="1" x14ac:dyDescent="0.2">
      <c r="D126" s="164" t="s">
        <v>247</v>
      </c>
    </row>
    <row r="127" spans="1:19" s="6" customFormat="1" ht="11.25" customHeight="1" x14ac:dyDescent="0.2">
      <c r="D127" s="82"/>
    </row>
    <row r="128" spans="1:19" s="6" customFormat="1" ht="11.25" customHeight="1" x14ac:dyDescent="0.2"/>
    <row r="129" spans="1:19" s="13" customFormat="1" ht="14" x14ac:dyDescent="0.2">
      <c r="C129" s="13" t="s">
        <v>125</v>
      </c>
    </row>
    <row r="130" spans="1:19" s="6" customFormat="1" ht="11.25" customHeight="1" x14ac:dyDescent="0.2"/>
    <row r="131" spans="1:19" s="6" customFormat="1" ht="11.25" customHeight="1" x14ac:dyDescent="0.2"/>
    <row r="132" spans="1:19" s="6" customFormat="1" ht="11.25" customHeight="1" x14ac:dyDescent="0.2">
      <c r="D132" s="69" t="s">
        <v>109</v>
      </c>
      <c r="H132" s="65" t="str">
        <f>Lookup!E$20</f>
        <v>Source</v>
      </c>
      <c r="I132" s="65" t="str">
        <f>Lookup!F$20</f>
        <v>Unit</v>
      </c>
      <c r="J132" s="65" t="str">
        <f>Lookup!G$20</f>
        <v>Basis</v>
      </c>
      <c r="L132" s="7"/>
      <c r="N132" s="65" t="str">
        <f t="shared" ref="N132:S132" si="1">N$10</f>
        <v>FY19</v>
      </c>
      <c r="O132" s="65" t="str">
        <f t="shared" si="1"/>
        <v>FY20</v>
      </c>
      <c r="P132" s="65" t="str">
        <f t="shared" si="1"/>
        <v>FY21</v>
      </c>
      <c r="Q132" s="65" t="str">
        <f t="shared" si="1"/>
        <v>FY22</v>
      </c>
      <c r="R132" s="65" t="str">
        <f t="shared" si="1"/>
        <v>FY23</v>
      </c>
      <c r="S132" s="65" t="str">
        <f t="shared" si="1"/>
        <v>FY24</v>
      </c>
    </row>
    <row r="133" spans="1:19" s="6" customFormat="1" ht="11.25" customHeight="1" x14ac:dyDescent="0.2">
      <c r="N133" s="70"/>
      <c r="O133" s="70"/>
      <c r="P133" s="70"/>
      <c r="Q133" s="70"/>
      <c r="R133" s="70"/>
      <c r="S133" s="70"/>
    </row>
    <row r="134" spans="1:19" s="6" customFormat="1" ht="11.25" customHeight="1" x14ac:dyDescent="0.2">
      <c r="D134" s="74" t="s">
        <v>129</v>
      </c>
      <c r="H134" s="76" t="s">
        <v>111</v>
      </c>
      <c r="I134" s="77" t="s">
        <v>72</v>
      </c>
      <c r="J134" s="77" t="s">
        <v>35</v>
      </c>
      <c r="N134" s="80"/>
      <c r="O134" s="79">
        <v>2.4248746575396697E-2</v>
      </c>
      <c r="P134" s="79">
        <v>2.4248746575396697E-2</v>
      </c>
      <c r="Q134" s="79">
        <v>2.4248746575396697E-2</v>
      </c>
      <c r="R134" s="79">
        <v>2.4248746575396697E-2</v>
      </c>
      <c r="S134" s="79">
        <v>2.4248746575396697E-2</v>
      </c>
    </row>
    <row r="135" spans="1:19" s="6" customFormat="1" ht="11.25" customHeight="1" x14ac:dyDescent="0.2">
      <c r="D135" s="74" t="s">
        <v>127</v>
      </c>
      <c r="N135" s="70"/>
      <c r="O135" s="70"/>
      <c r="P135" s="70"/>
      <c r="Q135" s="70"/>
      <c r="R135" s="70"/>
      <c r="S135" s="70"/>
    </row>
    <row r="136" spans="1:19" s="6" customFormat="1" ht="11.25" customHeight="1" x14ac:dyDescent="0.2">
      <c r="D136" s="85" t="s">
        <v>146</v>
      </c>
      <c r="H136" s="76" t="s">
        <v>126</v>
      </c>
      <c r="I136" s="77" t="s">
        <v>74</v>
      </c>
      <c r="J136" s="77" t="s">
        <v>35</v>
      </c>
      <c r="N136" s="71">
        <v>112.1</v>
      </c>
      <c r="O136" s="71">
        <v>114.1</v>
      </c>
      <c r="P136" s="71">
        <v>116.2</v>
      </c>
      <c r="Q136" s="71"/>
      <c r="R136" s="71"/>
      <c r="S136" s="71"/>
    </row>
    <row r="137" spans="1:19" s="6" customFormat="1" ht="11.25" customHeight="1" x14ac:dyDescent="0.2">
      <c r="D137" s="85" t="s">
        <v>128</v>
      </c>
      <c r="H137" s="76" t="s">
        <v>126</v>
      </c>
      <c r="I137" s="77" t="s">
        <v>35</v>
      </c>
      <c r="J137" s="77" t="s">
        <v>35</v>
      </c>
      <c r="N137" s="86">
        <v>43070</v>
      </c>
      <c r="O137" s="86">
        <v>43435</v>
      </c>
      <c r="P137" s="86">
        <v>43800</v>
      </c>
      <c r="Q137" s="86">
        <v>44166</v>
      </c>
      <c r="R137" s="86">
        <v>44531</v>
      </c>
      <c r="S137" s="86">
        <v>44896</v>
      </c>
    </row>
    <row r="138" spans="1:19" s="6" customFormat="1" ht="11.25" customHeight="1" x14ac:dyDescent="0.2">
      <c r="N138" s="70"/>
      <c r="O138" s="70"/>
      <c r="P138" s="70"/>
      <c r="Q138" s="70"/>
      <c r="R138" s="70"/>
      <c r="S138" s="70"/>
    </row>
    <row r="139" spans="1:19" s="6" customFormat="1" ht="11.25" customHeight="1" x14ac:dyDescent="0.2">
      <c r="D139" s="90" t="s">
        <v>110</v>
      </c>
      <c r="E139" s="78"/>
      <c r="F139" s="78"/>
      <c r="G139" s="78"/>
      <c r="H139" s="87" t="s">
        <v>126</v>
      </c>
      <c r="I139" s="88" t="s">
        <v>72</v>
      </c>
      <c r="J139" s="88" t="s">
        <v>35</v>
      </c>
      <c r="K139" s="78"/>
      <c r="L139" s="78"/>
      <c r="N139" s="91"/>
      <c r="O139" s="89">
        <f>IF(O136=0,O134,O136/N136-1)</f>
        <v>1.7841213202497874E-2</v>
      </c>
      <c r="P139" s="89">
        <f>IF(P136=0,P134,P136/O136-1)</f>
        <v>1.8404907975460238E-2</v>
      </c>
      <c r="Q139" s="89">
        <f>IF(Q136=0,Q134,Q136/P136-1)</f>
        <v>2.4248746575396697E-2</v>
      </c>
      <c r="R139" s="89">
        <f>IF(R136=0,R134,R136/Q136-1)</f>
        <v>2.4248746575396697E-2</v>
      </c>
      <c r="S139" s="89">
        <f>IF(S136=0,S134,S136/R136-1)</f>
        <v>2.4248746575396697E-2</v>
      </c>
    </row>
    <row r="140" spans="1:19" s="135" customFormat="1" ht="11.25" customHeight="1" x14ac:dyDescent="0.2"/>
    <row r="141" spans="1:19" s="135" customFormat="1" ht="11.25" hidden="1" customHeight="1" outlineLevel="1" x14ac:dyDescent="0.2">
      <c r="A141" s="163">
        <f>IF(SUM($O141:$S141)=0,0,1)</f>
        <v>0</v>
      </c>
      <c r="D141" s="157" t="s">
        <v>121</v>
      </c>
      <c r="E141" s="156"/>
      <c r="F141" s="156"/>
      <c r="G141" s="158"/>
      <c r="H141" s="156"/>
      <c r="I141" s="156"/>
      <c r="J141" s="156"/>
      <c r="K141" s="150"/>
      <c r="O141" s="151">
        <f>IF(ISERROR(O139),1,0)</f>
        <v>0</v>
      </c>
      <c r="P141" s="151">
        <f>IF(ISERROR(P139),1,0)</f>
        <v>0</v>
      </c>
      <c r="Q141" s="151">
        <f t="shared" ref="Q141:S141" si="2">IF(ISERROR(Q139),1,0)</f>
        <v>0</v>
      </c>
      <c r="R141" s="151">
        <f t="shared" si="2"/>
        <v>0</v>
      </c>
      <c r="S141" s="151">
        <f t="shared" si="2"/>
        <v>0</v>
      </c>
    </row>
    <row r="142" spans="1:19" s="6" customFormat="1" ht="11.25" customHeight="1" collapsed="1" x14ac:dyDescent="0.2"/>
    <row r="143" spans="1:19" s="115" customFormat="1" ht="14" x14ac:dyDescent="0.2">
      <c r="C143" s="115" t="str">
        <f>"First Year Tariffs ("&amp;O146&amp;")"</f>
        <v>First Year Tariffs (FY20)</v>
      </c>
    </row>
    <row r="144" spans="1:19" s="114" customFormat="1" ht="11.25" customHeight="1" x14ac:dyDescent="0.2"/>
    <row r="145" spans="4:19" s="114" customFormat="1" ht="11.25" customHeight="1" x14ac:dyDescent="0.2">
      <c r="N145" s="135"/>
      <c r="P145" s="135"/>
      <c r="Q145" s="135"/>
      <c r="R145" s="135"/>
      <c r="S145" s="135"/>
    </row>
    <row r="146" spans="4:19" s="114" customFormat="1" ht="11.25" customHeight="1" x14ac:dyDescent="0.2">
      <c r="D146" s="130" t="s">
        <v>211</v>
      </c>
      <c r="E146" s="148" t="str">
        <f>E$10</f>
        <v>Service Category</v>
      </c>
      <c r="F146" s="135"/>
      <c r="G146" s="129"/>
      <c r="H146" s="148" t="str">
        <f>H$10</f>
        <v>Source</v>
      </c>
      <c r="I146" s="148" t="str">
        <f>I$10</f>
        <v>Unit</v>
      </c>
      <c r="J146" s="148" t="str">
        <f>J$10</f>
        <v>Basis</v>
      </c>
      <c r="L146" s="113"/>
      <c r="N146" s="135"/>
      <c r="O146" s="116" t="str">
        <f t="shared" ref="O146" si="3">O$10</f>
        <v>FY20</v>
      </c>
      <c r="P146" s="135"/>
      <c r="Q146" s="135"/>
      <c r="R146" s="135"/>
      <c r="S146" s="135"/>
    </row>
    <row r="147" spans="4:19" s="114" customFormat="1" ht="11.25" customHeight="1" x14ac:dyDescent="0.2">
      <c r="D147" s="124"/>
      <c r="E147" s="135"/>
      <c r="F147" s="135"/>
      <c r="N147" s="135"/>
      <c r="O147" s="70"/>
      <c r="P147" s="135"/>
      <c r="Q147" s="135"/>
      <c r="R147" s="135"/>
      <c r="S147" s="135"/>
    </row>
    <row r="148" spans="4:19" s="135" customFormat="1" ht="11.25" customHeight="1" x14ac:dyDescent="0.2">
      <c r="D148" s="167" t="s">
        <v>208</v>
      </c>
    </row>
    <row r="149" spans="4:19" s="114" customFormat="1" ht="11.25" customHeight="1" x14ac:dyDescent="0.2">
      <c r="D149" s="168" t="str">
        <f t="array" ref="D149:D151">LU_Metering_Services</f>
        <v>1 Phase Meters (including Prepayment)</v>
      </c>
      <c r="E149" s="135"/>
      <c r="F149" s="135"/>
      <c r="H149" s="76" t="s">
        <v>111</v>
      </c>
      <c r="I149" s="77" t="s">
        <v>240</v>
      </c>
      <c r="J149" s="160" t="s">
        <v>69</v>
      </c>
      <c r="N149" s="135"/>
      <c r="O149" s="155">
        <v>61.48</v>
      </c>
      <c r="P149" s="173"/>
      <c r="Q149" s="135"/>
      <c r="R149" s="135"/>
      <c r="S149" s="135"/>
    </row>
    <row r="150" spans="4:19" s="114" customFormat="1" ht="11.25" customHeight="1" x14ac:dyDescent="0.2">
      <c r="D150" s="168" t="str">
        <v>3 Phase Meters</v>
      </c>
      <c r="E150" s="135"/>
      <c r="F150" s="135"/>
      <c r="H150" s="159" t="s">
        <v>111</v>
      </c>
      <c r="I150" s="160" t="s">
        <v>240</v>
      </c>
      <c r="J150" s="160" t="s">
        <v>69</v>
      </c>
      <c r="N150" s="135"/>
      <c r="O150" s="155">
        <v>67.69</v>
      </c>
      <c r="P150" s="173"/>
      <c r="Q150" s="135"/>
      <c r="R150" s="135"/>
      <c r="S150" s="135"/>
    </row>
    <row r="151" spans="4:19" s="114" customFormat="1" ht="11.25" customHeight="1" x14ac:dyDescent="0.2">
      <c r="D151" s="168" t="str">
        <v>Dedicated CT and VT meters</v>
      </c>
      <c r="H151" s="159" t="s">
        <v>111</v>
      </c>
      <c r="I151" s="160" t="s">
        <v>240</v>
      </c>
      <c r="J151" s="160" t="s">
        <v>69</v>
      </c>
      <c r="N151" s="135"/>
      <c r="O151" s="155">
        <v>114.65</v>
      </c>
      <c r="P151" s="173"/>
      <c r="Q151" s="135"/>
      <c r="R151" s="135"/>
      <c r="S151" s="135"/>
    </row>
    <row r="152" spans="4:19" s="135" customFormat="1" ht="11.25" customHeight="1" x14ac:dyDescent="0.2"/>
    <row r="153" spans="4:19" s="135" customFormat="1" ht="11.25" customHeight="1" x14ac:dyDescent="0.2">
      <c r="D153" s="167" t="s">
        <v>155</v>
      </c>
    </row>
    <row r="154" spans="4:19" s="135" customFormat="1" ht="11.25" customHeight="1" x14ac:dyDescent="0.2">
      <c r="D154" s="168" t="str">
        <f t="array" ref="D154:D180">LU_Fee_Based_Services</f>
        <v>Disconnection (and final read)</v>
      </c>
      <c r="E154" s="147" t="s">
        <v>185</v>
      </c>
      <c r="H154" s="159" t="s">
        <v>111</v>
      </c>
      <c r="I154" s="160" t="s">
        <v>231</v>
      </c>
      <c r="J154" s="160" t="s">
        <v>69</v>
      </c>
      <c r="O154" s="155">
        <v>66.989999999999995</v>
      </c>
      <c r="P154" s="173"/>
    </row>
    <row r="155" spans="4:19" s="135" customFormat="1" ht="11.25" customHeight="1" x14ac:dyDescent="0.2">
      <c r="D155" s="168" t="str">
        <v>Reconnection</v>
      </c>
      <c r="E155" s="147" t="s">
        <v>185</v>
      </c>
      <c r="H155" s="159" t="s">
        <v>111</v>
      </c>
      <c r="I155" s="160" t="s">
        <v>231</v>
      </c>
      <c r="J155" s="160" t="s">
        <v>69</v>
      </c>
      <c r="O155" s="155">
        <v>66.989999999999995</v>
      </c>
      <c r="P155" s="173"/>
    </row>
    <row r="156" spans="4:19" s="135" customFormat="1" ht="11.25" customHeight="1" x14ac:dyDescent="0.2">
      <c r="D156" s="168" t="str">
        <v>Reconnection - after hours</v>
      </c>
      <c r="E156" s="147" t="s">
        <v>185</v>
      </c>
      <c r="H156" s="159" t="s">
        <v>111</v>
      </c>
      <c r="I156" s="160" t="s">
        <v>231</v>
      </c>
      <c r="J156" s="160" t="s">
        <v>69</v>
      </c>
      <c r="O156" s="155">
        <v>124.43</v>
      </c>
      <c r="P156" s="173"/>
    </row>
    <row r="157" spans="4:19" s="135" customFormat="1" ht="11.25" customHeight="1" x14ac:dyDescent="0.2">
      <c r="D157" s="168" t="str">
        <v>Temporary disconnection and reconnection - physical dismantling</v>
      </c>
      <c r="E157" s="147" t="s">
        <v>185</v>
      </c>
      <c r="H157" s="159" t="s">
        <v>111</v>
      </c>
      <c r="I157" s="160" t="s">
        <v>231</v>
      </c>
      <c r="J157" s="160" t="s">
        <v>69</v>
      </c>
      <c r="O157" s="155">
        <v>737.3</v>
      </c>
      <c r="P157" s="173"/>
    </row>
    <row r="158" spans="4:19" s="135" customFormat="1" ht="11.25" customHeight="1" x14ac:dyDescent="0.2">
      <c r="D158" s="168" t="str">
        <v>Provision of 3 phase service</v>
      </c>
      <c r="E158" s="147" t="s">
        <v>185</v>
      </c>
      <c r="H158" s="159" t="s">
        <v>111</v>
      </c>
      <c r="I158" s="160" t="s">
        <v>231</v>
      </c>
      <c r="J158" s="160" t="s">
        <v>69</v>
      </c>
      <c r="O158" s="155">
        <v>1400.88</v>
      </c>
      <c r="P158" s="173"/>
    </row>
    <row r="159" spans="4:19" s="135" customFormat="1" ht="11.25" customHeight="1" x14ac:dyDescent="0.2">
      <c r="D159" s="168" t="str">
        <v>Standard temporary builder’s connection</v>
      </c>
      <c r="E159" s="147" t="s">
        <v>185</v>
      </c>
      <c r="H159" s="159" t="s">
        <v>111</v>
      </c>
      <c r="I159" s="160" t="s">
        <v>231</v>
      </c>
      <c r="J159" s="160" t="s">
        <v>69</v>
      </c>
      <c r="O159" s="155">
        <v>657.68</v>
      </c>
      <c r="P159" s="173"/>
    </row>
    <row r="160" spans="4:19" s="135" customFormat="1" ht="11.25" customHeight="1" x14ac:dyDescent="0.2">
      <c r="D160" s="168" t="str">
        <v>Temporary disconnection and reconnection - no dismantling</v>
      </c>
      <c r="E160" s="147" t="s">
        <v>186</v>
      </c>
      <c r="H160" s="159" t="s">
        <v>111</v>
      </c>
      <c r="I160" s="160" t="s">
        <v>231</v>
      </c>
      <c r="J160" s="160" t="s">
        <v>69</v>
      </c>
      <c r="O160" s="155">
        <v>286.07</v>
      </c>
      <c r="P160" s="173"/>
    </row>
    <row r="161" spans="4:16" s="135" customFormat="1" ht="11.25" customHeight="1" x14ac:dyDescent="0.2">
      <c r="D161" s="168" t="str">
        <v>Complex disconnection</v>
      </c>
      <c r="E161" s="147" t="s">
        <v>186</v>
      </c>
      <c r="H161" s="159" t="s">
        <v>111</v>
      </c>
      <c r="I161" s="160" t="s">
        <v>231</v>
      </c>
      <c r="J161" s="160" t="s">
        <v>69</v>
      </c>
      <c r="O161" s="155">
        <v>312.62</v>
      </c>
      <c r="P161" s="173"/>
    </row>
    <row r="162" spans="4:16" s="135" customFormat="1" ht="11.25" customHeight="1" x14ac:dyDescent="0.2">
      <c r="D162" s="168" t="str">
        <v>Wasted visit fee</v>
      </c>
      <c r="E162" s="147" t="s">
        <v>185</v>
      </c>
      <c r="H162" s="159" t="s">
        <v>111</v>
      </c>
      <c r="I162" s="160" t="s">
        <v>231</v>
      </c>
      <c r="J162" s="160" t="s">
        <v>69</v>
      </c>
      <c r="O162" s="155">
        <v>153.36000000000001</v>
      </c>
      <c r="P162" s="173"/>
    </row>
    <row r="163" spans="4:16" s="135" customFormat="1" ht="11.25" customHeight="1" x14ac:dyDescent="0.2">
      <c r="D163" s="168" t="str">
        <v>Special meter test</v>
      </c>
      <c r="E163" s="147" t="s">
        <v>187</v>
      </c>
      <c r="H163" s="159" t="s">
        <v>111</v>
      </c>
      <c r="I163" s="160" t="s">
        <v>231</v>
      </c>
      <c r="J163" s="160" t="s">
        <v>69</v>
      </c>
      <c r="O163" s="155">
        <v>299.35000000000002</v>
      </c>
      <c r="P163" s="173"/>
    </row>
    <row r="164" spans="4:16" s="135" customFormat="1" ht="11.25" customHeight="1" x14ac:dyDescent="0.2">
      <c r="D164" s="168" t="str">
        <v>Exchange or replace meter – three phase</v>
      </c>
      <c r="E164" s="147" t="s">
        <v>187</v>
      </c>
      <c r="H164" s="159" t="s">
        <v>111</v>
      </c>
      <c r="I164" s="160" t="s">
        <v>231</v>
      </c>
      <c r="J164" s="160" t="s">
        <v>69</v>
      </c>
      <c r="O164" s="155">
        <v>660.39</v>
      </c>
      <c r="P164" s="173"/>
    </row>
    <row r="165" spans="4:16" s="135" customFormat="1" ht="11.25" customHeight="1" x14ac:dyDescent="0.2">
      <c r="D165" s="168" t="str">
        <v>Exchange or replace meter - single phase</v>
      </c>
      <c r="E165" s="147" t="s">
        <v>187</v>
      </c>
      <c r="H165" s="159" t="s">
        <v>111</v>
      </c>
      <c r="I165" s="160" t="s">
        <v>231</v>
      </c>
      <c r="J165" s="160" t="s">
        <v>69</v>
      </c>
      <c r="O165" s="155">
        <v>552.87</v>
      </c>
      <c r="P165" s="173"/>
    </row>
    <row r="166" spans="4:16" s="135" customFormat="1" ht="11.25" customHeight="1" x14ac:dyDescent="0.2">
      <c r="D166" s="168" t="str">
        <v>Relocation of meter</v>
      </c>
      <c r="E166" s="147" t="s">
        <v>187</v>
      </c>
      <c r="H166" s="159" t="s">
        <v>111</v>
      </c>
      <c r="I166" s="160" t="s">
        <v>231</v>
      </c>
      <c r="J166" s="160" t="s">
        <v>69</v>
      </c>
      <c r="O166" s="155">
        <v>312.62</v>
      </c>
      <c r="P166" s="173"/>
    </row>
    <row r="167" spans="4:16" s="135" customFormat="1" ht="11.25" customHeight="1" x14ac:dyDescent="0.2">
      <c r="D167" s="168" t="str">
        <v>Remove meter</v>
      </c>
      <c r="E167" s="147" t="s">
        <v>187</v>
      </c>
      <c r="H167" s="159" t="s">
        <v>111</v>
      </c>
      <c r="I167" s="160" t="s">
        <v>231</v>
      </c>
      <c r="J167" s="160" t="s">
        <v>69</v>
      </c>
      <c r="O167" s="155">
        <v>312.62</v>
      </c>
      <c r="P167" s="173"/>
    </row>
    <row r="168" spans="4:16" s="135" customFormat="1" ht="11.25" customHeight="1" x14ac:dyDescent="0.2">
      <c r="D168" s="168" t="str">
        <v>General meter inspection</v>
      </c>
      <c r="E168" s="147" t="s">
        <v>187</v>
      </c>
      <c r="H168" s="159" t="s">
        <v>111</v>
      </c>
      <c r="I168" s="160" t="s">
        <v>231</v>
      </c>
      <c r="J168" s="160" t="s">
        <v>69</v>
      </c>
      <c r="O168" s="155">
        <v>140.09</v>
      </c>
      <c r="P168" s="173"/>
    </row>
    <row r="169" spans="4:16" s="135" customFormat="1" ht="11.25" customHeight="1" x14ac:dyDescent="0.2">
      <c r="D169" s="168" t="str">
        <v>Special meter read - no appointment</v>
      </c>
      <c r="E169" s="147" t="s">
        <v>187</v>
      </c>
      <c r="H169" s="159" t="s">
        <v>111</v>
      </c>
      <c r="I169" s="160" t="s">
        <v>231</v>
      </c>
      <c r="J169" s="160" t="s">
        <v>69</v>
      </c>
      <c r="O169" s="155">
        <v>35.6</v>
      </c>
      <c r="P169" s="173"/>
    </row>
    <row r="170" spans="4:16" s="135" customFormat="1" ht="11.25" customHeight="1" x14ac:dyDescent="0.2">
      <c r="D170" s="168" t="str">
        <v>Special meter read - appointment</v>
      </c>
      <c r="E170" s="147" t="s">
        <v>187</v>
      </c>
      <c r="H170" s="159" t="s">
        <v>111</v>
      </c>
      <c r="I170" s="160" t="s">
        <v>231</v>
      </c>
      <c r="J170" s="160" t="s">
        <v>69</v>
      </c>
      <c r="O170" s="155">
        <v>77</v>
      </c>
      <c r="P170" s="173"/>
    </row>
    <row r="171" spans="4:16" s="135" customFormat="1" ht="11.25" customHeight="1" x14ac:dyDescent="0.2">
      <c r="D171" s="168" t="str">
        <v>Class 3 PV Assessment</v>
      </c>
      <c r="E171" s="147" t="s">
        <v>185</v>
      </c>
      <c r="H171" s="159" t="s">
        <v>111</v>
      </c>
      <c r="I171" s="160" t="s">
        <v>231</v>
      </c>
      <c r="J171" s="160" t="s">
        <v>69</v>
      </c>
      <c r="O171" s="155">
        <v>1187.82</v>
      </c>
      <c r="P171" s="173"/>
    </row>
    <row r="172" spans="4:16" s="135" customFormat="1" ht="11.25" customHeight="1" x14ac:dyDescent="0.2">
      <c r="D172" s="168" t="str">
        <v>Meter program change</v>
      </c>
      <c r="E172" s="147" t="s">
        <v>187</v>
      </c>
      <c r="H172" s="159" t="s">
        <v>111</v>
      </c>
      <c r="I172" s="160" t="s">
        <v>231</v>
      </c>
      <c r="J172" s="160" t="s">
        <v>69</v>
      </c>
      <c r="O172" s="155">
        <v>161.61000000000001</v>
      </c>
      <c r="P172" s="173"/>
    </row>
    <row r="173" spans="4:16" s="135" customFormat="1" ht="11.25" customHeight="1" x14ac:dyDescent="0.2">
      <c r="D173" s="168" t="str">
        <v>Historical data requests</v>
      </c>
      <c r="E173" s="147" t="s">
        <v>188</v>
      </c>
      <c r="H173" s="159" t="s">
        <v>111</v>
      </c>
      <c r="I173" s="160" t="s">
        <v>231</v>
      </c>
      <c r="J173" s="160" t="s">
        <v>69</v>
      </c>
      <c r="O173" s="155">
        <v>197.14</v>
      </c>
      <c r="P173" s="173"/>
    </row>
    <row r="174" spans="4:16" s="135" customFormat="1" ht="11.25" customHeight="1" x14ac:dyDescent="0.2">
      <c r="D174" s="168" t="str">
        <v>Standing data requests</v>
      </c>
      <c r="E174" s="147" t="s">
        <v>188</v>
      </c>
      <c r="H174" s="159" t="s">
        <v>111</v>
      </c>
      <c r="I174" s="160" t="s">
        <v>231</v>
      </c>
      <c r="J174" s="160" t="s">
        <v>69</v>
      </c>
      <c r="O174" s="155">
        <v>43.59</v>
      </c>
      <c r="P174" s="173"/>
    </row>
    <row r="175" spans="4:16" s="135" customFormat="1" ht="11.25" customHeight="1" x14ac:dyDescent="0.2">
      <c r="D175" s="168" t="str">
        <v>Customer transfers</v>
      </c>
      <c r="E175" s="147" t="s">
        <v>188</v>
      </c>
      <c r="H175" s="159" t="s">
        <v>111</v>
      </c>
      <c r="I175" s="160" t="s">
        <v>231</v>
      </c>
      <c r="J175" s="160" t="s">
        <v>69</v>
      </c>
      <c r="O175" s="155">
        <v>174.37</v>
      </c>
      <c r="P175" s="173"/>
    </row>
    <row r="176" spans="4:16" s="135" customFormat="1" ht="11.25" customHeight="1" x14ac:dyDescent="0.2">
      <c r="D176" s="168" t="str">
        <v>Network tariff change request</v>
      </c>
      <c r="E176" s="147" t="s">
        <v>188</v>
      </c>
      <c r="H176" s="159" t="s">
        <v>111</v>
      </c>
      <c r="I176" s="160" t="s">
        <v>231</v>
      </c>
      <c r="J176" s="160" t="s">
        <v>69</v>
      </c>
      <c r="O176" s="155">
        <v>43.59</v>
      </c>
      <c r="P176" s="173"/>
    </row>
    <row r="177" spans="4:16" s="135" customFormat="1" ht="11.25" customHeight="1" x14ac:dyDescent="0.2">
      <c r="D177" s="168" t="str">
        <v>Prepayment Vending Charge</v>
      </c>
      <c r="E177" s="147" t="s">
        <v>188</v>
      </c>
      <c r="H177" s="159" t="s">
        <v>111</v>
      </c>
      <c r="I177" s="160" t="s">
        <v>231</v>
      </c>
      <c r="J177" s="160" t="s">
        <v>69</v>
      </c>
      <c r="O177" s="155">
        <v>0.48</v>
      </c>
      <c r="P177" s="173"/>
    </row>
    <row r="178" spans="4:16" s="135" customFormat="1" ht="11.25" customHeight="1" x14ac:dyDescent="0.2">
      <c r="D178" s="168" t="str">
        <v>Prepayment Meter Support Charge</v>
      </c>
      <c r="E178" s="147" t="s">
        <v>188</v>
      </c>
      <c r="H178" s="159" t="s">
        <v>111</v>
      </c>
      <c r="I178" s="160" t="s">
        <v>231</v>
      </c>
      <c r="J178" s="160" t="s">
        <v>69</v>
      </c>
      <c r="O178" s="155">
        <v>66.36</v>
      </c>
      <c r="P178" s="173"/>
    </row>
    <row r="179" spans="4:16" s="135" customFormat="1" ht="11.25" customHeight="1" x14ac:dyDescent="0.2">
      <c r="D179" s="168" t="str">
        <v xml:space="preserve">Installation of Minor Apparatus </v>
      </c>
      <c r="E179" s="147" t="s">
        <v>189</v>
      </c>
      <c r="H179" s="159" t="s">
        <v>111</v>
      </c>
      <c r="I179" s="160" t="s">
        <v>231</v>
      </c>
      <c r="J179" s="160" t="s">
        <v>69</v>
      </c>
      <c r="O179" s="155">
        <v>624.5</v>
      </c>
      <c r="P179" s="173"/>
    </row>
    <row r="180" spans="4:16" s="135" customFormat="1" ht="11.25" customHeight="1" x14ac:dyDescent="0.2">
      <c r="D180" s="168" t="str">
        <v>Class 1 &amp; 2 PV service</v>
      </c>
      <c r="E180" s="147" t="s">
        <v>185</v>
      </c>
      <c r="H180" s="159" t="s">
        <v>111</v>
      </c>
      <c r="I180" s="160" t="s">
        <v>231</v>
      </c>
      <c r="J180" s="160" t="s">
        <v>69</v>
      </c>
      <c r="O180" s="155">
        <v>87.19</v>
      </c>
      <c r="P180" s="173"/>
    </row>
    <row r="181" spans="4:16" s="135" customFormat="1" ht="11.25" customHeight="1" x14ac:dyDescent="0.2"/>
    <row r="182" spans="4:16" s="135" customFormat="1" ht="11.25" customHeight="1" x14ac:dyDescent="0.2">
      <c r="D182" s="167" t="s">
        <v>212</v>
      </c>
    </row>
    <row r="183" spans="4:16" s="135" customFormat="1" ht="11.25" customHeight="1" x14ac:dyDescent="0.2">
      <c r="D183" s="168" t="str">
        <f t="array" ref="D183:D198">LU_Quoted_Services</f>
        <v>Design related services</v>
      </c>
      <c r="E183" s="147" t="s">
        <v>89</v>
      </c>
      <c r="H183" s="159" t="s">
        <v>111</v>
      </c>
      <c r="I183" s="160" t="s">
        <v>216</v>
      </c>
      <c r="J183" s="160" t="s">
        <v>69</v>
      </c>
      <c r="O183" s="155">
        <v>155.62</v>
      </c>
      <c r="P183" s="173"/>
    </row>
    <row r="184" spans="4:16" s="135" customFormat="1" ht="11.25" customHeight="1" x14ac:dyDescent="0.2">
      <c r="D184" s="168" t="str">
        <v>Connection applications</v>
      </c>
      <c r="E184" s="147" t="s">
        <v>89</v>
      </c>
      <c r="H184" s="159" t="s">
        <v>111</v>
      </c>
      <c r="I184" s="160" t="s">
        <v>216</v>
      </c>
      <c r="J184" s="160" t="s">
        <v>69</v>
      </c>
      <c r="O184" s="155">
        <v>155.62</v>
      </c>
      <c r="P184" s="173"/>
    </row>
    <row r="185" spans="4:16" s="135" customFormat="1" ht="11.25" customHeight="1" x14ac:dyDescent="0.2">
      <c r="D185" s="168" t="str">
        <v>Access permits, oversights and facilitation</v>
      </c>
      <c r="E185" s="147" t="s">
        <v>89</v>
      </c>
      <c r="H185" s="159" t="s">
        <v>111</v>
      </c>
      <c r="I185" s="160" t="s">
        <v>216</v>
      </c>
      <c r="J185" s="160" t="s">
        <v>69</v>
      </c>
      <c r="O185" s="155">
        <v>155.62</v>
      </c>
      <c r="P185" s="173"/>
    </row>
    <row r="186" spans="4:16" s="135" customFormat="1" ht="11.25" customHeight="1" x14ac:dyDescent="0.2">
      <c r="D186" s="168" t="str">
        <v>Notices of arrangement and completion notices</v>
      </c>
      <c r="E186" s="147" t="s">
        <v>89</v>
      </c>
      <c r="H186" s="159" t="s">
        <v>111</v>
      </c>
      <c r="I186" s="160" t="s">
        <v>216</v>
      </c>
      <c r="J186" s="160" t="s">
        <v>69</v>
      </c>
      <c r="O186" s="155">
        <v>87.19</v>
      </c>
      <c r="P186" s="173"/>
    </row>
    <row r="187" spans="4:16" s="135" customFormat="1" ht="11.25" customHeight="1" x14ac:dyDescent="0.2">
      <c r="D187" s="168" t="str">
        <v>Network related property services</v>
      </c>
      <c r="E187" s="147" t="s">
        <v>89</v>
      </c>
      <c r="H187" s="159" t="s">
        <v>111</v>
      </c>
      <c r="I187" s="160" t="s">
        <v>216</v>
      </c>
      <c r="J187" s="160" t="s">
        <v>69</v>
      </c>
      <c r="O187" s="155">
        <v>87.19</v>
      </c>
      <c r="P187" s="173"/>
    </row>
    <row r="188" spans="4:16" s="135" customFormat="1" ht="11.25" customHeight="1" x14ac:dyDescent="0.2">
      <c r="D188" s="168" t="str">
        <v>Site establishment services</v>
      </c>
      <c r="E188" s="147" t="s">
        <v>89</v>
      </c>
      <c r="H188" s="159" t="s">
        <v>111</v>
      </c>
      <c r="I188" s="160" t="s">
        <v>216</v>
      </c>
      <c r="J188" s="160" t="s">
        <v>69</v>
      </c>
      <c r="O188" s="155">
        <v>87.19</v>
      </c>
      <c r="P188" s="173"/>
    </row>
    <row r="189" spans="4:16" s="135" customFormat="1" ht="11.25" customHeight="1" x14ac:dyDescent="0.2">
      <c r="D189" s="168" t="str">
        <v>Network safety services</v>
      </c>
      <c r="E189" s="147" t="s">
        <v>89</v>
      </c>
      <c r="H189" s="159" t="s">
        <v>111</v>
      </c>
      <c r="I189" s="160" t="s">
        <v>216</v>
      </c>
      <c r="J189" s="160" t="s">
        <v>69</v>
      </c>
      <c r="O189" s="155">
        <v>132.71</v>
      </c>
      <c r="P189" s="173"/>
    </row>
    <row r="190" spans="4:16" s="135" customFormat="1" ht="11.25" customHeight="1" x14ac:dyDescent="0.2">
      <c r="D190" s="168" t="str">
        <v>Network tariff change request</v>
      </c>
      <c r="E190" s="147" t="s">
        <v>89</v>
      </c>
      <c r="H190" s="159" t="s">
        <v>111</v>
      </c>
      <c r="I190" s="160" t="s">
        <v>216</v>
      </c>
      <c r="J190" s="160" t="s">
        <v>69</v>
      </c>
      <c r="O190" s="155">
        <v>87.19</v>
      </c>
      <c r="P190" s="173"/>
    </row>
    <row r="191" spans="4:16" s="135" customFormat="1" ht="11.25" customHeight="1" x14ac:dyDescent="0.2">
      <c r="D191" s="168" t="str">
        <v>Planned interruption - customer request</v>
      </c>
      <c r="E191" s="147" t="s">
        <v>89</v>
      </c>
      <c r="H191" s="159" t="s">
        <v>111</v>
      </c>
      <c r="I191" s="160" t="s">
        <v>216</v>
      </c>
      <c r="J191" s="160" t="s">
        <v>69</v>
      </c>
      <c r="O191" s="155">
        <v>132.71</v>
      </c>
      <c r="P191" s="173"/>
    </row>
    <row r="192" spans="4:16" s="135" customFormat="1" ht="11.25" customHeight="1" x14ac:dyDescent="0.2">
      <c r="D192" s="168" t="str">
        <v>Performance of a statutory right (access prevented)</v>
      </c>
      <c r="E192" s="147" t="s">
        <v>89</v>
      </c>
      <c r="H192" s="159" t="s">
        <v>111</v>
      </c>
      <c r="I192" s="160" t="s">
        <v>216</v>
      </c>
      <c r="J192" s="160" t="s">
        <v>69</v>
      </c>
      <c r="O192" s="155">
        <v>132.71</v>
      </c>
      <c r="P192" s="173"/>
    </row>
    <row r="193" spans="1:19" s="135" customFormat="1" ht="11.25" customHeight="1" x14ac:dyDescent="0.2">
      <c r="D193" s="168" t="str">
        <v>Provision of network related training to third parties</v>
      </c>
      <c r="E193" s="147" t="s">
        <v>89</v>
      </c>
      <c r="H193" s="159" t="s">
        <v>111</v>
      </c>
      <c r="I193" s="160" t="s">
        <v>216</v>
      </c>
      <c r="J193" s="160" t="s">
        <v>69</v>
      </c>
      <c r="O193" s="155">
        <v>87.19</v>
      </c>
      <c r="P193" s="173"/>
    </row>
    <row r="194" spans="1:19" s="135" customFormat="1" ht="11.25" customHeight="1" x14ac:dyDescent="0.2">
      <c r="D194" s="168" t="str">
        <v>Non-standard reporting services</v>
      </c>
      <c r="E194" s="147" t="s">
        <v>89</v>
      </c>
      <c r="H194" s="159" t="s">
        <v>111</v>
      </c>
      <c r="I194" s="160" t="s">
        <v>216</v>
      </c>
      <c r="J194" s="160" t="s">
        <v>69</v>
      </c>
      <c r="O194" s="155">
        <v>87.19</v>
      </c>
      <c r="P194" s="173"/>
    </row>
    <row r="195" spans="1:19" s="135" customFormat="1" ht="11.25" customHeight="1" x14ac:dyDescent="0.2">
      <c r="D195" s="168" t="str">
        <v xml:space="preserve">Services provided for retailer of last resort event </v>
      </c>
      <c r="E195" s="147" t="s">
        <v>89</v>
      </c>
      <c r="H195" s="159" t="s">
        <v>111</v>
      </c>
      <c r="I195" s="160" t="s">
        <v>216</v>
      </c>
      <c r="J195" s="160" t="s">
        <v>69</v>
      </c>
      <c r="O195" s="155">
        <v>87.19</v>
      </c>
      <c r="P195" s="173"/>
    </row>
    <row r="196" spans="1:19" s="135" customFormat="1" ht="11.25" customHeight="1" x14ac:dyDescent="0.2">
      <c r="D196" s="168" t="str">
        <v>Rectification of illegal connections service</v>
      </c>
      <c r="E196" s="147" t="s">
        <v>89</v>
      </c>
      <c r="H196" s="159" t="s">
        <v>111</v>
      </c>
      <c r="I196" s="160" t="s">
        <v>216</v>
      </c>
      <c r="J196" s="160" t="s">
        <v>69</v>
      </c>
      <c r="O196" s="155">
        <v>132.71</v>
      </c>
      <c r="P196" s="173"/>
    </row>
    <row r="197" spans="1:19" s="135" customFormat="1" ht="11.25" customHeight="1" x14ac:dyDescent="0.2">
      <c r="D197" s="168" t="str">
        <v>Network changes at customer or retailer's request</v>
      </c>
      <c r="E197" s="147" t="s">
        <v>89</v>
      </c>
      <c r="H197" s="159" t="s">
        <v>111</v>
      </c>
      <c r="I197" s="160" t="s">
        <v>216</v>
      </c>
      <c r="J197" s="160" t="s">
        <v>69</v>
      </c>
      <c r="O197" s="155">
        <v>132.71</v>
      </c>
      <c r="P197" s="173"/>
    </row>
    <row r="198" spans="1:19" s="135" customFormat="1" ht="11.25" customHeight="1" x14ac:dyDescent="0.2">
      <c r="D198" s="168" t="str">
        <v>Annual prepayment meter licensing fee *</v>
      </c>
      <c r="E198" s="147" t="s">
        <v>89</v>
      </c>
      <c r="H198" s="159" t="s">
        <v>111</v>
      </c>
      <c r="I198" s="160" t="s">
        <v>216</v>
      </c>
      <c r="J198" s="160" t="s">
        <v>69</v>
      </c>
      <c r="O198" s="155">
        <v>87.19</v>
      </c>
      <c r="P198" s="173"/>
    </row>
    <row r="199" spans="1:19" s="135" customFormat="1" ht="11.25" customHeight="1" x14ac:dyDescent="0.2"/>
    <row r="200" spans="1:19" s="135" customFormat="1" ht="11.25" hidden="1" customHeight="1" outlineLevel="1" x14ac:dyDescent="0.2">
      <c r="A200" s="163">
        <f>IF(SUM($O200:$S200)=0,0,1)</f>
        <v>0</v>
      </c>
      <c r="D200" s="157" t="s">
        <v>121</v>
      </c>
      <c r="E200" s="156"/>
      <c r="F200" s="156"/>
      <c r="G200" s="158"/>
      <c r="H200" s="156"/>
      <c r="I200" s="156"/>
      <c r="J200" s="156"/>
      <c r="K200" s="150"/>
      <c r="O200" s="151" cm="1">
        <f t="array" ref="O200">IF(SUMPRODUCT(--ISERROR(O149:O198*1))&lt;&gt;0,1,0)</f>
        <v>0</v>
      </c>
    </row>
    <row r="201" spans="1:19" s="135" customFormat="1" ht="11.25" customHeight="1" collapsed="1" x14ac:dyDescent="0.2"/>
    <row r="202" spans="1:19" s="138" customFormat="1" ht="14" x14ac:dyDescent="0.2">
      <c r="C202" s="138" t="s">
        <v>217</v>
      </c>
    </row>
    <row r="203" spans="1:19" s="135" customFormat="1" ht="11.25" customHeight="1" x14ac:dyDescent="0.2"/>
    <row r="204" spans="1:19" s="135" customFormat="1" ht="11.25" customHeight="1" x14ac:dyDescent="0.2"/>
    <row r="205" spans="1:19" s="135" customFormat="1" ht="11.25" customHeight="1" x14ac:dyDescent="0.2">
      <c r="D205" s="153" t="s">
        <v>211</v>
      </c>
      <c r="H205" s="148" t="str">
        <f>Lookup!E$20</f>
        <v>Source</v>
      </c>
      <c r="I205" s="148" t="str">
        <f>Lookup!F$20</f>
        <v>Unit</v>
      </c>
      <c r="J205" s="148" t="str">
        <f>Lookup!G$20</f>
        <v>Basis</v>
      </c>
      <c r="L205" s="134"/>
      <c r="P205" s="148" t="str">
        <f>P$10</f>
        <v>FY21</v>
      </c>
      <c r="Q205" s="148" t="str">
        <f>Q$10</f>
        <v>FY22</v>
      </c>
      <c r="R205" s="148" t="str">
        <f>R$10</f>
        <v>FY23</v>
      </c>
      <c r="S205" s="148" t="str">
        <f>S$10</f>
        <v>FY24</v>
      </c>
    </row>
    <row r="206" spans="1:19" s="135" customFormat="1" ht="11.25" customHeight="1" x14ac:dyDescent="0.2">
      <c r="P206" s="154"/>
      <c r="Q206" s="154"/>
      <c r="R206" s="154"/>
      <c r="S206" s="154"/>
    </row>
    <row r="207" spans="1:19" s="135" customFormat="1" ht="11.25" customHeight="1" x14ac:dyDescent="0.2">
      <c r="D207" s="167" t="s">
        <v>208</v>
      </c>
      <c r="P207" s="154"/>
      <c r="Q207" s="154"/>
      <c r="R207" s="154"/>
      <c r="S207" s="154"/>
    </row>
    <row r="208" spans="1:19" s="135" customFormat="1" ht="11.25" customHeight="1" x14ac:dyDescent="0.2">
      <c r="D208" s="168" t="str">
        <f t="array" ref="D208:D210">LU_Metering_Services</f>
        <v>1 Phase Meters (including Prepayment)</v>
      </c>
      <c r="H208" s="159" t="s">
        <v>111</v>
      </c>
      <c r="I208" s="160" t="s">
        <v>72</v>
      </c>
      <c r="J208" s="160" t="s">
        <v>35</v>
      </c>
      <c r="P208" s="149">
        <v>-3.27E-2</v>
      </c>
      <c r="Q208" s="149">
        <v>-3.27E-2</v>
      </c>
      <c r="R208" s="149">
        <v>-3.27E-2</v>
      </c>
      <c r="S208" s="149">
        <v>-3.27E-2</v>
      </c>
    </row>
    <row r="209" spans="4:19" s="135" customFormat="1" ht="11.25" customHeight="1" x14ac:dyDescent="0.2">
      <c r="D209" s="168" t="str">
        <v>3 Phase Meters</v>
      </c>
      <c r="H209" s="159" t="s">
        <v>111</v>
      </c>
      <c r="I209" s="160" t="s">
        <v>72</v>
      </c>
      <c r="J209" s="160" t="s">
        <v>35</v>
      </c>
      <c r="P209" s="149">
        <v>-3.27E-2</v>
      </c>
      <c r="Q209" s="149">
        <v>-3.27E-2</v>
      </c>
      <c r="R209" s="149">
        <v>-3.27E-2</v>
      </c>
      <c r="S209" s="149">
        <v>-3.27E-2</v>
      </c>
    </row>
    <row r="210" spans="4:19" s="135" customFormat="1" ht="11.25" customHeight="1" x14ac:dyDescent="0.2">
      <c r="D210" s="168" t="str">
        <v>Dedicated CT and VT meters</v>
      </c>
      <c r="H210" s="159" t="s">
        <v>111</v>
      </c>
      <c r="I210" s="160" t="s">
        <v>72</v>
      </c>
      <c r="J210" s="160" t="s">
        <v>35</v>
      </c>
      <c r="P210" s="149">
        <v>-3.27E-2</v>
      </c>
      <c r="Q210" s="149">
        <v>-3.27E-2</v>
      </c>
      <c r="R210" s="149">
        <v>-3.27E-2</v>
      </c>
      <c r="S210" s="149">
        <v>-3.27E-2</v>
      </c>
    </row>
    <row r="211" spans="4:19" s="135" customFormat="1" ht="11.25" customHeight="1" x14ac:dyDescent="0.2">
      <c r="P211" s="154"/>
      <c r="Q211" s="154"/>
      <c r="R211" s="154"/>
      <c r="S211" s="154"/>
    </row>
    <row r="212" spans="4:19" s="135" customFormat="1" ht="11.25" customHeight="1" x14ac:dyDescent="0.2">
      <c r="D212" s="167" t="s">
        <v>155</v>
      </c>
      <c r="P212" s="154"/>
      <c r="Q212" s="154"/>
      <c r="R212" s="154"/>
      <c r="S212" s="154"/>
    </row>
    <row r="213" spans="4:19" s="135" customFormat="1" ht="11.25" customHeight="1" x14ac:dyDescent="0.2">
      <c r="D213" s="166" t="str">
        <f t="array" ref="D213:D239">LU_Fee_Based_Services</f>
        <v>Disconnection (and final read)</v>
      </c>
      <c r="H213" s="159" t="s">
        <v>111</v>
      </c>
      <c r="I213" s="160" t="s">
        <v>72</v>
      </c>
      <c r="J213" s="160" t="s">
        <v>35</v>
      </c>
      <c r="P213" s="149">
        <v>4.2044999999999999E-2</v>
      </c>
      <c r="Q213" s="149">
        <v>4.3853000000000003E-2</v>
      </c>
      <c r="R213" s="149">
        <v>4.4436000000000003E-2</v>
      </c>
      <c r="S213" s="149">
        <v>4.5520999999999999E-2</v>
      </c>
    </row>
    <row r="214" spans="4:19" s="135" customFormat="1" ht="11.25" customHeight="1" x14ac:dyDescent="0.2">
      <c r="D214" s="166" t="str">
        <v>Reconnection</v>
      </c>
      <c r="H214" s="159" t="s">
        <v>111</v>
      </c>
      <c r="I214" s="160" t="s">
        <v>72</v>
      </c>
      <c r="J214" s="160" t="s">
        <v>35</v>
      </c>
      <c r="P214" s="149">
        <v>4.2044999999999999E-2</v>
      </c>
      <c r="Q214" s="149">
        <v>4.3853000000000003E-2</v>
      </c>
      <c r="R214" s="149">
        <v>4.4436000000000003E-2</v>
      </c>
      <c r="S214" s="149">
        <v>4.5520999999999999E-2</v>
      </c>
    </row>
    <row r="215" spans="4:19" s="135" customFormat="1" ht="11.25" customHeight="1" x14ac:dyDescent="0.2">
      <c r="D215" s="166" t="str">
        <v>Reconnection - after hours</v>
      </c>
      <c r="H215" s="159" t="s">
        <v>111</v>
      </c>
      <c r="I215" s="160" t="s">
        <v>72</v>
      </c>
      <c r="J215" s="160" t="s">
        <v>35</v>
      </c>
      <c r="P215" s="149">
        <v>4.2044999999999999E-2</v>
      </c>
      <c r="Q215" s="149">
        <v>4.3853000000000003E-2</v>
      </c>
      <c r="R215" s="149">
        <v>4.4436000000000003E-2</v>
      </c>
      <c r="S215" s="149">
        <v>4.5520999999999999E-2</v>
      </c>
    </row>
    <row r="216" spans="4:19" s="135" customFormat="1" ht="11.25" customHeight="1" x14ac:dyDescent="0.2">
      <c r="D216" s="166" t="str">
        <v>Temporary disconnection and reconnection - physical dismantling</v>
      </c>
      <c r="H216" s="159" t="s">
        <v>111</v>
      </c>
      <c r="I216" s="160" t="s">
        <v>72</v>
      </c>
      <c r="J216" s="160" t="s">
        <v>35</v>
      </c>
      <c r="P216" s="149">
        <v>-5.7080000000000004E-3</v>
      </c>
      <c r="Q216" s="149">
        <v>-8.1869999999999998E-3</v>
      </c>
      <c r="R216" s="149">
        <v>-9.724E-3</v>
      </c>
      <c r="S216" s="149">
        <v>-9.6419999999999995E-3</v>
      </c>
    </row>
    <row r="217" spans="4:19" s="135" customFormat="1" ht="11.25" customHeight="1" x14ac:dyDescent="0.2">
      <c r="D217" s="166" t="str">
        <v>Provision of 3 phase service</v>
      </c>
      <c r="H217" s="159" t="s">
        <v>111</v>
      </c>
      <c r="I217" s="160" t="s">
        <v>72</v>
      </c>
      <c r="J217" s="160" t="s">
        <v>35</v>
      </c>
      <c r="P217" s="149">
        <v>-5.7080000000000004E-3</v>
      </c>
      <c r="Q217" s="149">
        <v>-8.1869999999999998E-3</v>
      </c>
      <c r="R217" s="149">
        <v>-9.724E-3</v>
      </c>
      <c r="S217" s="149">
        <v>-9.6419999999999995E-3</v>
      </c>
    </row>
    <row r="218" spans="4:19" s="135" customFormat="1" ht="11.25" customHeight="1" x14ac:dyDescent="0.2">
      <c r="D218" s="166" t="str">
        <v>Standard temporary builder’s connection</v>
      </c>
      <c r="H218" s="159" t="s">
        <v>111</v>
      </c>
      <c r="I218" s="160" t="s">
        <v>72</v>
      </c>
      <c r="J218" s="160" t="s">
        <v>35</v>
      </c>
      <c r="P218" s="149">
        <v>-5.7080000000000004E-3</v>
      </c>
      <c r="Q218" s="149">
        <v>-8.1869999999999998E-3</v>
      </c>
      <c r="R218" s="149">
        <v>-9.724E-3</v>
      </c>
      <c r="S218" s="149">
        <v>-9.6419999999999995E-3</v>
      </c>
    </row>
    <row r="219" spans="4:19" s="135" customFormat="1" ht="11.25" customHeight="1" x14ac:dyDescent="0.2">
      <c r="D219" s="166" t="str">
        <v>Temporary disconnection and reconnection - no dismantling</v>
      </c>
      <c r="H219" s="159" t="s">
        <v>111</v>
      </c>
      <c r="I219" s="160" t="s">
        <v>72</v>
      </c>
      <c r="J219" s="160" t="s">
        <v>35</v>
      </c>
      <c r="P219" s="149">
        <v>-5.7080000000000004E-3</v>
      </c>
      <c r="Q219" s="149">
        <v>-8.1869999999999998E-3</v>
      </c>
      <c r="R219" s="149">
        <v>-9.724E-3</v>
      </c>
      <c r="S219" s="149">
        <v>-9.6419999999999995E-3</v>
      </c>
    </row>
    <row r="220" spans="4:19" s="135" customFormat="1" ht="11.25" customHeight="1" x14ac:dyDescent="0.2">
      <c r="D220" s="166" t="str">
        <v>Complex disconnection</v>
      </c>
      <c r="H220" s="159" t="s">
        <v>111</v>
      </c>
      <c r="I220" s="160" t="s">
        <v>72</v>
      </c>
      <c r="J220" s="160" t="s">
        <v>35</v>
      </c>
      <c r="P220" s="149">
        <v>-5.7080000000000004E-3</v>
      </c>
      <c r="Q220" s="149">
        <v>-8.1869999999999998E-3</v>
      </c>
      <c r="R220" s="149">
        <v>-9.724E-3</v>
      </c>
      <c r="S220" s="149">
        <v>-9.6419999999999995E-3</v>
      </c>
    </row>
    <row r="221" spans="4:19" s="135" customFormat="1" ht="11.25" customHeight="1" x14ac:dyDescent="0.2">
      <c r="D221" s="166" t="str">
        <v>Wasted visit fee</v>
      </c>
      <c r="H221" s="159" t="s">
        <v>111</v>
      </c>
      <c r="I221" s="160" t="s">
        <v>72</v>
      </c>
      <c r="J221" s="160" t="s">
        <v>35</v>
      </c>
      <c r="P221" s="149">
        <v>-5.7080000000000004E-3</v>
      </c>
      <c r="Q221" s="149">
        <v>-8.1869999999999998E-3</v>
      </c>
      <c r="R221" s="149">
        <v>-9.724E-3</v>
      </c>
      <c r="S221" s="149">
        <v>-9.6419999999999995E-3</v>
      </c>
    </row>
    <row r="222" spans="4:19" s="135" customFormat="1" ht="11.25" customHeight="1" x14ac:dyDescent="0.2">
      <c r="D222" s="166" t="str">
        <v>Special meter test</v>
      </c>
      <c r="H222" s="159" t="s">
        <v>111</v>
      </c>
      <c r="I222" s="160" t="s">
        <v>72</v>
      </c>
      <c r="J222" s="160" t="s">
        <v>35</v>
      </c>
      <c r="P222" s="149">
        <v>-5.7080000000000004E-3</v>
      </c>
      <c r="Q222" s="149">
        <v>-8.1869999999999998E-3</v>
      </c>
      <c r="R222" s="149">
        <v>-9.724E-3</v>
      </c>
      <c r="S222" s="149">
        <v>-9.6419999999999995E-3</v>
      </c>
    </row>
    <row r="223" spans="4:19" s="135" customFormat="1" ht="11.25" customHeight="1" x14ac:dyDescent="0.2">
      <c r="D223" s="166" t="str">
        <v>Exchange or replace meter – three phase</v>
      </c>
      <c r="H223" s="159" t="s">
        <v>111</v>
      </c>
      <c r="I223" s="160" t="s">
        <v>72</v>
      </c>
      <c r="J223" s="160" t="s">
        <v>35</v>
      </c>
      <c r="P223" s="149">
        <v>-5.7080000000000004E-3</v>
      </c>
      <c r="Q223" s="149">
        <v>-8.1869999999999998E-3</v>
      </c>
      <c r="R223" s="149">
        <v>-9.724E-3</v>
      </c>
      <c r="S223" s="149">
        <v>-9.6419999999999995E-3</v>
      </c>
    </row>
    <row r="224" spans="4:19" s="135" customFormat="1" ht="11.25" customHeight="1" x14ac:dyDescent="0.2">
      <c r="D224" s="166" t="str">
        <v>Exchange or replace meter - single phase</v>
      </c>
      <c r="H224" s="159" t="s">
        <v>111</v>
      </c>
      <c r="I224" s="160" t="s">
        <v>72</v>
      </c>
      <c r="J224" s="160" t="s">
        <v>35</v>
      </c>
      <c r="P224" s="149">
        <v>-5.7080000000000004E-3</v>
      </c>
      <c r="Q224" s="149">
        <v>-8.1869999999999998E-3</v>
      </c>
      <c r="R224" s="149">
        <v>-9.724E-3</v>
      </c>
      <c r="S224" s="149">
        <v>-9.6419999999999995E-3</v>
      </c>
    </row>
    <row r="225" spans="4:19" s="135" customFormat="1" ht="11.25" customHeight="1" x14ac:dyDescent="0.2">
      <c r="D225" s="166" t="str">
        <v>Relocation of meter</v>
      </c>
      <c r="H225" s="159" t="s">
        <v>111</v>
      </c>
      <c r="I225" s="160" t="s">
        <v>72</v>
      </c>
      <c r="J225" s="160" t="s">
        <v>35</v>
      </c>
      <c r="P225" s="149">
        <v>-5.7080000000000004E-3</v>
      </c>
      <c r="Q225" s="149">
        <v>-8.1869999999999998E-3</v>
      </c>
      <c r="R225" s="149">
        <v>-9.724E-3</v>
      </c>
      <c r="S225" s="149">
        <v>-9.6419999999999995E-3</v>
      </c>
    </row>
    <row r="226" spans="4:19" s="135" customFormat="1" ht="11.25" customHeight="1" x14ac:dyDescent="0.2">
      <c r="D226" s="166" t="str">
        <v>Remove meter</v>
      </c>
      <c r="H226" s="159" t="s">
        <v>111</v>
      </c>
      <c r="I226" s="160" t="s">
        <v>72</v>
      </c>
      <c r="J226" s="160" t="s">
        <v>35</v>
      </c>
      <c r="P226" s="149">
        <v>-5.7080000000000004E-3</v>
      </c>
      <c r="Q226" s="149">
        <v>-8.1869999999999998E-3</v>
      </c>
      <c r="R226" s="149">
        <v>-9.724E-3</v>
      </c>
      <c r="S226" s="149">
        <v>-9.6419999999999995E-3</v>
      </c>
    </row>
    <row r="227" spans="4:19" s="135" customFormat="1" ht="11.25" customHeight="1" x14ac:dyDescent="0.2">
      <c r="D227" s="166" t="str">
        <v>General meter inspection</v>
      </c>
      <c r="H227" s="159" t="s">
        <v>111</v>
      </c>
      <c r="I227" s="160" t="s">
        <v>72</v>
      </c>
      <c r="J227" s="160" t="s">
        <v>35</v>
      </c>
      <c r="P227" s="149">
        <v>-5.7080000000000004E-3</v>
      </c>
      <c r="Q227" s="149">
        <v>-8.1869999999999998E-3</v>
      </c>
      <c r="R227" s="149">
        <v>-9.724E-3</v>
      </c>
      <c r="S227" s="149">
        <v>-9.6419999999999995E-3</v>
      </c>
    </row>
    <row r="228" spans="4:19" s="135" customFormat="1" ht="11.25" customHeight="1" x14ac:dyDescent="0.2">
      <c r="D228" s="166" t="str">
        <v>Special meter read - no appointment</v>
      </c>
      <c r="H228" s="159" t="s">
        <v>111</v>
      </c>
      <c r="I228" s="160" t="s">
        <v>72</v>
      </c>
      <c r="J228" s="160" t="s">
        <v>35</v>
      </c>
      <c r="P228" s="149">
        <v>-5.7080000000000004E-3</v>
      </c>
      <c r="Q228" s="149">
        <v>-8.1869999999999998E-3</v>
      </c>
      <c r="R228" s="149">
        <v>-9.724E-3</v>
      </c>
      <c r="S228" s="149">
        <v>-9.6419999999999995E-3</v>
      </c>
    </row>
    <row r="229" spans="4:19" s="135" customFormat="1" ht="11.25" customHeight="1" x14ac:dyDescent="0.2">
      <c r="D229" s="166" t="str">
        <v>Special meter read - appointment</v>
      </c>
      <c r="H229" s="159" t="s">
        <v>111</v>
      </c>
      <c r="I229" s="160" t="s">
        <v>72</v>
      </c>
      <c r="J229" s="160" t="s">
        <v>35</v>
      </c>
      <c r="P229" s="149">
        <v>-5.7080000000000004E-3</v>
      </c>
      <c r="Q229" s="149">
        <v>-8.1869999999999998E-3</v>
      </c>
      <c r="R229" s="149">
        <v>-9.724E-3</v>
      </c>
      <c r="S229" s="149">
        <v>-9.6419999999999995E-3</v>
      </c>
    </row>
    <row r="230" spans="4:19" s="135" customFormat="1" ht="11.25" customHeight="1" x14ac:dyDescent="0.2">
      <c r="D230" s="166" t="str">
        <v>Class 3 PV Assessment</v>
      </c>
      <c r="H230" s="159" t="s">
        <v>111</v>
      </c>
      <c r="I230" s="160" t="s">
        <v>72</v>
      </c>
      <c r="J230" s="160" t="s">
        <v>35</v>
      </c>
      <c r="P230" s="149">
        <v>-5.7080000000000004E-3</v>
      </c>
      <c r="Q230" s="149">
        <v>-8.1869999999999998E-3</v>
      </c>
      <c r="R230" s="149">
        <v>-9.724E-3</v>
      </c>
      <c r="S230" s="149">
        <v>-9.6419999999999995E-3</v>
      </c>
    </row>
    <row r="231" spans="4:19" s="135" customFormat="1" ht="11.25" customHeight="1" x14ac:dyDescent="0.2">
      <c r="D231" s="166" t="str">
        <v>Meter program change</v>
      </c>
      <c r="H231" s="159" t="s">
        <v>111</v>
      </c>
      <c r="I231" s="160" t="s">
        <v>72</v>
      </c>
      <c r="J231" s="160" t="s">
        <v>35</v>
      </c>
      <c r="P231" s="149">
        <v>-5.7080000000000004E-3</v>
      </c>
      <c r="Q231" s="149">
        <v>-8.1869999999999998E-3</v>
      </c>
      <c r="R231" s="149">
        <v>-9.724E-3</v>
      </c>
      <c r="S231" s="149">
        <v>-9.6419999999999995E-3</v>
      </c>
    </row>
    <row r="232" spans="4:19" s="135" customFormat="1" ht="11.25" customHeight="1" x14ac:dyDescent="0.2">
      <c r="D232" s="166" t="str">
        <v>Historical data requests</v>
      </c>
      <c r="H232" s="159" t="s">
        <v>111</v>
      </c>
      <c r="I232" s="160" t="s">
        <v>72</v>
      </c>
      <c r="J232" s="160" t="s">
        <v>35</v>
      </c>
      <c r="P232" s="149">
        <v>-5.7080000000000004E-3</v>
      </c>
      <c r="Q232" s="149">
        <v>-8.1869999999999998E-3</v>
      </c>
      <c r="R232" s="149">
        <v>-9.724E-3</v>
      </c>
      <c r="S232" s="149">
        <v>-9.6419999999999995E-3</v>
      </c>
    </row>
    <row r="233" spans="4:19" s="135" customFormat="1" ht="11.25" customHeight="1" x14ac:dyDescent="0.2">
      <c r="D233" s="166" t="str">
        <v>Standing data requests</v>
      </c>
      <c r="H233" s="159" t="s">
        <v>111</v>
      </c>
      <c r="I233" s="160" t="s">
        <v>72</v>
      </c>
      <c r="J233" s="160" t="s">
        <v>35</v>
      </c>
      <c r="P233" s="149">
        <v>-5.7080000000000004E-3</v>
      </c>
      <c r="Q233" s="149">
        <v>-8.1869999999999998E-3</v>
      </c>
      <c r="R233" s="149">
        <v>-9.724E-3</v>
      </c>
      <c r="S233" s="149">
        <v>-9.6419999999999995E-3</v>
      </c>
    </row>
    <row r="234" spans="4:19" s="135" customFormat="1" ht="11.25" customHeight="1" x14ac:dyDescent="0.2">
      <c r="D234" s="166" t="str">
        <v>Customer transfers</v>
      </c>
      <c r="H234" s="159" t="s">
        <v>111</v>
      </c>
      <c r="I234" s="160" t="s">
        <v>72</v>
      </c>
      <c r="J234" s="160" t="s">
        <v>35</v>
      </c>
      <c r="P234" s="149">
        <v>-5.7080000000000004E-3</v>
      </c>
      <c r="Q234" s="149">
        <v>-8.1869999999999998E-3</v>
      </c>
      <c r="R234" s="149">
        <v>-9.724E-3</v>
      </c>
      <c r="S234" s="149">
        <v>-9.6419999999999995E-3</v>
      </c>
    </row>
    <row r="235" spans="4:19" s="135" customFormat="1" ht="11.25" customHeight="1" x14ac:dyDescent="0.2">
      <c r="D235" s="166" t="str">
        <v>Network tariff change request</v>
      </c>
      <c r="H235" s="159" t="s">
        <v>111</v>
      </c>
      <c r="I235" s="160" t="s">
        <v>72</v>
      </c>
      <c r="J235" s="160" t="s">
        <v>35</v>
      </c>
      <c r="P235" s="149">
        <v>-5.7080000000000004E-3</v>
      </c>
      <c r="Q235" s="149">
        <v>-8.1869999999999998E-3</v>
      </c>
      <c r="R235" s="149">
        <v>-9.724E-3</v>
      </c>
      <c r="S235" s="149">
        <v>-9.6419999999999995E-3</v>
      </c>
    </row>
    <row r="236" spans="4:19" s="135" customFormat="1" ht="11.25" customHeight="1" x14ac:dyDescent="0.2">
      <c r="D236" s="166" t="str">
        <v>Prepayment Vending Charge</v>
      </c>
      <c r="H236" s="159" t="s">
        <v>111</v>
      </c>
      <c r="I236" s="160" t="s">
        <v>72</v>
      </c>
      <c r="J236" s="160" t="s">
        <v>35</v>
      </c>
      <c r="P236" s="149">
        <v>-5.7080000000000004E-3</v>
      </c>
      <c r="Q236" s="149">
        <v>-8.1869999999999998E-3</v>
      </c>
      <c r="R236" s="149">
        <v>-9.724E-3</v>
      </c>
      <c r="S236" s="149">
        <v>-9.6419999999999995E-3</v>
      </c>
    </row>
    <row r="237" spans="4:19" s="135" customFormat="1" ht="11.25" customHeight="1" x14ac:dyDescent="0.2">
      <c r="D237" s="166" t="str">
        <v>Prepayment Meter Support Charge</v>
      </c>
      <c r="H237" s="159" t="s">
        <v>111</v>
      </c>
      <c r="I237" s="160" t="s">
        <v>72</v>
      </c>
      <c r="J237" s="160" t="s">
        <v>35</v>
      </c>
      <c r="P237" s="149">
        <v>-5.7080000000000004E-3</v>
      </c>
      <c r="Q237" s="149">
        <v>-8.1869999999999998E-3</v>
      </c>
      <c r="R237" s="149">
        <v>-9.724E-3</v>
      </c>
      <c r="S237" s="149">
        <v>-9.6419999999999995E-3</v>
      </c>
    </row>
    <row r="238" spans="4:19" s="135" customFormat="1" ht="11.25" customHeight="1" x14ac:dyDescent="0.2">
      <c r="D238" s="166" t="str">
        <v xml:space="preserve">Installation of Minor Apparatus </v>
      </c>
      <c r="H238" s="159" t="s">
        <v>111</v>
      </c>
      <c r="I238" s="160" t="s">
        <v>72</v>
      </c>
      <c r="J238" s="160" t="s">
        <v>35</v>
      </c>
      <c r="P238" s="149">
        <v>-5.7080000000000004E-3</v>
      </c>
      <c r="Q238" s="149">
        <v>-8.1869999999999998E-3</v>
      </c>
      <c r="R238" s="149">
        <v>-9.724E-3</v>
      </c>
      <c r="S238" s="149">
        <v>-9.6419999999999995E-3</v>
      </c>
    </row>
    <row r="239" spans="4:19" s="135" customFormat="1" ht="11.25" customHeight="1" x14ac:dyDescent="0.2">
      <c r="D239" s="166" t="str">
        <v>Class 1 &amp; 2 PV service</v>
      </c>
      <c r="H239" s="159" t="s">
        <v>111</v>
      </c>
      <c r="I239" s="160" t="s">
        <v>72</v>
      </c>
      <c r="J239" s="160" t="s">
        <v>35</v>
      </c>
      <c r="P239" s="149">
        <v>-5.7080000000000004E-3</v>
      </c>
      <c r="Q239" s="149">
        <v>-8.1869999999999998E-3</v>
      </c>
      <c r="R239" s="149">
        <v>-9.724E-3</v>
      </c>
      <c r="S239" s="149">
        <v>-9.6419999999999995E-3</v>
      </c>
    </row>
    <row r="240" spans="4:19" s="135" customFormat="1" ht="11.25" customHeight="1" x14ac:dyDescent="0.2">
      <c r="P240" s="154"/>
      <c r="Q240" s="154"/>
      <c r="R240" s="154"/>
      <c r="S240" s="154"/>
    </row>
    <row r="241" spans="4:19" s="135" customFormat="1" ht="11.25" customHeight="1" x14ac:dyDescent="0.2">
      <c r="D241" s="167" t="s">
        <v>212</v>
      </c>
      <c r="P241" s="154"/>
      <c r="Q241" s="154"/>
      <c r="R241" s="154"/>
      <c r="S241" s="154"/>
    </row>
    <row r="242" spans="4:19" s="135" customFormat="1" ht="11.25" customHeight="1" x14ac:dyDescent="0.2">
      <c r="D242" s="166" t="str">
        <f t="array" ref="D242:D257">LU_Quoted_Services</f>
        <v>Design related services</v>
      </c>
      <c r="H242" s="159" t="s">
        <v>111</v>
      </c>
      <c r="I242" s="160" t="s">
        <v>72</v>
      </c>
      <c r="J242" s="160" t="s">
        <v>35</v>
      </c>
      <c r="P242" s="149">
        <v>-5.7080000000000004E-3</v>
      </c>
      <c r="Q242" s="149">
        <v>-8.1869999999999998E-3</v>
      </c>
      <c r="R242" s="149">
        <v>-9.724E-3</v>
      </c>
      <c r="S242" s="149">
        <v>-9.6419999999999995E-3</v>
      </c>
    </row>
    <row r="243" spans="4:19" s="135" customFormat="1" ht="11.25" customHeight="1" x14ac:dyDescent="0.2">
      <c r="D243" s="166" t="str">
        <v>Connection applications</v>
      </c>
      <c r="H243" s="159" t="s">
        <v>111</v>
      </c>
      <c r="I243" s="160" t="s">
        <v>72</v>
      </c>
      <c r="J243" s="160" t="s">
        <v>35</v>
      </c>
      <c r="P243" s="149">
        <v>-5.7080000000000004E-3</v>
      </c>
      <c r="Q243" s="149">
        <v>-8.1869999999999998E-3</v>
      </c>
      <c r="R243" s="149">
        <v>-9.724E-3</v>
      </c>
      <c r="S243" s="149">
        <v>-9.6419999999999995E-3</v>
      </c>
    </row>
    <row r="244" spans="4:19" s="135" customFormat="1" ht="11.25" customHeight="1" x14ac:dyDescent="0.2">
      <c r="D244" s="166" t="str">
        <v>Access permits, oversights and facilitation</v>
      </c>
      <c r="H244" s="159" t="s">
        <v>111</v>
      </c>
      <c r="I244" s="160" t="s">
        <v>72</v>
      </c>
      <c r="J244" s="160" t="s">
        <v>35</v>
      </c>
      <c r="P244" s="149">
        <v>-5.7080000000000004E-3</v>
      </c>
      <c r="Q244" s="149">
        <v>-8.1869999999999998E-3</v>
      </c>
      <c r="R244" s="149">
        <v>-9.724E-3</v>
      </c>
      <c r="S244" s="149">
        <v>-9.6419999999999995E-3</v>
      </c>
    </row>
    <row r="245" spans="4:19" s="135" customFormat="1" ht="11.25" customHeight="1" x14ac:dyDescent="0.2">
      <c r="D245" s="166" t="str">
        <v>Notices of arrangement and completion notices</v>
      </c>
      <c r="H245" s="159" t="s">
        <v>111</v>
      </c>
      <c r="I245" s="160" t="s">
        <v>72</v>
      </c>
      <c r="J245" s="160" t="s">
        <v>35</v>
      </c>
      <c r="P245" s="149">
        <v>-5.7080000000000004E-3</v>
      </c>
      <c r="Q245" s="149">
        <v>-8.1869999999999998E-3</v>
      </c>
      <c r="R245" s="149">
        <v>-9.724E-3</v>
      </c>
      <c r="S245" s="149">
        <v>-9.6419999999999995E-3</v>
      </c>
    </row>
    <row r="246" spans="4:19" s="135" customFormat="1" ht="11.25" customHeight="1" x14ac:dyDescent="0.2">
      <c r="D246" s="166" t="str">
        <v>Network related property services</v>
      </c>
      <c r="H246" s="159" t="s">
        <v>111</v>
      </c>
      <c r="I246" s="160" t="s">
        <v>72</v>
      </c>
      <c r="J246" s="160" t="s">
        <v>35</v>
      </c>
      <c r="P246" s="149">
        <v>-5.7080000000000004E-3</v>
      </c>
      <c r="Q246" s="149">
        <v>-8.1869999999999998E-3</v>
      </c>
      <c r="R246" s="149">
        <v>-9.724E-3</v>
      </c>
      <c r="S246" s="149">
        <v>-9.6419999999999995E-3</v>
      </c>
    </row>
    <row r="247" spans="4:19" s="135" customFormat="1" ht="11.25" customHeight="1" x14ac:dyDescent="0.2">
      <c r="D247" s="166" t="str">
        <v>Site establishment services</v>
      </c>
      <c r="H247" s="159" t="s">
        <v>111</v>
      </c>
      <c r="I247" s="160" t="s">
        <v>72</v>
      </c>
      <c r="J247" s="160" t="s">
        <v>35</v>
      </c>
      <c r="P247" s="149">
        <v>-5.7080000000000004E-3</v>
      </c>
      <c r="Q247" s="149">
        <v>-8.1869999999999998E-3</v>
      </c>
      <c r="R247" s="149">
        <v>-9.724E-3</v>
      </c>
      <c r="S247" s="149">
        <v>-9.6419999999999995E-3</v>
      </c>
    </row>
    <row r="248" spans="4:19" s="135" customFormat="1" ht="11.25" customHeight="1" x14ac:dyDescent="0.2">
      <c r="D248" s="166" t="str">
        <v>Network safety services</v>
      </c>
      <c r="H248" s="159" t="s">
        <v>111</v>
      </c>
      <c r="I248" s="160" t="s">
        <v>72</v>
      </c>
      <c r="J248" s="160" t="s">
        <v>35</v>
      </c>
      <c r="P248" s="149">
        <v>-5.7080000000000004E-3</v>
      </c>
      <c r="Q248" s="149">
        <v>-8.1869999999999998E-3</v>
      </c>
      <c r="R248" s="149">
        <v>-9.724E-3</v>
      </c>
      <c r="S248" s="149">
        <v>-9.6419999999999995E-3</v>
      </c>
    </row>
    <row r="249" spans="4:19" s="135" customFormat="1" ht="11.25" customHeight="1" x14ac:dyDescent="0.2">
      <c r="D249" s="166" t="str">
        <v>Network tariff change request</v>
      </c>
      <c r="H249" s="159" t="s">
        <v>111</v>
      </c>
      <c r="I249" s="160" t="s">
        <v>72</v>
      </c>
      <c r="J249" s="160" t="s">
        <v>35</v>
      </c>
      <c r="P249" s="149">
        <v>-5.7080000000000004E-3</v>
      </c>
      <c r="Q249" s="149">
        <v>-8.1869999999999998E-3</v>
      </c>
      <c r="R249" s="149">
        <v>-9.724E-3</v>
      </c>
      <c r="S249" s="149">
        <v>-9.6419999999999995E-3</v>
      </c>
    </row>
    <row r="250" spans="4:19" s="135" customFormat="1" ht="11.25" customHeight="1" x14ac:dyDescent="0.2">
      <c r="D250" s="166" t="str">
        <v>Planned interruption - customer request</v>
      </c>
      <c r="H250" s="159" t="s">
        <v>111</v>
      </c>
      <c r="I250" s="160" t="s">
        <v>72</v>
      </c>
      <c r="J250" s="160" t="s">
        <v>35</v>
      </c>
      <c r="P250" s="149">
        <v>-5.7080000000000004E-3</v>
      </c>
      <c r="Q250" s="149">
        <v>-8.1869999999999998E-3</v>
      </c>
      <c r="R250" s="149">
        <v>-9.724E-3</v>
      </c>
      <c r="S250" s="149">
        <v>-9.6419999999999995E-3</v>
      </c>
    </row>
    <row r="251" spans="4:19" s="135" customFormat="1" ht="11.25" customHeight="1" x14ac:dyDescent="0.2">
      <c r="D251" s="166" t="str">
        <v>Performance of a statutory right (access prevented)</v>
      </c>
      <c r="H251" s="159" t="s">
        <v>111</v>
      </c>
      <c r="I251" s="160" t="s">
        <v>72</v>
      </c>
      <c r="J251" s="160" t="s">
        <v>35</v>
      </c>
      <c r="P251" s="149">
        <v>-5.7080000000000004E-3</v>
      </c>
      <c r="Q251" s="149">
        <v>-8.1869999999999998E-3</v>
      </c>
      <c r="R251" s="149">
        <v>-9.724E-3</v>
      </c>
      <c r="S251" s="149">
        <v>-9.6419999999999995E-3</v>
      </c>
    </row>
    <row r="252" spans="4:19" s="135" customFormat="1" ht="11.25" customHeight="1" x14ac:dyDescent="0.2">
      <c r="D252" s="166" t="str">
        <v>Provision of network related training to third parties</v>
      </c>
      <c r="H252" s="159" t="s">
        <v>111</v>
      </c>
      <c r="I252" s="160" t="s">
        <v>72</v>
      </c>
      <c r="J252" s="160" t="s">
        <v>35</v>
      </c>
      <c r="P252" s="149">
        <v>-5.7080000000000004E-3</v>
      </c>
      <c r="Q252" s="149">
        <v>-8.1869999999999998E-3</v>
      </c>
      <c r="R252" s="149">
        <v>-9.724E-3</v>
      </c>
      <c r="S252" s="149">
        <v>-9.6419999999999995E-3</v>
      </c>
    </row>
    <row r="253" spans="4:19" s="135" customFormat="1" ht="11.25" customHeight="1" x14ac:dyDescent="0.2">
      <c r="D253" s="166" t="str">
        <v>Non-standard reporting services</v>
      </c>
      <c r="H253" s="159" t="s">
        <v>111</v>
      </c>
      <c r="I253" s="160" t="s">
        <v>72</v>
      </c>
      <c r="J253" s="160" t="s">
        <v>35</v>
      </c>
      <c r="P253" s="149">
        <v>-5.7080000000000004E-3</v>
      </c>
      <c r="Q253" s="149">
        <v>-8.1869999999999998E-3</v>
      </c>
      <c r="R253" s="149">
        <v>-9.724E-3</v>
      </c>
      <c r="S253" s="149">
        <v>-9.6419999999999995E-3</v>
      </c>
    </row>
    <row r="254" spans="4:19" s="135" customFormat="1" ht="11.25" customHeight="1" x14ac:dyDescent="0.2">
      <c r="D254" s="166" t="str">
        <v xml:space="preserve">Services provided for retailer of last resort event </v>
      </c>
      <c r="H254" s="159" t="s">
        <v>111</v>
      </c>
      <c r="I254" s="160" t="s">
        <v>72</v>
      </c>
      <c r="J254" s="160" t="s">
        <v>35</v>
      </c>
      <c r="P254" s="149">
        <v>-5.7080000000000004E-3</v>
      </c>
      <c r="Q254" s="149">
        <v>-8.1869999999999998E-3</v>
      </c>
      <c r="R254" s="149">
        <v>-9.724E-3</v>
      </c>
      <c r="S254" s="149">
        <v>-9.6419999999999995E-3</v>
      </c>
    </row>
    <row r="255" spans="4:19" s="135" customFormat="1" ht="11.25" customHeight="1" x14ac:dyDescent="0.2">
      <c r="D255" s="166" t="str">
        <v>Rectification of illegal connections service</v>
      </c>
      <c r="H255" s="159" t="s">
        <v>111</v>
      </c>
      <c r="I255" s="160" t="s">
        <v>72</v>
      </c>
      <c r="J255" s="160" t="s">
        <v>35</v>
      </c>
      <c r="P255" s="149">
        <v>-5.7080000000000004E-3</v>
      </c>
      <c r="Q255" s="149">
        <v>-8.1869999999999998E-3</v>
      </c>
      <c r="R255" s="149">
        <v>-9.724E-3</v>
      </c>
      <c r="S255" s="149">
        <v>-9.6419999999999995E-3</v>
      </c>
    </row>
    <row r="256" spans="4:19" s="135" customFormat="1" ht="11.25" customHeight="1" x14ac:dyDescent="0.2">
      <c r="D256" s="166" t="str">
        <v>Network changes at customer or retailer's request</v>
      </c>
      <c r="H256" s="159" t="s">
        <v>111</v>
      </c>
      <c r="I256" s="160" t="s">
        <v>72</v>
      </c>
      <c r="J256" s="160" t="s">
        <v>35</v>
      </c>
      <c r="P256" s="149">
        <v>-5.7080000000000004E-3</v>
      </c>
      <c r="Q256" s="149">
        <v>-8.1869999999999998E-3</v>
      </c>
      <c r="R256" s="149">
        <v>-9.724E-3</v>
      </c>
      <c r="S256" s="149">
        <v>-9.6419999999999995E-3</v>
      </c>
    </row>
    <row r="257" spans="1:19" s="135" customFormat="1" ht="11.25" customHeight="1" x14ac:dyDescent="0.2">
      <c r="D257" s="166" t="str">
        <v>Annual prepayment meter licensing fee *</v>
      </c>
      <c r="H257" s="159" t="s">
        <v>111</v>
      </c>
      <c r="I257" s="160" t="s">
        <v>72</v>
      </c>
      <c r="J257" s="160" t="s">
        <v>35</v>
      </c>
      <c r="P257" s="149">
        <v>-5.7080000000000004E-3</v>
      </c>
      <c r="Q257" s="149">
        <v>-8.1869999999999998E-3</v>
      </c>
      <c r="R257" s="149">
        <v>-9.724E-3</v>
      </c>
      <c r="S257" s="149">
        <v>-9.6419999999999995E-3</v>
      </c>
    </row>
    <row r="258" spans="1:19" s="135" customFormat="1" ht="11.25" customHeight="1" x14ac:dyDescent="0.2"/>
    <row r="259" spans="1:19" s="135" customFormat="1" ht="11.25" hidden="1" customHeight="1" outlineLevel="1" x14ac:dyDescent="0.2">
      <c r="A259" s="163">
        <f>IF(SUM($O259:$S259)=0,0,1)</f>
        <v>0</v>
      </c>
      <c r="D259" s="157" t="s">
        <v>121</v>
      </c>
      <c r="E259" s="156"/>
      <c r="F259" s="156"/>
      <c r="G259" s="158"/>
      <c r="H259" s="156"/>
      <c r="I259" s="156"/>
      <c r="J259" s="156"/>
      <c r="K259" s="150"/>
      <c r="P259" s="151" cm="1">
        <f t="array" ref="P259">IF(SUMPRODUCT(--ISERROR(P208:P257*1))&lt;&gt;0,1,0)</f>
        <v>0</v>
      </c>
      <c r="Q259" s="151" cm="1">
        <f t="array" ref="Q259">IF(SUMPRODUCT(--ISERROR(Q208:Q257*1))&lt;&gt;0,1,0)</f>
        <v>0</v>
      </c>
      <c r="R259" s="151" cm="1">
        <f t="array" ref="R259">IF(SUMPRODUCT(--ISERROR(R208:R257*1))&lt;&gt;0,1,0)</f>
        <v>0</v>
      </c>
      <c r="S259" s="151" cm="1">
        <f t="array" ref="S259">IF(SUMPRODUCT(--ISERROR(S208:S257*1))&lt;&gt;0,1,0)</f>
        <v>0</v>
      </c>
    </row>
    <row r="260" spans="1:19" s="135" customFormat="1" ht="11.25" customHeight="1" collapsed="1" x14ac:dyDescent="0.2"/>
    <row r="261" spans="1:19" s="4" customFormat="1" ht="15.5" x14ac:dyDescent="0.2">
      <c r="B261" s="4" t="s">
        <v>33</v>
      </c>
    </row>
  </sheetData>
  <conditionalFormatting sqref="B2">
    <cfRule type="cellIs" dxfId="23" priority="4" operator="notEqual">
      <formula>"No Errors Found"</formula>
    </cfRule>
  </conditionalFormatting>
  <dataValidations count="4">
    <dataValidation type="list" allowBlank="1" showInputMessage="1" showErrorMessage="1" sqref="I121 I136:I137 I134 I88:I90 I154:I180 I208:I210 I149:I151 I213:I239 I200 I80 I259 I34:I60 I29:I31 I242:I257 I183:I198 I63:I78 I93:I119 I139 I141">
      <formula1>LU_Units</formula1>
    </dataValidation>
    <dataValidation type="list" allowBlank="1" showInputMessage="1" showErrorMessage="1" sqref="J121 J136:J137 J134 J88:J90 J259 J149:J151 J213:J239 J34:J60 J80 J154:J180 J208:J210 J200 J29:J31 J242:J257 J183:J198 J63:J78 J93:J119 J139 J141">
      <formula1>LU_Basis</formula1>
    </dataValidation>
    <dataValidation type="list" allowBlank="1" showInputMessage="1" showErrorMessage="1" sqref="E34:E60 E154:E180 E183:E198 E63:E78">
      <formula1>LU_Service_Categories</formula1>
    </dataValidation>
    <dataValidation type="list" allowBlank="1" showInputMessage="1" showErrorMessage="1" sqref="K259 K200 K80 K121 K141">
      <formula1>LU_Timing</formula1>
    </dataValidation>
  </dataValidations>
  <hyperlinks>
    <hyperlink ref="B3:E3" location="TOC!A1" display="TOC!A1"/>
  </hyperlinks>
  <pageMargins left="0.7" right="0.7" top="0.75" bottom="0.75" header="0.3" footer="0.3"/>
  <pageSetup paperSize="9" orientation="portrait" r:id="rId1"/>
  <ignoredErrors>
    <ignoredError sqref="D29:D31 D34:D60 D63:D78 D88:D90 D149:D151 D154:D180 D183:D198 D208:D210"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Z164"/>
  <sheetViews>
    <sheetView showGridLines="0" topLeftCell="K1" workbookViewId="0">
      <pane ySplit="11" topLeftCell="A96" activePane="bottomLeft" state="frozen"/>
      <selection pane="bottomLeft" activeCell="P61" sqref="P61:S110"/>
    </sheetView>
  </sheetViews>
  <sheetFormatPr defaultColWidth="9.33203125" defaultRowHeight="10" outlineLevelRow="1" x14ac:dyDescent="0.2"/>
  <cols>
    <col min="1" max="1" width="3.33203125" style="7" customWidth="1"/>
    <col min="2" max="3" width="2.77734375" style="7" customWidth="1"/>
    <col min="4" max="4" width="34.33203125" style="7" bestFit="1" customWidth="1"/>
    <col min="5" max="5" width="51.33203125" style="7" customWidth="1"/>
    <col min="6" max="6" width="14.44140625" style="7" bestFit="1" customWidth="1"/>
    <col min="7" max="7" width="2.44140625" style="7" customWidth="1"/>
    <col min="8" max="8" width="12.33203125" style="7" customWidth="1"/>
    <col min="9" max="11" width="12.77734375" style="7" customWidth="1"/>
    <col min="12" max="12" width="2.44140625" style="7" customWidth="1"/>
    <col min="13" max="13" width="16" style="7" customWidth="1"/>
    <col min="14" max="14" width="11.77734375" style="7" customWidth="1"/>
    <col min="15" max="15" width="18.109375" style="7" customWidth="1"/>
    <col min="16" max="19" width="15.44140625" style="7" customWidth="1"/>
    <col min="20" max="20" width="19.77734375" style="7" customWidth="1"/>
    <col min="21" max="21" width="15.44140625" style="7" customWidth="1"/>
    <col min="22" max="23" width="11.44140625" style="7" customWidth="1"/>
    <col min="24" max="24" width="12.44140625" style="7" customWidth="1"/>
    <col min="25" max="25" width="14.44140625" style="7" customWidth="1"/>
    <col min="26" max="26" width="16.109375" style="7" bestFit="1" customWidth="1"/>
    <col min="27" max="16384" width="9.33203125" style="7"/>
  </cols>
  <sheetData>
    <row r="1" spans="1:22" ht="19" x14ac:dyDescent="0.2">
      <c r="A1" s="67">
        <f>IF(SUM($A11:$A114)&gt;0,1,0)</f>
        <v>0</v>
      </c>
      <c r="B1" s="5" t="s">
        <v>218</v>
      </c>
    </row>
    <row r="2" spans="1:22" x14ac:dyDescent="0.2">
      <c r="B2" s="18" t="str">
        <f ca="1">Title_Msg</f>
        <v>No Errors Found</v>
      </c>
    </row>
    <row r="3" spans="1:22" x14ac:dyDescent="0.2">
      <c r="B3" s="57" t="str">
        <f>TOC!B1</f>
        <v>Table of Contents</v>
      </c>
      <c r="C3" s="51"/>
      <c r="D3" s="51"/>
      <c r="E3" s="51"/>
    </row>
    <row r="4" spans="1:22" ht="13" x14ac:dyDescent="0.2">
      <c r="B4" s="48" t="str">
        <f>Model_Name</f>
        <v>ACS Pricing Model - Power and Water Corporation</v>
      </c>
    </row>
    <row r="5" spans="1:22" ht="12.5" hidden="1" outlineLevel="1" x14ac:dyDescent="0.2">
      <c r="B5" s="15" t="str">
        <f>Lookup!B15</f>
        <v>Period Start Date</v>
      </c>
      <c r="J5" s="62"/>
      <c r="K5" s="62"/>
      <c r="L5" s="62"/>
      <c r="M5" s="62"/>
      <c r="N5" s="62"/>
      <c r="O5" s="62">
        <f>Lookup!O15</f>
        <v>43647</v>
      </c>
      <c r="P5" s="62">
        <f>Lookup!P15</f>
        <v>44013</v>
      </c>
      <c r="Q5" s="62">
        <f>Lookup!Q15</f>
        <v>44378</v>
      </c>
      <c r="R5" s="62">
        <f>Lookup!R15</f>
        <v>44743</v>
      </c>
      <c r="S5" s="62">
        <f>Lookup!S15</f>
        <v>45108</v>
      </c>
    </row>
    <row r="6" spans="1:22" ht="12.5" hidden="1" outlineLevel="1" x14ac:dyDescent="0.2">
      <c r="B6" s="15" t="str">
        <f>Lookup!B16</f>
        <v>Period End Date</v>
      </c>
      <c r="J6" s="62"/>
      <c r="K6" s="62"/>
      <c r="L6" s="62"/>
      <c r="M6" s="62"/>
      <c r="N6" s="62"/>
      <c r="O6" s="62">
        <f>Lookup!O16</f>
        <v>44012</v>
      </c>
      <c r="P6" s="62">
        <f>Lookup!P16</f>
        <v>44377</v>
      </c>
      <c r="Q6" s="62">
        <f>Lookup!Q16</f>
        <v>44742</v>
      </c>
      <c r="R6" s="62">
        <f>Lookup!R16</f>
        <v>45107</v>
      </c>
      <c r="S6" s="62">
        <f>Lookup!S16</f>
        <v>45473</v>
      </c>
    </row>
    <row r="7" spans="1:22" ht="12.5" hidden="1" outlineLevel="1" x14ac:dyDescent="0.2">
      <c r="B7" s="15" t="str">
        <f>Lookup!B17</f>
        <v>Period Counter</v>
      </c>
      <c r="J7" s="63"/>
      <c r="K7" s="63"/>
      <c r="L7" s="63"/>
      <c r="M7" s="63"/>
      <c r="N7" s="63"/>
      <c r="O7" s="63">
        <f>Lookup!O17</f>
        <v>6</v>
      </c>
      <c r="P7" s="63">
        <f>Lookup!P17</f>
        <v>7</v>
      </c>
      <c r="Q7" s="63">
        <f>Lookup!Q17</f>
        <v>8</v>
      </c>
      <c r="R7" s="63">
        <f>Lookup!R17</f>
        <v>9</v>
      </c>
      <c r="S7" s="63">
        <f>Lookup!S17</f>
        <v>10</v>
      </c>
    </row>
    <row r="8" spans="1:22" ht="12.5" hidden="1" outlineLevel="1" x14ac:dyDescent="0.2">
      <c r="B8" s="15" t="str">
        <f>Lookup!B18</f>
        <v>Year</v>
      </c>
      <c r="J8" s="64"/>
      <c r="K8" s="64"/>
      <c r="L8" s="64"/>
      <c r="M8" s="64"/>
      <c r="N8" s="64"/>
      <c r="O8" s="64">
        <f>Lookup!O18</f>
        <v>2020</v>
      </c>
      <c r="P8" s="64">
        <f>Lookup!P18</f>
        <v>2021</v>
      </c>
      <c r="Q8" s="64">
        <f>Lookup!Q18</f>
        <v>2022</v>
      </c>
      <c r="R8" s="64">
        <f>Lookup!R18</f>
        <v>2023</v>
      </c>
      <c r="S8" s="64">
        <f>Lookup!S18</f>
        <v>2024</v>
      </c>
    </row>
    <row r="9" spans="1:22" ht="12.5" hidden="1" outlineLevel="1" x14ac:dyDescent="0.2">
      <c r="B9" s="15" t="str">
        <f>Lookup!B19</f>
        <v>Days In Year</v>
      </c>
      <c r="J9" s="64"/>
      <c r="K9" s="64"/>
      <c r="L9" s="64"/>
      <c r="M9" s="64"/>
      <c r="N9" s="64"/>
      <c r="O9" s="64">
        <f>Lookup!O19</f>
        <v>366</v>
      </c>
      <c r="P9" s="64">
        <f>Lookup!P19</f>
        <v>365</v>
      </c>
      <c r="Q9" s="64">
        <f>Lookup!Q19</f>
        <v>365</v>
      </c>
      <c r="R9" s="64">
        <f>Lookup!R19</f>
        <v>365</v>
      </c>
      <c r="S9" s="64">
        <f>Lookup!S19</f>
        <v>366</v>
      </c>
    </row>
    <row r="10" spans="1:22" ht="13" collapsed="1" x14ac:dyDescent="0.2">
      <c r="B10" s="10" t="str">
        <f>Lookup!B20</f>
        <v>FY</v>
      </c>
      <c r="D10" s="146" t="s">
        <v>117</v>
      </c>
      <c r="E10" s="146" t="s">
        <v>184</v>
      </c>
      <c r="F10" s="146"/>
      <c r="G10" s="133"/>
      <c r="H10" s="146" t="s">
        <v>64</v>
      </c>
      <c r="I10" s="146" t="s">
        <v>65</v>
      </c>
      <c r="J10" s="146" t="str">
        <f>Lookup!G20</f>
        <v>Basis</v>
      </c>
      <c r="K10" s="61"/>
      <c r="L10" s="61"/>
      <c r="M10" s="146" t="str">
        <f>Lookup!M20</f>
        <v>FY18</v>
      </c>
      <c r="N10" s="146" t="str">
        <f>Lookup!N20</f>
        <v>FY19</v>
      </c>
      <c r="O10" s="61" t="str">
        <f>Lookup!O20</f>
        <v>FY20</v>
      </c>
      <c r="P10" s="61" t="str">
        <f>Lookup!P20</f>
        <v>FY21</v>
      </c>
      <c r="Q10" s="61" t="str">
        <f>Lookup!Q20</f>
        <v>FY22</v>
      </c>
      <c r="R10" s="61" t="str">
        <f>Lookup!R20</f>
        <v>FY23</v>
      </c>
      <c r="S10" s="61" t="str">
        <f>Lookup!S20</f>
        <v>FY24</v>
      </c>
      <c r="U10" s="68"/>
      <c r="V10" s="68"/>
    </row>
    <row r="12" spans="1:22" s="4" customFormat="1" ht="15.5" x14ac:dyDescent="0.2">
      <c r="B12" s="4" t="s">
        <v>213</v>
      </c>
    </row>
    <row r="13" spans="1:22" s="6" customFormat="1" ht="11.25" customHeight="1" x14ac:dyDescent="0.2"/>
    <row r="14" spans="1:22" s="6" customFormat="1" ht="11.25" customHeight="1" x14ac:dyDescent="0.2">
      <c r="D14" s="164" t="s">
        <v>237</v>
      </c>
    </row>
    <row r="15" spans="1:22" s="135" customFormat="1" ht="11.25" customHeight="1" x14ac:dyDescent="0.2">
      <c r="D15" s="164" t="s">
        <v>239</v>
      </c>
    </row>
    <row r="16" spans="1:22" s="135" customFormat="1" ht="11.25" customHeight="1" x14ac:dyDescent="0.2">
      <c r="D16" s="164" t="s">
        <v>238</v>
      </c>
    </row>
    <row r="17" s="6" customFormat="1" ht="11.25" customHeight="1" x14ac:dyDescent="0.2"/>
    <row r="18" s="135" customFormat="1" ht="11.25" customHeight="1" x14ac:dyDescent="0.2"/>
    <row r="19" s="135" customFormat="1" ht="11.25" customHeight="1" x14ac:dyDescent="0.2"/>
    <row r="20" s="135" customFormat="1" ht="11.25" customHeight="1" x14ac:dyDescent="0.2"/>
    <row r="21" s="135" customFormat="1" ht="11.25" customHeight="1" x14ac:dyDescent="0.2"/>
    <row r="22" s="135" customFormat="1" ht="11.25" customHeight="1" x14ac:dyDescent="0.2"/>
    <row r="23" s="135" customFormat="1" ht="11.25" customHeight="1" x14ac:dyDescent="0.2"/>
    <row r="24" s="135" customFormat="1" ht="11.25" customHeight="1" x14ac:dyDescent="0.2"/>
    <row r="25" s="135" customFormat="1" ht="11.25" customHeight="1" x14ac:dyDescent="0.2"/>
    <row r="26" s="135" customFormat="1" ht="11.25" customHeight="1" x14ac:dyDescent="0.2"/>
    <row r="27" s="135" customFormat="1" ht="11.25" customHeight="1" x14ac:dyDescent="0.2"/>
    <row r="28" s="135" customFormat="1" ht="11.25" customHeight="1" x14ac:dyDescent="0.2"/>
    <row r="29" s="135" customFormat="1" ht="11.25" customHeight="1" x14ac:dyDescent="0.2"/>
    <row r="30" s="135" customFormat="1" ht="11.25" customHeight="1" x14ac:dyDescent="0.2"/>
    <row r="31" s="135" customFormat="1" ht="11.25" customHeight="1" x14ac:dyDescent="0.2"/>
    <row r="32" s="135" customFormat="1" ht="11.25" customHeight="1" x14ac:dyDescent="0.2"/>
    <row r="33" s="135" customFormat="1" ht="11.25" customHeight="1" x14ac:dyDescent="0.2"/>
    <row r="34" s="135" customFormat="1" ht="11.25" customHeight="1" x14ac:dyDescent="0.2"/>
    <row r="35" s="135" customFormat="1" ht="11.25" customHeight="1" x14ac:dyDescent="0.2"/>
    <row r="36" s="135" customFormat="1" ht="11.25" customHeight="1" x14ac:dyDescent="0.2"/>
    <row r="37" s="135" customFormat="1" ht="11.25" customHeight="1" x14ac:dyDescent="0.2"/>
    <row r="38" s="135" customFormat="1" ht="11.25" customHeight="1" x14ac:dyDescent="0.2"/>
    <row r="39" s="135" customFormat="1" ht="11.25" customHeight="1" x14ac:dyDescent="0.2"/>
    <row r="40" s="135" customFormat="1" ht="11.25" customHeight="1" x14ac:dyDescent="0.2"/>
    <row r="41" s="135" customFormat="1" ht="11.25" customHeight="1" x14ac:dyDescent="0.2"/>
    <row r="42" s="135" customFormat="1" ht="11.25" customHeight="1" x14ac:dyDescent="0.2"/>
    <row r="43" s="135" customFormat="1" ht="11.25" customHeight="1" x14ac:dyDescent="0.2"/>
    <row r="44" s="135" customFormat="1" ht="11.25" customHeight="1" x14ac:dyDescent="0.2"/>
    <row r="45" s="135" customFormat="1" ht="11.25" customHeight="1" x14ac:dyDescent="0.2"/>
    <row r="46" s="135" customFormat="1" ht="11.25" customHeight="1" x14ac:dyDescent="0.2"/>
    <row r="47" s="6" customFormat="1" ht="11.25" customHeight="1" x14ac:dyDescent="0.2"/>
    <row r="48" s="135" customFormat="1" ht="11.25" customHeight="1" x14ac:dyDescent="0.2"/>
    <row r="49" spans="3:20" s="135" customFormat="1" ht="11.25" customHeight="1" x14ac:dyDescent="0.2"/>
    <row r="50" spans="3:20" s="135" customFormat="1" ht="11.25" customHeight="1" x14ac:dyDescent="0.2"/>
    <row r="51" spans="3:20" s="135" customFormat="1" ht="11.25" customHeight="1" x14ac:dyDescent="0.2"/>
    <row r="52" spans="3:20" s="135" customFormat="1" ht="11.25" customHeight="1" x14ac:dyDescent="0.2"/>
    <row r="53" spans="3:20" s="135" customFormat="1" ht="11.25" customHeight="1" x14ac:dyDescent="0.2"/>
    <row r="54" spans="3:20" s="135" customFormat="1" ht="11.25" customHeight="1" x14ac:dyDescent="0.2"/>
    <row r="55" spans="3:20" s="138" customFormat="1" ht="14" x14ac:dyDescent="0.2">
      <c r="C55" s="138" t="s">
        <v>215</v>
      </c>
    </row>
    <row r="56" spans="3:20" s="135" customFormat="1" ht="11.25" customHeight="1" x14ac:dyDescent="0.2"/>
    <row r="57" spans="3:20" s="135" customFormat="1" ht="11.25" customHeight="1" x14ac:dyDescent="0.2"/>
    <row r="58" spans="3:20" s="135" customFormat="1" ht="11.25" customHeight="1" x14ac:dyDescent="0.2">
      <c r="D58" s="153" t="s">
        <v>211</v>
      </c>
      <c r="H58" s="148" t="str">
        <f>Lookup!E$20</f>
        <v>Source</v>
      </c>
      <c r="I58" s="148" t="str">
        <f>Lookup!F$20</f>
        <v>Unit</v>
      </c>
      <c r="J58" s="148" t="str">
        <f>Lookup!G$20</f>
        <v>Basis</v>
      </c>
      <c r="L58" s="134"/>
      <c r="O58" s="148" t="str">
        <f>O$10</f>
        <v>FY20</v>
      </c>
      <c r="P58" s="148" t="str">
        <f>P$10</f>
        <v>FY21</v>
      </c>
      <c r="Q58" s="148" t="str">
        <f>Q$10</f>
        <v>FY22</v>
      </c>
      <c r="R58" s="148" t="str">
        <f>R$10</f>
        <v>FY23</v>
      </c>
      <c r="S58" s="148" t="str">
        <f>S$10</f>
        <v>FY24</v>
      </c>
    </row>
    <row r="59" spans="3:20" s="135" customFormat="1" ht="11.25" customHeight="1" x14ac:dyDescent="0.2">
      <c r="O59" s="154"/>
      <c r="P59" s="154"/>
      <c r="Q59" s="154"/>
      <c r="R59" s="154"/>
      <c r="S59" s="154"/>
    </row>
    <row r="60" spans="3:20" s="135" customFormat="1" ht="11.25" customHeight="1" x14ac:dyDescent="0.2">
      <c r="D60" s="167" t="s">
        <v>208</v>
      </c>
      <c r="O60" s="154"/>
      <c r="P60" s="154"/>
      <c r="Q60" s="154"/>
      <c r="R60" s="154"/>
      <c r="S60" s="154"/>
    </row>
    <row r="61" spans="3:20" s="135" customFormat="1" ht="11.25" customHeight="1" x14ac:dyDescent="0.2">
      <c r="D61" s="166" t="str">
        <f t="array" ref="D61:D63">LU_Metering_Services</f>
        <v>1 Phase Meters (including Prepayment)</v>
      </c>
      <c r="H61" s="152" t="s">
        <v>88</v>
      </c>
      <c r="I61" s="160" t="s">
        <v>240</v>
      </c>
      <c r="J61" s="160" t="s">
        <v>69</v>
      </c>
      <c r="O61" s="117">
        <f>Inputs_Prices!O149</f>
        <v>61.48</v>
      </c>
      <c r="P61" s="161">
        <f>ROUND(O61*(1+Inputs_Prices!P$139)*(1-Inputs_Prices!P208)+Inputs_Prices!P88,2)</f>
        <v>64.66</v>
      </c>
      <c r="Q61" s="161">
        <f>ROUND(P61*(1+Inputs_Prices!Q$139)*(1-Inputs_Prices!Q208)+Inputs_Prices!Q88,2)</f>
        <v>68.39</v>
      </c>
      <c r="R61" s="161">
        <f>ROUND(Q61*(1+Inputs_Prices!R$139)*(1-Inputs_Prices!R208)+Inputs_Prices!R88,2)</f>
        <v>72.34</v>
      </c>
      <c r="S61" s="161">
        <f>ROUND(R61*(1+Inputs_Prices!S$139)*(1-Inputs_Prices!S208)+Inputs_Prices!S88,2)</f>
        <v>76.52</v>
      </c>
      <c r="T61" s="164" t="s">
        <v>251</v>
      </c>
    </row>
    <row r="62" spans="3:20" s="135" customFormat="1" ht="11.25" customHeight="1" x14ac:dyDescent="0.2">
      <c r="D62" s="166" t="str">
        <v>3 Phase Meters</v>
      </c>
      <c r="H62" s="152" t="s">
        <v>88</v>
      </c>
      <c r="I62" s="160" t="s">
        <v>240</v>
      </c>
      <c r="J62" s="160" t="s">
        <v>69</v>
      </c>
      <c r="O62" s="117">
        <f>Inputs_Prices!O150</f>
        <v>67.69</v>
      </c>
      <c r="P62" s="161">
        <f>ROUND(O62*(1+Inputs_Prices!P$139)*(1-Inputs_Prices!P209)+Inputs_Prices!P89,2)</f>
        <v>71.19</v>
      </c>
      <c r="Q62" s="161">
        <f>ROUND(P62*(1+Inputs_Prices!Q$139)*(1-Inputs_Prices!Q209)+Inputs_Prices!Q89,2)</f>
        <v>75.3</v>
      </c>
      <c r="R62" s="161">
        <f>ROUND(Q62*(1+Inputs_Prices!R$139)*(1-Inputs_Prices!R209)+Inputs_Prices!R89,2)</f>
        <v>79.650000000000006</v>
      </c>
      <c r="S62" s="161">
        <f>ROUND(R62*(1+Inputs_Prices!S$139)*(1-Inputs_Prices!S209)+Inputs_Prices!S89,2)</f>
        <v>84.25</v>
      </c>
    </row>
    <row r="63" spans="3:20" s="135" customFormat="1" ht="11.25" customHeight="1" x14ac:dyDescent="0.2">
      <c r="D63" s="166" t="str">
        <v>Dedicated CT and VT meters</v>
      </c>
      <c r="H63" s="152" t="s">
        <v>88</v>
      </c>
      <c r="I63" s="160" t="s">
        <v>240</v>
      </c>
      <c r="J63" s="160" t="s">
        <v>69</v>
      </c>
      <c r="O63" s="117">
        <f>Inputs_Prices!O151</f>
        <v>114.65</v>
      </c>
      <c r="P63" s="161">
        <f>ROUND(O63*(1+Inputs_Prices!P$139)*(1-Inputs_Prices!P210)+Inputs_Prices!P90,2)</f>
        <v>120.58</v>
      </c>
      <c r="Q63" s="161">
        <f>ROUND(P63*(1+Inputs_Prices!Q$139)*(1-Inputs_Prices!Q210)+Inputs_Prices!Q90,2)</f>
        <v>127.54</v>
      </c>
      <c r="R63" s="161">
        <f>ROUND(Q63*(1+Inputs_Prices!R$139)*(1-Inputs_Prices!R210)+Inputs_Prices!R90,2)</f>
        <v>134.9</v>
      </c>
      <c r="S63" s="161">
        <f>ROUND(R63*(1+Inputs_Prices!S$139)*(1-Inputs_Prices!S210)+Inputs_Prices!S90,2)</f>
        <v>142.69</v>
      </c>
    </row>
    <row r="64" spans="3:20" s="135" customFormat="1" ht="11.25" customHeight="1" x14ac:dyDescent="0.2">
      <c r="O64" s="154"/>
      <c r="P64" s="154"/>
      <c r="Q64" s="154"/>
      <c r="R64" s="154"/>
      <c r="S64" s="154"/>
    </row>
    <row r="65" spans="4:19" s="135" customFormat="1" ht="11.25" customHeight="1" x14ac:dyDescent="0.2">
      <c r="D65" s="167" t="s">
        <v>155</v>
      </c>
      <c r="O65" s="154"/>
      <c r="P65" s="154"/>
      <c r="Q65" s="154"/>
      <c r="R65" s="154"/>
      <c r="S65" s="154"/>
    </row>
    <row r="66" spans="4:19" s="135" customFormat="1" ht="11.25" customHeight="1" x14ac:dyDescent="0.2">
      <c r="D66" s="166" t="str">
        <f t="array" ref="D66:D92">LU_Fee_Based_Services</f>
        <v>Disconnection (and final read)</v>
      </c>
      <c r="H66" s="152" t="s">
        <v>88</v>
      </c>
      <c r="I66" s="160" t="s">
        <v>231</v>
      </c>
      <c r="J66" s="160" t="s">
        <v>69</v>
      </c>
      <c r="O66" s="117">
        <f>Inputs_Prices!O154</f>
        <v>66.989999999999995</v>
      </c>
      <c r="P66" s="161">
        <f>ROUND(O66*(1+Inputs_Prices!P$139)*(1-Inputs_Prices!P213)+Inputs_Prices!P93,2)</f>
        <v>65.349999999999994</v>
      </c>
      <c r="Q66" s="161">
        <f>ROUND(P66*(1+Inputs_Prices!Q$139)*(1-Inputs_Prices!Q213)+Inputs_Prices!Q93,2)</f>
        <v>64</v>
      </c>
      <c r="R66" s="161">
        <f>ROUND(Q66*(1+Inputs_Prices!R$139)*(1-Inputs_Prices!R213)+Inputs_Prices!R93,2)</f>
        <v>62.64</v>
      </c>
      <c r="S66" s="161">
        <f>ROUND(R66*(1+Inputs_Prices!S$139)*(1-Inputs_Prices!S213)+Inputs_Prices!S93,2)</f>
        <v>61.24</v>
      </c>
    </row>
    <row r="67" spans="4:19" s="135" customFormat="1" ht="11.25" customHeight="1" x14ac:dyDescent="0.2">
      <c r="D67" s="166" t="str">
        <v>Reconnection</v>
      </c>
      <c r="H67" s="152" t="s">
        <v>88</v>
      </c>
      <c r="I67" s="160" t="s">
        <v>231</v>
      </c>
      <c r="J67" s="160" t="s">
        <v>69</v>
      </c>
      <c r="O67" s="117">
        <f>Inputs_Prices!O155</f>
        <v>66.989999999999995</v>
      </c>
      <c r="P67" s="161">
        <f>ROUND(O67*(1+Inputs_Prices!P$139)*(1-Inputs_Prices!P214)+Inputs_Prices!P94,2)</f>
        <v>65.349999999999994</v>
      </c>
      <c r="Q67" s="161">
        <f>ROUND(P67*(1+Inputs_Prices!Q$139)*(1-Inputs_Prices!Q214)+Inputs_Prices!Q94,2)</f>
        <v>64</v>
      </c>
      <c r="R67" s="161">
        <f>ROUND(Q67*(1+Inputs_Prices!R$139)*(1-Inputs_Prices!R214)+Inputs_Prices!R94,2)</f>
        <v>62.64</v>
      </c>
      <c r="S67" s="161">
        <f>ROUND(R67*(1+Inputs_Prices!S$139)*(1-Inputs_Prices!S214)+Inputs_Prices!S94,2)</f>
        <v>61.24</v>
      </c>
    </row>
    <row r="68" spans="4:19" s="135" customFormat="1" ht="11.25" customHeight="1" x14ac:dyDescent="0.2">
      <c r="D68" s="166" t="str">
        <v>Reconnection - after hours</v>
      </c>
      <c r="H68" s="152" t="s">
        <v>88</v>
      </c>
      <c r="I68" s="160" t="s">
        <v>231</v>
      </c>
      <c r="J68" s="160" t="s">
        <v>69</v>
      </c>
      <c r="O68" s="117">
        <f>Inputs_Prices!O156</f>
        <v>124.43</v>
      </c>
      <c r="P68" s="161">
        <f>ROUND(O68*(1+Inputs_Prices!P$139)*(1-Inputs_Prices!P215)+Inputs_Prices!P95,2)</f>
        <v>121.39</v>
      </c>
      <c r="Q68" s="161">
        <f>ROUND(P68*(1+Inputs_Prices!Q$139)*(1-Inputs_Prices!Q215)+Inputs_Prices!Q95,2)</f>
        <v>118.88</v>
      </c>
      <c r="R68" s="161">
        <f>ROUND(Q68*(1+Inputs_Prices!R$139)*(1-Inputs_Prices!R215)+Inputs_Prices!R95,2)</f>
        <v>116.35</v>
      </c>
      <c r="S68" s="161">
        <f>ROUND(R68*(1+Inputs_Prices!S$139)*(1-Inputs_Prices!S215)+Inputs_Prices!S95,2)</f>
        <v>113.75</v>
      </c>
    </row>
    <row r="69" spans="4:19" s="135" customFormat="1" ht="11.25" customHeight="1" x14ac:dyDescent="0.2">
      <c r="D69" s="166" t="str">
        <v>Temporary disconnection and reconnection - physical dismantling</v>
      </c>
      <c r="H69" s="152" t="s">
        <v>88</v>
      </c>
      <c r="I69" s="160" t="s">
        <v>231</v>
      </c>
      <c r="J69" s="160" t="s">
        <v>69</v>
      </c>
      <c r="O69" s="117">
        <f>Inputs_Prices!O157</f>
        <v>737.3</v>
      </c>
      <c r="P69" s="161">
        <f>ROUND(O69*(1+Inputs_Prices!P$139)*(1-Inputs_Prices!P216)+Inputs_Prices!P96,2)</f>
        <v>755.16</v>
      </c>
      <c r="Q69" s="161">
        <f>ROUND(P69*(1+Inputs_Prices!Q$139)*(1-Inputs_Prices!Q216)+Inputs_Prices!Q96,2)</f>
        <v>779.8</v>
      </c>
      <c r="R69" s="161">
        <f>ROUND(Q69*(1+Inputs_Prices!R$139)*(1-Inputs_Prices!R216)+Inputs_Prices!R96,2)</f>
        <v>806.48</v>
      </c>
      <c r="S69" s="161">
        <f>ROUND(R69*(1+Inputs_Prices!S$139)*(1-Inputs_Prices!S216)+Inputs_Prices!S96,2)</f>
        <v>834</v>
      </c>
    </row>
    <row r="70" spans="4:19" s="135" customFormat="1" ht="11.25" customHeight="1" x14ac:dyDescent="0.2">
      <c r="D70" s="166" t="str">
        <v>Provision of 3 phase service</v>
      </c>
      <c r="H70" s="152" t="s">
        <v>88</v>
      </c>
      <c r="I70" s="160" t="s">
        <v>231</v>
      </c>
      <c r="J70" s="160" t="s">
        <v>69</v>
      </c>
      <c r="O70" s="117">
        <f>Inputs_Prices!O158</f>
        <v>1400.88</v>
      </c>
      <c r="P70" s="161">
        <f>ROUND(O70*(1+Inputs_Prices!P$139)*(1-Inputs_Prices!P217)+Inputs_Prices!P97,2)</f>
        <v>1434.81</v>
      </c>
      <c r="Q70" s="161">
        <f>ROUND(P70*(1+Inputs_Prices!Q$139)*(1-Inputs_Prices!Q217)+Inputs_Prices!Q97,2)</f>
        <v>1481.63</v>
      </c>
      <c r="R70" s="161">
        <f>ROUND(Q70*(1+Inputs_Prices!R$139)*(1-Inputs_Prices!R217)+Inputs_Prices!R97,2)</f>
        <v>1532.31</v>
      </c>
      <c r="S70" s="161">
        <f>ROUND(R70*(1+Inputs_Prices!S$139)*(1-Inputs_Prices!S217)+Inputs_Prices!S97,2)</f>
        <v>1584.6</v>
      </c>
    </row>
    <row r="71" spans="4:19" s="135" customFormat="1" ht="11.25" customHeight="1" x14ac:dyDescent="0.2">
      <c r="D71" s="166" t="str">
        <v>Standard temporary builder’s connection</v>
      </c>
      <c r="H71" s="152" t="s">
        <v>88</v>
      </c>
      <c r="I71" s="160" t="s">
        <v>231</v>
      </c>
      <c r="J71" s="160" t="s">
        <v>69</v>
      </c>
      <c r="O71" s="117">
        <f>Inputs_Prices!O159</f>
        <v>657.68</v>
      </c>
      <c r="P71" s="161">
        <f>ROUND(O71*(1+Inputs_Prices!P$139)*(1-Inputs_Prices!P218)+Inputs_Prices!P98,2)</f>
        <v>673.61</v>
      </c>
      <c r="Q71" s="161">
        <f>ROUND(P71*(1+Inputs_Prices!Q$139)*(1-Inputs_Prices!Q218)+Inputs_Prices!Q98,2)</f>
        <v>695.59</v>
      </c>
      <c r="R71" s="161">
        <f>ROUND(Q71*(1+Inputs_Prices!R$139)*(1-Inputs_Prices!R218)+Inputs_Prices!R98,2)</f>
        <v>719.39</v>
      </c>
      <c r="S71" s="161">
        <f>ROUND(R71*(1+Inputs_Prices!S$139)*(1-Inputs_Prices!S218)+Inputs_Prices!S98,2)</f>
        <v>743.94</v>
      </c>
    </row>
    <row r="72" spans="4:19" s="135" customFormat="1" ht="11.25" customHeight="1" x14ac:dyDescent="0.2">
      <c r="D72" s="166" t="str">
        <v>Temporary disconnection and reconnection - no dismantling</v>
      </c>
      <c r="H72" s="152" t="s">
        <v>88</v>
      </c>
      <c r="I72" s="160" t="s">
        <v>231</v>
      </c>
      <c r="J72" s="160" t="s">
        <v>69</v>
      </c>
      <c r="O72" s="117">
        <f>Inputs_Prices!O160</f>
        <v>286.07</v>
      </c>
      <c r="P72" s="161">
        <f>ROUND(O72*(1+Inputs_Prices!P$139)*(1-Inputs_Prices!P219)+Inputs_Prices!P99,2)</f>
        <v>293</v>
      </c>
      <c r="Q72" s="161">
        <f>ROUND(P72*(1+Inputs_Prices!Q$139)*(1-Inputs_Prices!Q219)+Inputs_Prices!Q99,2)</f>
        <v>302.56</v>
      </c>
      <c r="R72" s="161">
        <f>ROUND(Q72*(1+Inputs_Prices!R$139)*(1-Inputs_Prices!R219)+Inputs_Prices!R99,2)</f>
        <v>312.91000000000003</v>
      </c>
      <c r="S72" s="161">
        <f>ROUND(R72*(1+Inputs_Prices!S$139)*(1-Inputs_Prices!S219)+Inputs_Prices!S99,2)</f>
        <v>323.58999999999997</v>
      </c>
    </row>
    <row r="73" spans="4:19" s="135" customFormat="1" ht="11.25" customHeight="1" x14ac:dyDescent="0.2">
      <c r="D73" s="166" t="str">
        <v>Complex disconnection</v>
      </c>
      <c r="H73" s="152" t="s">
        <v>88</v>
      </c>
      <c r="I73" s="160" t="s">
        <v>231</v>
      </c>
      <c r="J73" s="160" t="s">
        <v>69</v>
      </c>
      <c r="O73" s="117">
        <f>Inputs_Prices!O161</f>
        <v>312.62</v>
      </c>
      <c r="P73" s="161">
        <f>ROUND(O73*(1+Inputs_Prices!P$139)*(1-Inputs_Prices!P220)+Inputs_Prices!P100,2)</f>
        <v>320.19</v>
      </c>
      <c r="Q73" s="161">
        <f>ROUND(P73*(1+Inputs_Prices!Q$139)*(1-Inputs_Prices!Q220)+Inputs_Prices!Q100,2)</f>
        <v>330.64</v>
      </c>
      <c r="R73" s="161">
        <f>ROUND(Q73*(1+Inputs_Prices!R$139)*(1-Inputs_Prices!R220)+Inputs_Prices!R100,2)</f>
        <v>341.95</v>
      </c>
      <c r="S73" s="161">
        <f>ROUND(R73*(1+Inputs_Prices!S$139)*(1-Inputs_Prices!S220)+Inputs_Prices!S100,2)</f>
        <v>353.62</v>
      </c>
    </row>
    <row r="74" spans="4:19" s="135" customFormat="1" ht="11.25" customHeight="1" x14ac:dyDescent="0.2">
      <c r="D74" s="166" t="str">
        <v>Wasted visit fee</v>
      </c>
      <c r="H74" s="152" t="s">
        <v>88</v>
      </c>
      <c r="I74" s="160" t="s">
        <v>231</v>
      </c>
      <c r="J74" s="160" t="s">
        <v>69</v>
      </c>
      <c r="O74" s="117">
        <f>Inputs_Prices!O162</f>
        <v>153.36000000000001</v>
      </c>
      <c r="P74" s="161">
        <f>ROUND(O74*(1+Inputs_Prices!P$139)*(1-Inputs_Prices!P221)+Inputs_Prices!P101,2)</f>
        <v>157.07</v>
      </c>
      <c r="Q74" s="161">
        <f>ROUND(P74*(1+Inputs_Prices!Q$139)*(1-Inputs_Prices!Q221)+Inputs_Prices!Q101,2)</f>
        <v>162.19999999999999</v>
      </c>
      <c r="R74" s="161">
        <f>ROUND(Q74*(1+Inputs_Prices!R$139)*(1-Inputs_Prices!R221)+Inputs_Prices!R101,2)</f>
        <v>167.75</v>
      </c>
      <c r="S74" s="161">
        <f>ROUND(R74*(1+Inputs_Prices!S$139)*(1-Inputs_Prices!S221)+Inputs_Prices!S101,2)</f>
        <v>173.47</v>
      </c>
    </row>
    <row r="75" spans="4:19" s="135" customFormat="1" ht="11.25" customHeight="1" x14ac:dyDescent="0.2">
      <c r="D75" s="166" t="str">
        <v>Special meter test</v>
      </c>
      <c r="H75" s="152" t="s">
        <v>88</v>
      </c>
      <c r="I75" s="160" t="s">
        <v>231</v>
      </c>
      <c r="J75" s="160" t="s">
        <v>69</v>
      </c>
      <c r="O75" s="117">
        <f>Inputs_Prices!O163</f>
        <v>299.35000000000002</v>
      </c>
      <c r="P75" s="161">
        <f>ROUND(O75*(1+Inputs_Prices!P$139)*(1-Inputs_Prices!P222)+Inputs_Prices!P102,2)</f>
        <v>306.60000000000002</v>
      </c>
      <c r="Q75" s="161">
        <f>ROUND(P75*(1+Inputs_Prices!Q$139)*(1-Inputs_Prices!Q222)+Inputs_Prices!Q102,2)</f>
        <v>316.61</v>
      </c>
      <c r="R75" s="161">
        <f>ROUND(Q75*(1+Inputs_Prices!R$139)*(1-Inputs_Prices!R222)+Inputs_Prices!R102,2)</f>
        <v>327.44</v>
      </c>
      <c r="S75" s="161">
        <f>ROUND(R75*(1+Inputs_Prices!S$139)*(1-Inputs_Prices!S222)+Inputs_Prices!S102,2)</f>
        <v>338.61</v>
      </c>
    </row>
    <row r="76" spans="4:19" s="135" customFormat="1" ht="11.25" customHeight="1" x14ac:dyDescent="0.2">
      <c r="D76" s="166" t="str">
        <v>Exchange or replace meter – three phase</v>
      </c>
      <c r="H76" s="152" t="s">
        <v>88</v>
      </c>
      <c r="I76" s="160" t="s">
        <v>231</v>
      </c>
      <c r="J76" s="160" t="s">
        <v>69</v>
      </c>
      <c r="O76" s="117">
        <f>Inputs_Prices!O164</f>
        <v>660.39</v>
      </c>
      <c r="P76" s="161">
        <f>ROUND(O76*(1+Inputs_Prices!P$139)*(1-Inputs_Prices!P223)+Inputs_Prices!P103,2)</f>
        <v>676.38</v>
      </c>
      <c r="Q76" s="161">
        <f>ROUND(P76*(1+Inputs_Prices!Q$139)*(1-Inputs_Prices!Q223)+Inputs_Prices!Q103,2)</f>
        <v>698.45</v>
      </c>
      <c r="R76" s="161">
        <f>ROUND(Q76*(1+Inputs_Prices!R$139)*(1-Inputs_Prices!R223)+Inputs_Prices!R103,2)</f>
        <v>722.34</v>
      </c>
      <c r="S76" s="161">
        <f>ROUND(R76*(1+Inputs_Prices!S$139)*(1-Inputs_Prices!S223)+Inputs_Prices!S103,2)</f>
        <v>746.99</v>
      </c>
    </row>
    <row r="77" spans="4:19" s="135" customFormat="1" ht="11.25" customHeight="1" x14ac:dyDescent="0.2">
      <c r="D77" s="166" t="str">
        <v>Exchange or replace meter - single phase</v>
      </c>
      <c r="H77" s="152" t="s">
        <v>88</v>
      </c>
      <c r="I77" s="160" t="s">
        <v>231</v>
      </c>
      <c r="J77" s="160" t="s">
        <v>69</v>
      </c>
      <c r="O77" s="117">
        <f>Inputs_Prices!O165</f>
        <v>552.87</v>
      </c>
      <c r="P77" s="161">
        <f>ROUND(O77*(1+Inputs_Prices!P$139)*(1-Inputs_Prices!P224)+Inputs_Prices!P104,2)</f>
        <v>566.26</v>
      </c>
      <c r="Q77" s="161">
        <f>ROUND(P77*(1+Inputs_Prices!Q$139)*(1-Inputs_Prices!Q224)+Inputs_Prices!Q104,2)</f>
        <v>584.74</v>
      </c>
      <c r="R77" s="161">
        <f>ROUND(Q77*(1+Inputs_Prices!R$139)*(1-Inputs_Prices!R224)+Inputs_Prices!R104,2)</f>
        <v>604.74</v>
      </c>
      <c r="S77" s="161">
        <f>ROUND(R77*(1+Inputs_Prices!S$139)*(1-Inputs_Prices!S224)+Inputs_Prices!S104,2)</f>
        <v>625.38</v>
      </c>
    </row>
    <row r="78" spans="4:19" s="135" customFormat="1" ht="11.25" customHeight="1" x14ac:dyDescent="0.2">
      <c r="D78" s="166" t="str">
        <v>Relocation of meter</v>
      </c>
      <c r="H78" s="152" t="s">
        <v>88</v>
      </c>
      <c r="I78" s="160" t="s">
        <v>231</v>
      </c>
      <c r="J78" s="160" t="s">
        <v>69</v>
      </c>
      <c r="O78" s="117">
        <f>Inputs_Prices!O166</f>
        <v>312.62</v>
      </c>
      <c r="P78" s="161">
        <f>ROUND(O78*(1+Inputs_Prices!P$139)*(1-Inputs_Prices!P225)+Inputs_Prices!P105,2)</f>
        <v>320.19</v>
      </c>
      <c r="Q78" s="161">
        <f>ROUND(P78*(1+Inputs_Prices!Q$139)*(1-Inputs_Prices!Q225)+Inputs_Prices!Q105,2)</f>
        <v>330.64</v>
      </c>
      <c r="R78" s="161">
        <f>ROUND(Q78*(1+Inputs_Prices!R$139)*(1-Inputs_Prices!R225)+Inputs_Prices!R105,2)</f>
        <v>341.95</v>
      </c>
      <c r="S78" s="161">
        <f>ROUND(R78*(1+Inputs_Prices!S$139)*(1-Inputs_Prices!S225)+Inputs_Prices!S105,2)</f>
        <v>353.62</v>
      </c>
    </row>
    <row r="79" spans="4:19" s="135" customFormat="1" ht="11.25" customHeight="1" x14ac:dyDescent="0.2">
      <c r="D79" s="166" t="str">
        <v>Remove meter</v>
      </c>
      <c r="H79" s="152" t="s">
        <v>88</v>
      </c>
      <c r="I79" s="160" t="s">
        <v>231</v>
      </c>
      <c r="J79" s="160" t="s">
        <v>69</v>
      </c>
      <c r="O79" s="117">
        <f>Inputs_Prices!O167</f>
        <v>312.62</v>
      </c>
      <c r="P79" s="161">
        <f>ROUND(O79*(1+Inputs_Prices!P$139)*(1-Inputs_Prices!P226)+Inputs_Prices!P106,2)</f>
        <v>320.19</v>
      </c>
      <c r="Q79" s="161">
        <f>ROUND(P79*(1+Inputs_Prices!Q$139)*(1-Inputs_Prices!Q226)+Inputs_Prices!Q106,2)</f>
        <v>330.64</v>
      </c>
      <c r="R79" s="161">
        <f>ROUND(Q79*(1+Inputs_Prices!R$139)*(1-Inputs_Prices!R226)+Inputs_Prices!R106,2)</f>
        <v>341.95</v>
      </c>
      <c r="S79" s="161">
        <f>ROUND(R79*(1+Inputs_Prices!S$139)*(1-Inputs_Prices!S226)+Inputs_Prices!S106,2)</f>
        <v>353.62</v>
      </c>
    </row>
    <row r="80" spans="4:19" s="135" customFormat="1" ht="11.25" customHeight="1" x14ac:dyDescent="0.2">
      <c r="D80" s="166" t="str">
        <v>General meter inspection</v>
      </c>
      <c r="H80" s="152" t="s">
        <v>88</v>
      </c>
      <c r="I80" s="160" t="s">
        <v>231</v>
      </c>
      <c r="J80" s="160" t="s">
        <v>69</v>
      </c>
      <c r="O80" s="117">
        <f>Inputs_Prices!O168</f>
        <v>140.09</v>
      </c>
      <c r="P80" s="161">
        <f>ROUND(O80*(1+Inputs_Prices!P$139)*(1-Inputs_Prices!P227)+Inputs_Prices!P107,2)</f>
        <v>143.47999999999999</v>
      </c>
      <c r="Q80" s="161">
        <f>ROUND(P80*(1+Inputs_Prices!Q$139)*(1-Inputs_Prices!Q227)+Inputs_Prices!Q107,2)</f>
        <v>148.16</v>
      </c>
      <c r="R80" s="161">
        <f>ROUND(Q80*(1+Inputs_Prices!R$139)*(1-Inputs_Prices!R227)+Inputs_Prices!R107,2)</f>
        <v>153.22999999999999</v>
      </c>
      <c r="S80" s="161">
        <f>ROUND(R80*(1+Inputs_Prices!S$139)*(1-Inputs_Prices!S227)+Inputs_Prices!S107,2)</f>
        <v>158.46</v>
      </c>
    </row>
    <row r="81" spans="4:19" s="135" customFormat="1" ht="11.25" customHeight="1" x14ac:dyDescent="0.2">
      <c r="D81" s="166" t="str">
        <v>Special meter read - no appointment</v>
      </c>
      <c r="H81" s="152" t="s">
        <v>88</v>
      </c>
      <c r="I81" s="160" t="s">
        <v>231</v>
      </c>
      <c r="J81" s="160" t="s">
        <v>69</v>
      </c>
      <c r="O81" s="117">
        <f>Inputs_Prices!O169</f>
        <v>35.6</v>
      </c>
      <c r="P81" s="161">
        <f>ROUND(O81*(1+Inputs_Prices!P$139)*(1-Inputs_Prices!P228)+Inputs_Prices!P108,2)</f>
        <v>36.46</v>
      </c>
      <c r="Q81" s="161">
        <f>ROUND(P81*(1+Inputs_Prices!Q$139)*(1-Inputs_Prices!Q228)+Inputs_Prices!Q108,2)</f>
        <v>37.65</v>
      </c>
      <c r="R81" s="161">
        <f>ROUND(Q81*(1+Inputs_Prices!R$139)*(1-Inputs_Prices!R228)+Inputs_Prices!R108,2)</f>
        <v>38.94</v>
      </c>
      <c r="S81" s="161">
        <f>ROUND(R81*(1+Inputs_Prices!S$139)*(1-Inputs_Prices!S228)+Inputs_Prices!S108,2)</f>
        <v>40.270000000000003</v>
      </c>
    </row>
    <row r="82" spans="4:19" s="135" customFormat="1" ht="11.25" customHeight="1" x14ac:dyDescent="0.2">
      <c r="D82" s="166" t="str">
        <v>Special meter read - appointment</v>
      </c>
      <c r="H82" s="152" t="s">
        <v>88</v>
      </c>
      <c r="I82" s="160" t="s">
        <v>231</v>
      </c>
      <c r="J82" s="160" t="s">
        <v>69</v>
      </c>
      <c r="O82" s="117">
        <f>Inputs_Prices!O170</f>
        <v>77</v>
      </c>
      <c r="P82" s="161">
        <f>ROUND(O82*(1+Inputs_Prices!P$139)*(1-Inputs_Prices!P229)+Inputs_Prices!P109,2)</f>
        <v>78.86</v>
      </c>
      <c r="Q82" s="161">
        <f>ROUND(P82*(1+Inputs_Prices!Q$139)*(1-Inputs_Prices!Q229)+Inputs_Prices!Q109,2)</f>
        <v>81.430000000000007</v>
      </c>
      <c r="R82" s="161">
        <f>ROUND(Q82*(1+Inputs_Prices!R$139)*(1-Inputs_Prices!R229)+Inputs_Prices!R109,2)</f>
        <v>84.22</v>
      </c>
      <c r="S82" s="161">
        <f>ROUND(R82*(1+Inputs_Prices!S$139)*(1-Inputs_Prices!S229)+Inputs_Prices!S109,2)</f>
        <v>87.09</v>
      </c>
    </row>
    <row r="83" spans="4:19" s="135" customFormat="1" ht="11.25" customHeight="1" x14ac:dyDescent="0.2">
      <c r="D83" s="166" t="str">
        <v>Class 3 PV Assessment</v>
      </c>
      <c r="H83" s="152" t="s">
        <v>88</v>
      </c>
      <c r="I83" s="160" t="s">
        <v>231</v>
      </c>
      <c r="J83" s="160" t="s">
        <v>69</v>
      </c>
      <c r="O83" s="117">
        <f>Inputs_Prices!O171</f>
        <v>1187.82</v>
      </c>
      <c r="P83" s="161">
        <f>ROUND(O83*(1+Inputs_Prices!P$139)*(1-Inputs_Prices!P230)+Inputs_Prices!P110,2)</f>
        <v>1216.5899999999999</v>
      </c>
      <c r="Q83" s="161">
        <f>ROUND(P83*(1+Inputs_Prices!Q$139)*(1-Inputs_Prices!Q230)+Inputs_Prices!Q110,2)</f>
        <v>1256.29</v>
      </c>
      <c r="R83" s="161">
        <f>ROUND(Q83*(1+Inputs_Prices!R$139)*(1-Inputs_Prices!R230)+Inputs_Prices!R110,2)</f>
        <v>1299.27</v>
      </c>
      <c r="S83" s="161">
        <f>ROUND(R83*(1+Inputs_Prices!S$139)*(1-Inputs_Prices!S230)+Inputs_Prices!S110,2)</f>
        <v>1343.61</v>
      </c>
    </row>
    <row r="84" spans="4:19" s="135" customFormat="1" ht="11.25" customHeight="1" x14ac:dyDescent="0.2">
      <c r="D84" s="166" t="str">
        <v>Meter program change</v>
      </c>
      <c r="H84" s="152" t="s">
        <v>88</v>
      </c>
      <c r="I84" s="160" t="s">
        <v>231</v>
      </c>
      <c r="J84" s="160" t="s">
        <v>69</v>
      </c>
      <c r="O84" s="117">
        <f>Inputs_Prices!O172</f>
        <v>161.61000000000001</v>
      </c>
      <c r="P84" s="161">
        <f>ROUND(O84*(1+Inputs_Prices!P$139)*(1-Inputs_Prices!P231)+Inputs_Prices!P111,2)</f>
        <v>165.52</v>
      </c>
      <c r="Q84" s="161">
        <f>ROUND(P84*(1+Inputs_Prices!Q$139)*(1-Inputs_Prices!Q231)+Inputs_Prices!Q111,2)</f>
        <v>170.92</v>
      </c>
      <c r="R84" s="161">
        <f>ROUND(Q84*(1+Inputs_Prices!R$139)*(1-Inputs_Prices!R231)+Inputs_Prices!R111,2)</f>
        <v>176.77</v>
      </c>
      <c r="S84" s="161">
        <f>ROUND(R84*(1+Inputs_Prices!S$139)*(1-Inputs_Prices!S231)+Inputs_Prices!S111,2)</f>
        <v>182.8</v>
      </c>
    </row>
    <row r="85" spans="4:19" s="135" customFormat="1" ht="11.25" customHeight="1" x14ac:dyDescent="0.2">
      <c r="D85" s="166" t="str">
        <v>Historical data requests</v>
      </c>
      <c r="H85" s="152" t="s">
        <v>88</v>
      </c>
      <c r="I85" s="160" t="s">
        <v>231</v>
      </c>
      <c r="J85" s="160" t="s">
        <v>69</v>
      </c>
      <c r="O85" s="117">
        <f>Inputs_Prices!O173</f>
        <v>197.14</v>
      </c>
      <c r="P85" s="161">
        <f>ROUND(O85*(1+Inputs_Prices!P$139)*(1-Inputs_Prices!P232)+Inputs_Prices!P112,2)</f>
        <v>201.91</v>
      </c>
      <c r="Q85" s="161">
        <f>ROUND(P85*(1+Inputs_Prices!Q$139)*(1-Inputs_Prices!Q232)+Inputs_Prices!Q112,2)</f>
        <v>208.5</v>
      </c>
      <c r="R85" s="161">
        <f>ROUND(Q85*(1+Inputs_Prices!R$139)*(1-Inputs_Prices!R232)+Inputs_Prices!R112,2)</f>
        <v>215.63</v>
      </c>
      <c r="S85" s="161">
        <f>ROUND(R85*(1+Inputs_Prices!S$139)*(1-Inputs_Prices!S232)+Inputs_Prices!S112,2)</f>
        <v>222.99</v>
      </c>
    </row>
    <row r="86" spans="4:19" s="135" customFormat="1" ht="11.25" customHeight="1" x14ac:dyDescent="0.2">
      <c r="D86" s="166" t="str">
        <v>Standing data requests</v>
      </c>
      <c r="H86" s="152" t="s">
        <v>88</v>
      </c>
      <c r="I86" s="160" t="s">
        <v>231</v>
      </c>
      <c r="J86" s="160" t="s">
        <v>69</v>
      </c>
      <c r="O86" s="117">
        <f>Inputs_Prices!O174</f>
        <v>43.59</v>
      </c>
      <c r="P86" s="161">
        <f>ROUND(O86*(1+Inputs_Prices!P$139)*(1-Inputs_Prices!P233)+Inputs_Prices!P113,2)</f>
        <v>44.65</v>
      </c>
      <c r="Q86" s="161">
        <f>ROUND(P86*(1+Inputs_Prices!Q$139)*(1-Inputs_Prices!Q233)+Inputs_Prices!Q113,2)</f>
        <v>46.11</v>
      </c>
      <c r="R86" s="161">
        <f>ROUND(Q86*(1+Inputs_Prices!R$139)*(1-Inputs_Prices!R233)+Inputs_Prices!R113,2)</f>
        <v>47.69</v>
      </c>
      <c r="S86" s="161">
        <f>ROUND(R86*(1+Inputs_Prices!S$139)*(1-Inputs_Prices!S233)+Inputs_Prices!S113,2)</f>
        <v>49.32</v>
      </c>
    </row>
    <row r="87" spans="4:19" s="135" customFormat="1" ht="11.25" customHeight="1" x14ac:dyDescent="0.2">
      <c r="D87" s="166" t="str">
        <v>Customer transfers</v>
      </c>
      <c r="H87" s="152" t="s">
        <v>88</v>
      </c>
      <c r="I87" s="160" t="s">
        <v>231</v>
      </c>
      <c r="J87" s="160" t="s">
        <v>69</v>
      </c>
      <c r="O87" s="117">
        <f>Inputs_Prices!O175</f>
        <v>174.37</v>
      </c>
      <c r="P87" s="161">
        <f>ROUND(O87*(1+Inputs_Prices!P$139)*(1-Inputs_Prices!P234)+Inputs_Prices!P114,2)</f>
        <v>178.59</v>
      </c>
      <c r="Q87" s="161">
        <f>ROUND(P87*(1+Inputs_Prices!Q$139)*(1-Inputs_Prices!Q234)+Inputs_Prices!Q114,2)</f>
        <v>184.42</v>
      </c>
      <c r="R87" s="161">
        <f>ROUND(Q87*(1+Inputs_Prices!R$139)*(1-Inputs_Prices!R234)+Inputs_Prices!R114,2)</f>
        <v>190.73</v>
      </c>
      <c r="S87" s="161">
        <f>ROUND(R87*(1+Inputs_Prices!S$139)*(1-Inputs_Prices!S234)+Inputs_Prices!S114,2)</f>
        <v>197.24</v>
      </c>
    </row>
    <row r="88" spans="4:19" s="135" customFormat="1" ht="11.25" customHeight="1" x14ac:dyDescent="0.2">
      <c r="D88" s="166" t="str">
        <v>Network tariff change request</v>
      </c>
      <c r="H88" s="152" t="s">
        <v>88</v>
      </c>
      <c r="I88" s="160" t="s">
        <v>231</v>
      </c>
      <c r="J88" s="160" t="s">
        <v>69</v>
      </c>
      <c r="O88" s="117">
        <f>Inputs_Prices!O176</f>
        <v>43.59</v>
      </c>
      <c r="P88" s="161">
        <f>ROUND(O88*(1+Inputs_Prices!P$139)*(1-Inputs_Prices!P235)+Inputs_Prices!P115,2)</f>
        <v>44.65</v>
      </c>
      <c r="Q88" s="161">
        <f>ROUND(P88*(1+Inputs_Prices!Q$139)*(1-Inputs_Prices!Q235)+Inputs_Prices!Q115,2)</f>
        <v>46.11</v>
      </c>
      <c r="R88" s="161">
        <f>ROUND(Q88*(1+Inputs_Prices!R$139)*(1-Inputs_Prices!R235)+Inputs_Prices!R115,2)</f>
        <v>47.69</v>
      </c>
      <c r="S88" s="161">
        <f>ROUND(R88*(1+Inputs_Prices!S$139)*(1-Inputs_Prices!S235)+Inputs_Prices!S115,2)</f>
        <v>49.32</v>
      </c>
    </row>
    <row r="89" spans="4:19" s="135" customFormat="1" ht="11.25" customHeight="1" x14ac:dyDescent="0.2">
      <c r="D89" s="166" t="str">
        <v>Prepayment Vending Charge</v>
      </c>
      <c r="H89" s="152" t="s">
        <v>88</v>
      </c>
      <c r="I89" s="160" t="s">
        <v>231</v>
      </c>
      <c r="J89" s="160" t="s">
        <v>69</v>
      </c>
      <c r="O89" s="117">
        <f>Inputs_Prices!O177</f>
        <v>0.48</v>
      </c>
      <c r="P89" s="161">
        <f>ROUND(O89*(1+Inputs_Prices!P$139)*(1-Inputs_Prices!P236)+Inputs_Prices!P116,2)</f>
        <v>0.49</v>
      </c>
      <c r="Q89" s="161">
        <f>ROUND(P89*(1+Inputs_Prices!Q$139)*(1-Inputs_Prices!Q236)+Inputs_Prices!Q116,2)</f>
        <v>0.51</v>
      </c>
      <c r="R89" s="161">
        <f>ROUND(Q89*(1+Inputs_Prices!R$139)*(1-Inputs_Prices!R236)+Inputs_Prices!R116,2)</f>
        <v>0.53</v>
      </c>
      <c r="S89" s="161">
        <f>ROUND(R89*(1+Inputs_Prices!S$139)*(1-Inputs_Prices!S236)+Inputs_Prices!S116,2)</f>
        <v>0.55000000000000004</v>
      </c>
    </row>
    <row r="90" spans="4:19" s="135" customFormat="1" ht="11.25" customHeight="1" x14ac:dyDescent="0.2">
      <c r="D90" s="166" t="str">
        <v>Prepayment Meter Support Charge</v>
      </c>
      <c r="H90" s="152" t="s">
        <v>88</v>
      </c>
      <c r="I90" s="160" t="s">
        <v>231</v>
      </c>
      <c r="J90" s="160" t="s">
        <v>69</v>
      </c>
      <c r="O90" s="117">
        <f>Inputs_Prices!O178</f>
        <v>66.36</v>
      </c>
      <c r="P90" s="161">
        <f>ROUND(O90*(1+Inputs_Prices!P$139)*(1-Inputs_Prices!P237)+Inputs_Prices!P117,2)</f>
        <v>67.97</v>
      </c>
      <c r="Q90" s="161">
        <f>ROUND(P90*(1+Inputs_Prices!Q$139)*(1-Inputs_Prices!Q237)+Inputs_Prices!Q117,2)</f>
        <v>70.19</v>
      </c>
      <c r="R90" s="161">
        <f>ROUND(Q90*(1+Inputs_Prices!R$139)*(1-Inputs_Prices!R237)+Inputs_Prices!R117,2)</f>
        <v>72.59</v>
      </c>
      <c r="S90" s="161">
        <f>ROUND(R90*(1+Inputs_Prices!S$139)*(1-Inputs_Prices!S237)+Inputs_Prices!S117,2)</f>
        <v>75.069999999999993</v>
      </c>
    </row>
    <row r="91" spans="4:19" s="135" customFormat="1" ht="11.25" customHeight="1" x14ac:dyDescent="0.2">
      <c r="D91" s="166" t="str">
        <v xml:space="preserve">Installation of Minor Apparatus </v>
      </c>
      <c r="H91" s="152" t="s">
        <v>88</v>
      </c>
      <c r="I91" s="160" t="s">
        <v>231</v>
      </c>
      <c r="J91" s="160" t="s">
        <v>69</v>
      </c>
      <c r="O91" s="117">
        <f>Inputs_Prices!O179</f>
        <v>624.5</v>
      </c>
      <c r="P91" s="161">
        <f>ROUND(O91*(1+Inputs_Prices!P$139)*(1-Inputs_Prices!P238)+Inputs_Prices!P118,2)</f>
        <v>639.62</v>
      </c>
      <c r="Q91" s="161">
        <f>ROUND(P91*(1+Inputs_Prices!Q$139)*(1-Inputs_Prices!Q238)+Inputs_Prices!Q118,2)</f>
        <v>660.49</v>
      </c>
      <c r="R91" s="161">
        <f>ROUND(Q91*(1+Inputs_Prices!R$139)*(1-Inputs_Prices!R238)+Inputs_Prices!R118,2)</f>
        <v>683.08</v>
      </c>
      <c r="S91" s="161">
        <f>ROUND(R91*(1+Inputs_Prices!S$139)*(1-Inputs_Prices!S238)+Inputs_Prices!S118,2)</f>
        <v>706.39</v>
      </c>
    </row>
    <row r="92" spans="4:19" s="135" customFormat="1" ht="11.25" customHeight="1" x14ac:dyDescent="0.2">
      <c r="D92" s="166" t="str">
        <v>Class 1 &amp; 2 PV service</v>
      </c>
      <c r="H92" s="152" t="s">
        <v>88</v>
      </c>
      <c r="I92" s="160" t="s">
        <v>231</v>
      </c>
      <c r="J92" s="160" t="s">
        <v>69</v>
      </c>
      <c r="O92" s="117">
        <f>Inputs_Prices!O180</f>
        <v>87.19</v>
      </c>
      <c r="P92" s="161">
        <f>ROUND(O92*(1+Inputs_Prices!P$139)*(1-Inputs_Prices!P239)+Inputs_Prices!P119,2)</f>
        <v>89.3</v>
      </c>
      <c r="Q92" s="161">
        <f>ROUND(P92*(1+Inputs_Prices!Q$139)*(1-Inputs_Prices!Q239)+Inputs_Prices!Q119,2)</f>
        <v>92.21</v>
      </c>
      <c r="R92" s="161">
        <f>ROUND(Q92*(1+Inputs_Prices!R$139)*(1-Inputs_Prices!R239)+Inputs_Prices!R119,2)</f>
        <v>95.36</v>
      </c>
      <c r="S92" s="161">
        <f>ROUND(R92*(1+Inputs_Prices!S$139)*(1-Inputs_Prices!S239)+Inputs_Prices!S119,2)</f>
        <v>98.61</v>
      </c>
    </row>
    <row r="93" spans="4:19" s="135" customFormat="1" ht="11.25" customHeight="1" x14ac:dyDescent="0.2">
      <c r="O93" s="154"/>
      <c r="P93" s="154"/>
      <c r="Q93" s="154"/>
      <c r="R93" s="154"/>
      <c r="S93" s="154"/>
    </row>
    <row r="94" spans="4:19" s="135" customFormat="1" ht="11.25" customHeight="1" x14ac:dyDescent="0.2">
      <c r="D94" s="167" t="s">
        <v>212</v>
      </c>
      <c r="O94" s="154"/>
      <c r="P94" s="154"/>
      <c r="Q94" s="154"/>
      <c r="R94" s="154"/>
      <c r="S94" s="154"/>
    </row>
    <row r="95" spans="4:19" s="135" customFormat="1" ht="11.25" customHeight="1" x14ac:dyDescent="0.2">
      <c r="D95" s="166" t="str">
        <f t="array" ref="D95:D110">LU_Quoted_Services</f>
        <v>Design related services</v>
      </c>
      <c r="H95" s="152" t="s">
        <v>88</v>
      </c>
      <c r="I95" s="160" t="s">
        <v>216</v>
      </c>
      <c r="J95" s="160" t="s">
        <v>69</v>
      </c>
      <c r="O95" s="117">
        <f>Inputs_Prices!O183</f>
        <v>155.62</v>
      </c>
      <c r="P95" s="161">
        <f>ROUND(O95*(1+Inputs_Prices!P$139)*(1-Inputs_Prices!P242),2)</f>
        <v>159.38999999999999</v>
      </c>
      <c r="Q95" s="161">
        <f>ROUND(P95*(1+Inputs_Prices!Q$139)*(1-Inputs_Prices!Q242),2)</f>
        <v>164.59</v>
      </c>
      <c r="R95" s="161">
        <f>ROUND(Q95*(1+Inputs_Prices!R$139)*(1-Inputs_Prices!R242),2)</f>
        <v>170.22</v>
      </c>
      <c r="S95" s="161">
        <f>ROUND(R95*(1+Inputs_Prices!S$139)*(1-Inputs_Prices!S242),2)</f>
        <v>176.03</v>
      </c>
    </row>
    <row r="96" spans="4:19" s="135" customFormat="1" ht="11.25" customHeight="1" x14ac:dyDescent="0.2">
      <c r="D96" s="166" t="str">
        <v>Connection applications</v>
      </c>
      <c r="H96" s="152" t="s">
        <v>88</v>
      </c>
      <c r="I96" s="160" t="s">
        <v>216</v>
      </c>
      <c r="J96" s="160" t="s">
        <v>69</v>
      </c>
      <c r="O96" s="117">
        <f>Inputs_Prices!O184</f>
        <v>155.62</v>
      </c>
      <c r="P96" s="161">
        <f>ROUND(O96*(1+Inputs_Prices!P$139)*(1-Inputs_Prices!P243),2)</f>
        <v>159.38999999999999</v>
      </c>
      <c r="Q96" s="161">
        <f>ROUND(P96*(1+Inputs_Prices!Q$139)*(1-Inputs_Prices!Q243),2)</f>
        <v>164.59</v>
      </c>
      <c r="R96" s="161">
        <f>ROUND(Q96*(1+Inputs_Prices!R$139)*(1-Inputs_Prices!R243),2)</f>
        <v>170.22</v>
      </c>
      <c r="S96" s="161">
        <f>ROUND(R96*(1+Inputs_Prices!S$139)*(1-Inputs_Prices!S243),2)</f>
        <v>176.03</v>
      </c>
    </row>
    <row r="97" spans="1:26" s="135" customFormat="1" ht="11.25" customHeight="1" x14ac:dyDescent="0.2">
      <c r="D97" s="166" t="str">
        <v>Access permits, oversights and facilitation</v>
      </c>
      <c r="H97" s="152" t="s">
        <v>88</v>
      </c>
      <c r="I97" s="160" t="s">
        <v>216</v>
      </c>
      <c r="J97" s="160" t="s">
        <v>69</v>
      </c>
      <c r="O97" s="117">
        <f>Inputs_Prices!O185</f>
        <v>155.62</v>
      </c>
      <c r="P97" s="161">
        <f>ROUND(O97*(1+Inputs_Prices!P$139)*(1-Inputs_Prices!P244),2)</f>
        <v>159.38999999999999</v>
      </c>
      <c r="Q97" s="161">
        <f>ROUND(P97*(1+Inputs_Prices!Q$139)*(1-Inputs_Prices!Q244),2)</f>
        <v>164.59</v>
      </c>
      <c r="R97" s="161">
        <f>ROUND(Q97*(1+Inputs_Prices!R$139)*(1-Inputs_Prices!R244),2)</f>
        <v>170.22</v>
      </c>
      <c r="S97" s="161">
        <f>ROUND(R97*(1+Inputs_Prices!S$139)*(1-Inputs_Prices!S244),2)</f>
        <v>176.03</v>
      </c>
    </row>
    <row r="98" spans="1:26" s="135" customFormat="1" ht="11.25" customHeight="1" x14ac:dyDescent="0.2">
      <c r="D98" s="166" t="str">
        <v>Notices of arrangement and completion notices</v>
      </c>
      <c r="H98" s="152" t="s">
        <v>88</v>
      </c>
      <c r="I98" s="160" t="s">
        <v>216</v>
      </c>
      <c r="J98" s="160" t="s">
        <v>69</v>
      </c>
      <c r="O98" s="117">
        <f>Inputs_Prices!O186</f>
        <v>87.19</v>
      </c>
      <c r="P98" s="161">
        <f>ROUND(O98*(1+Inputs_Prices!P$139)*(1-Inputs_Prices!P245),2)</f>
        <v>89.3</v>
      </c>
      <c r="Q98" s="161">
        <f>ROUND(P98*(1+Inputs_Prices!Q$139)*(1-Inputs_Prices!Q245),2)</f>
        <v>92.21</v>
      </c>
      <c r="R98" s="161">
        <f>ROUND(Q98*(1+Inputs_Prices!R$139)*(1-Inputs_Prices!R245),2)</f>
        <v>95.36</v>
      </c>
      <c r="S98" s="161">
        <f>ROUND(R98*(1+Inputs_Prices!S$139)*(1-Inputs_Prices!S245),2)</f>
        <v>98.61</v>
      </c>
    </row>
    <row r="99" spans="1:26" s="135" customFormat="1" ht="11.25" customHeight="1" x14ac:dyDescent="0.2">
      <c r="D99" s="166" t="str">
        <v>Network related property services</v>
      </c>
      <c r="H99" s="152" t="s">
        <v>88</v>
      </c>
      <c r="I99" s="160" t="s">
        <v>216</v>
      </c>
      <c r="J99" s="160" t="s">
        <v>69</v>
      </c>
      <c r="O99" s="117">
        <f>Inputs_Prices!O187</f>
        <v>87.19</v>
      </c>
      <c r="P99" s="161">
        <f>ROUND(O99*(1+Inputs_Prices!P$139)*(1-Inputs_Prices!P246),2)</f>
        <v>89.3</v>
      </c>
      <c r="Q99" s="161">
        <f>ROUND(P99*(1+Inputs_Prices!Q$139)*(1-Inputs_Prices!Q246),2)</f>
        <v>92.21</v>
      </c>
      <c r="R99" s="161">
        <f>ROUND(Q99*(1+Inputs_Prices!R$139)*(1-Inputs_Prices!R246),2)</f>
        <v>95.36</v>
      </c>
      <c r="S99" s="161">
        <f>ROUND(R99*(1+Inputs_Prices!S$139)*(1-Inputs_Prices!S246),2)</f>
        <v>98.61</v>
      </c>
    </row>
    <row r="100" spans="1:26" s="135" customFormat="1" ht="11.25" customHeight="1" x14ac:dyDescent="0.2">
      <c r="D100" s="166" t="str">
        <v>Site establishment services</v>
      </c>
      <c r="H100" s="152" t="s">
        <v>88</v>
      </c>
      <c r="I100" s="160" t="s">
        <v>216</v>
      </c>
      <c r="J100" s="160" t="s">
        <v>69</v>
      </c>
      <c r="O100" s="117">
        <f>Inputs_Prices!O188</f>
        <v>87.19</v>
      </c>
      <c r="P100" s="161">
        <f>ROUND(O100*(1+Inputs_Prices!P$139)*(1-Inputs_Prices!P247),2)</f>
        <v>89.3</v>
      </c>
      <c r="Q100" s="161">
        <f>ROUND(P100*(1+Inputs_Prices!Q$139)*(1-Inputs_Prices!Q247),2)</f>
        <v>92.21</v>
      </c>
      <c r="R100" s="161">
        <f>ROUND(Q100*(1+Inputs_Prices!R$139)*(1-Inputs_Prices!R247),2)</f>
        <v>95.36</v>
      </c>
      <c r="S100" s="161">
        <f>ROUND(R100*(1+Inputs_Prices!S$139)*(1-Inputs_Prices!S247),2)</f>
        <v>98.61</v>
      </c>
    </row>
    <row r="101" spans="1:26" s="135" customFormat="1" ht="11.25" customHeight="1" x14ac:dyDescent="0.2">
      <c r="D101" s="166" t="str">
        <v>Network safety services</v>
      </c>
      <c r="H101" s="152" t="s">
        <v>88</v>
      </c>
      <c r="I101" s="160" t="s">
        <v>216</v>
      </c>
      <c r="J101" s="160" t="s">
        <v>69</v>
      </c>
      <c r="O101" s="117">
        <f>Inputs_Prices!O189</f>
        <v>132.71</v>
      </c>
      <c r="P101" s="161">
        <f>ROUND(O101*(1+Inputs_Prices!P$139)*(1-Inputs_Prices!P248),2)</f>
        <v>135.91999999999999</v>
      </c>
      <c r="Q101" s="161">
        <f>ROUND(P101*(1+Inputs_Prices!Q$139)*(1-Inputs_Prices!Q248),2)</f>
        <v>140.36000000000001</v>
      </c>
      <c r="R101" s="161">
        <f>ROUND(Q101*(1+Inputs_Prices!R$139)*(1-Inputs_Prices!R248),2)</f>
        <v>145.16</v>
      </c>
      <c r="S101" s="161">
        <f>ROUND(R101*(1+Inputs_Prices!S$139)*(1-Inputs_Prices!S248),2)</f>
        <v>150.11000000000001</v>
      </c>
    </row>
    <row r="102" spans="1:26" s="135" customFormat="1" ht="11.25" customHeight="1" x14ac:dyDescent="0.2">
      <c r="D102" s="166" t="str">
        <v>Network tariff change request</v>
      </c>
      <c r="H102" s="152" t="s">
        <v>88</v>
      </c>
      <c r="I102" s="160" t="s">
        <v>216</v>
      </c>
      <c r="J102" s="160" t="s">
        <v>69</v>
      </c>
      <c r="O102" s="117">
        <f>Inputs_Prices!O190</f>
        <v>87.19</v>
      </c>
      <c r="P102" s="161">
        <f>ROUND(O102*(1+Inputs_Prices!P$139)*(1-Inputs_Prices!P249),2)</f>
        <v>89.3</v>
      </c>
      <c r="Q102" s="161">
        <f>ROUND(P102*(1+Inputs_Prices!Q$139)*(1-Inputs_Prices!Q249),2)</f>
        <v>92.21</v>
      </c>
      <c r="R102" s="161">
        <f>ROUND(Q102*(1+Inputs_Prices!R$139)*(1-Inputs_Prices!R249),2)</f>
        <v>95.36</v>
      </c>
      <c r="S102" s="161">
        <f>ROUND(R102*(1+Inputs_Prices!S$139)*(1-Inputs_Prices!S249),2)</f>
        <v>98.61</v>
      </c>
    </row>
    <row r="103" spans="1:26" s="135" customFormat="1" ht="11.25" customHeight="1" x14ac:dyDescent="0.2">
      <c r="D103" s="166" t="str">
        <v>Planned interruption - customer request</v>
      </c>
      <c r="H103" s="152" t="s">
        <v>88</v>
      </c>
      <c r="I103" s="160" t="s">
        <v>216</v>
      </c>
      <c r="J103" s="160" t="s">
        <v>69</v>
      </c>
      <c r="O103" s="117">
        <f>Inputs_Prices!O191</f>
        <v>132.71</v>
      </c>
      <c r="P103" s="161">
        <f>ROUND(O103*(1+Inputs_Prices!P$139)*(1-Inputs_Prices!P250),2)</f>
        <v>135.91999999999999</v>
      </c>
      <c r="Q103" s="161">
        <f>ROUND(P103*(1+Inputs_Prices!Q$139)*(1-Inputs_Prices!Q250),2)</f>
        <v>140.36000000000001</v>
      </c>
      <c r="R103" s="161">
        <f>ROUND(Q103*(1+Inputs_Prices!R$139)*(1-Inputs_Prices!R250),2)</f>
        <v>145.16</v>
      </c>
      <c r="S103" s="161">
        <f>ROUND(R103*(1+Inputs_Prices!S$139)*(1-Inputs_Prices!S250),2)</f>
        <v>150.11000000000001</v>
      </c>
    </row>
    <row r="104" spans="1:26" s="135" customFormat="1" ht="11.25" customHeight="1" x14ac:dyDescent="0.2">
      <c r="D104" s="166" t="str">
        <v>Performance of a statutory right (access prevented)</v>
      </c>
      <c r="H104" s="152" t="s">
        <v>88</v>
      </c>
      <c r="I104" s="160" t="s">
        <v>216</v>
      </c>
      <c r="J104" s="160" t="s">
        <v>69</v>
      </c>
      <c r="O104" s="117">
        <f>Inputs_Prices!O192</f>
        <v>132.71</v>
      </c>
      <c r="P104" s="161">
        <f>ROUND(O104*(1+Inputs_Prices!P$139)*(1-Inputs_Prices!P251),2)</f>
        <v>135.91999999999999</v>
      </c>
      <c r="Q104" s="161">
        <f>ROUND(P104*(1+Inputs_Prices!Q$139)*(1-Inputs_Prices!Q251),2)</f>
        <v>140.36000000000001</v>
      </c>
      <c r="R104" s="161">
        <f>ROUND(Q104*(1+Inputs_Prices!R$139)*(1-Inputs_Prices!R251),2)</f>
        <v>145.16</v>
      </c>
      <c r="S104" s="161">
        <f>ROUND(R104*(1+Inputs_Prices!S$139)*(1-Inputs_Prices!S251),2)</f>
        <v>150.11000000000001</v>
      </c>
    </row>
    <row r="105" spans="1:26" s="135" customFormat="1" ht="11.25" customHeight="1" x14ac:dyDescent="0.2">
      <c r="D105" s="166" t="str">
        <v>Provision of network related training to third parties</v>
      </c>
      <c r="H105" s="152" t="s">
        <v>88</v>
      </c>
      <c r="I105" s="160" t="s">
        <v>216</v>
      </c>
      <c r="J105" s="160" t="s">
        <v>69</v>
      </c>
      <c r="O105" s="117">
        <f>Inputs_Prices!O193</f>
        <v>87.19</v>
      </c>
      <c r="P105" s="161">
        <f>ROUND(O105*(1+Inputs_Prices!P$139)*(1-Inputs_Prices!P252),2)</f>
        <v>89.3</v>
      </c>
      <c r="Q105" s="161">
        <f>ROUND(P105*(1+Inputs_Prices!Q$139)*(1-Inputs_Prices!Q252),2)</f>
        <v>92.21</v>
      </c>
      <c r="R105" s="161">
        <f>ROUND(Q105*(1+Inputs_Prices!R$139)*(1-Inputs_Prices!R252),2)</f>
        <v>95.36</v>
      </c>
      <c r="S105" s="161">
        <f>ROUND(R105*(1+Inputs_Prices!S$139)*(1-Inputs_Prices!S252),2)</f>
        <v>98.61</v>
      </c>
    </row>
    <row r="106" spans="1:26" s="135" customFormat="1" ht="11.25" customHeight="1" x14ac:dyDescent="0.2">
      <c r="D106" s="166" t="str">
        <v>Non-standard reporting services</v>
      </c>
      <c r="H106" s="152" t="s">
        <v>88</v>
      </c>
      <c r="I106" s="160" t="s">
        <v>216</v>
      </c>
      <c r="J106" s="160" t="s">
        <v>69</v>
      </c>
      <c r="O106" s="117">
        <f>Inputs_Prices!O194</f>
        <v>87.19</v>
      </c>
      <c r="P106" s="161">
        <f>ROUND(O106*(1+Inputs_Prices!P$139)*(1-Inputs_Prices!P253),2)</f>
        <v>89.3</v>
      </c>
      <c r="Q106" s="161">
        <f>ROUND(P106*(1+Inputs_Prices!Q$139)*(1-Inputs_Prices!Q253),2)</f>
        <v>92.21</v>
      </c>
      <c r="R106" s="161">
        <f>ROUND(Q106*(1+Inputs_Prices!R$139)*(1-Inputs_Prices!R253),2)</f>
        <v>95.36</v>
      </c>
      <c r="S106" s="161">
        <f>ROUND(R106*(1+Inputs_Prices!S$139)*(1-Inputs_Prices!S253),2)</f>
        <v>98.61</v>
      </c>
    </row>
    <row r="107" spans="1:26" s="135" customFormat="1" ht="11.25" customHeight="1" x14ac:dyDescent="0.2">
      <c r="D107" s="166" t="str">
        <v xml:space="preserve">Services provided for retailer of last resort event </v>
      </c>
      <c r="H107" s="152" t="s">
        <v>88</v>
      </c>
      <c r="I107" s="160" t="s">
        <v>216</v>
      </c>
      <c r="J107" s="160" t="s">
        <v>69</v>
      </c>
      <c r="O107" s="117">
        <f>Inputs_Prices!O195</f>
        <v>87.19</v>
      </c>
      <c r="P107" s="161">
        <f>ROUND(O107*(1+Inputs_Prices!P$139)*(1-Inputs_Prices!P254),2)</f>
        <v>89.3</v>
      </c>
      <c r="Q107" s="161">
        <f>ROUND(P107*(1+Inputs_Prices!Q$139)*(1-Inputs_Prices!Q254),2)</f>
        <v>92.21</v>
      </c>
      <c r="R107" s="161">
        <f>ROUND(Q107*(1+Inputs_Prices!R$139)*(1-Inputs_Prices!R254),2)</f>
        <v>95.36</v>
      </c>
      <c r="S107" s="161">
        <f>ROUND(R107*(1+Inputs_Prices!S$139)*(1-Inputs_Prices!S254),2)</f>
        <v>98.61</v>
      </c>
    </row>
    <row r="108" spans="1:26" s="135" customFormat="1" ht="11.25" customHeight="1" x14ac:dyDescent="0.2">
      <c r="D108" s="166" t="str">
        <v>Rectification of illegal connections service</v>
      </c>
      <c r="H108" s="152" t="s">
        <v>88</v>
      </c>
      <c r="I108" s="160" t="s">
        <v>216</v>
      </c>
      <c r="J108" s="160" t="s">
        <v>69</v>
      </c>
      <c r="O108" s="117">
        <f>Inputs_Prices!O196</f>
        <v>132.71</v>
      </c>
      <c r="P108" s="161">
        <f>ROUND(O108*(1+Inputs_Prices!P$139)*(1-Inputs_Prices!P255),2)</f>
        <v>135.91999999999999</v>
      </c>
      <c r="Q108" s="161">
        <f>ROUND(P108*(1+Inputs_Prices!Q$139)*(1-Inputs_Prices!Q255),2)</f>
        <v>140.36000000000001</v>
      </c>
      <c r="R108" s="161">
        <f>ROUND(Q108*(1+Inputs_Prices!R$139)*(1-Inputs_Prices!R255),2)</f>
        <v>145.16</v>
      </c>
      <c r="S108" s="161">
        <f>ROUND(R108*(1+Inputs_Prices!S$139)*(1-Inputs_Prices!S255),2)</f>
        <v>150.11000000000001</v>
      </c>
    </row>
    <row r="109" spans="1:26" s="135" customFormat="1" ht="11.25" customHeight="1" x14ac:dyDescent="0.2">
      <c r="D109" s="166" t="str">
        <v>Network changes at customer or retailer's request</v>
      </c>
      <c r="H109" s="152" t="s">
        <v>88</v>
      </c>
      <c r="I109" s="160" t="s">
        <v>216</v>
      </c>
      <c r="J109" s="160" t="s">
        <v>69</v>
      </c>
      <c r="O109" s="117">
        <f>Inputs_Prices!O197</f>
        <v>132.71</v>
      </c>
      <c r="P109" s="161">
        <f>ROUND(O109*(1+Inputs_Prices!P$139)*(1-Inputs_Prices!P256),2)</f>
        <v>135.91999999999999</v>
      </c>
      <c r="Q109" s="161">
        <f>ROUND(P109*(1+Inputs_Prices!Q$139)*(1-Inputs_Prices!Q256),2)</f>
        <v>140.36000000000001</v>
      </c>
      <c r="R109" s="161">
        <f>ROUND(Q109*(1+Inputs_Prices!R$139)*(1-Inputs_Prices!R256),2)</f>
        <v>145.16</v>
      </c>
      <c r="S109" s="161">
        <f>ROUND(R109*(1+Inputs_Prices!S$139)*(1-Inputs_Prices!S256),2)</f>
        <v>150.11000000000001</v>
      </c>
    </row>
    <row r="110" spans="1:26" s="135" customFormat="1" ht="11.25" customHeight="1" x14ac:dyDescent="0.2">
      <c r="D110" s="166" t="str">
        <v>Annual prepayment meter licensing fee *</v>
      </c>
      <c r="H110" s="152" t="s">
        <v>88</v>
      </c>
      <c r="I110" s="160" t="s">
        <v>216</v>
      </c>
      <c r="J110" s="160" t="s">
        <v>69</v>
      </c>
      <c r="O110" s="117">
        <f>Inputs_Prices!O198</f>
        <v>87.19</v>
      </c>
      <c r="P110" s="161">
        <f>ROUND(O110*(1+Inputs_Prices!P$139)*(1-Inputs_Prices!P257),2)</f>
        <v>89.3</v>
      </c>
      <c r="Q110" s="161">
        <f>ROUND(P110*(1+Inputs_Prices!Q$139)*(1-Inputs_Prices!Q257),2)</f>
        <v>92.21</v>
      </c>
      <c r="R110" s="161">
        <f>ROUND(Q110*(1+Inputs_Prices!R$139)*(1-Inputs_Prices!R257),2)</f>
        <v>95.36</v>
      </c>
      <c r="S110" s="161">
        <f>ROUND(R110*(1+Inputs_Prices!S$139)*(1-Inputs_Prices!S257),2)</f>
        <v>98.61</v>
      </c>
    </row>
    <row r="111" spans="1:26" s="6" customFormat="1" ht="11.25" customHeight="1" x14ac:dyDescent="0.2">
      <c r="V111" s="114"/>
      <c r="W111" s="114"/>
      <c r="X111" s="114"/>
      <c r="Y111" s="114"/>
      <c r="Z111" s="114"/>
    </row>
    <row r="112" spans="1:26" s="6" customFormat="1" ht="11.25" hidden="1" customHeight="1" outlineLevel="1" x14ac:dyDescent="0.2">
      <c r="A112" s="163">
        <f>IF(SUM($O112:$S112)=0,0,1)</f>
        <v>0</v>
      </c>
      <c r="B112" s="135"/>
      <c r="C112" s="135"/>
      <c r="D112" s="157" t="s">
        <v>121</v>
      </c>
      <c r="E112" s="73"/>
      <c r="F112" s="73"/>
      <c r="G112" s="75"/>
      <c r="H112" s="73"/>
      <c r="I112" s="73"/>
      <c r="J112" s="73"/>
      <c r="K112" s="66"/>
      <c r="O112" s="67" cm="1">
        <f t="array" ref="O112">IF(SUMPRODUCT(--ISERROR(O61:O110))&lt;&gt;0,1,0)</f>
        <v>0</v>
      </c>
      <c r="P112" s="151" cm="1">
        <f t="array" ref="P112">IF(SUMPRODUCT(--ISERROR(P61:P110))&lt;&gt;0,1,0)</f>
        <v>0</v>
      </c>
      <c r="Q112" s="151" cm="1">
        <f t="array" ref="Q112">IF(SUMPRODUCT(--ISERROR(Q61:Q110))&lt;&gt;0,1,0)</f>
        <v>0</v>
      </c>
      <c r="R112" s="151" cm="1">
        <f t="array" ref="R112">IF(SUMPRODUCT(--ISERROR(R61:R110))&lt;&gt;0,1,0)</f>
        <v>0</v>
      </c>
      <c r="S112" s="151" cm="1">
        <f t="array" ref="S112">IF(SUMPRODUCT(--ISERROR(S61:S110))&lt;&gt;0,1,0)</f>
        <v>0</v>
      </c>
    </row>
    <row r="113" spans="2:15" s="6" customFormat="1" ht="11.25" customHeight="1" collapsed="1" x14ac:dyDescent="0.2"/>
    <row r="114" spans="2:15" s="4" customFormat="1" ht="15.5" x14ac:dyDescent="0.2">
      <c r="B114" s="4" t="s">
        <v>33</v>
      </c>
    </row>
    <row r="117" spans="2:15" x14ac:dyDescent="0.2">
      <c r="O117" s="134"/>
    </row>
    <row r="126" spans="2:15" s="113" customFormat="1" x14ac:dyDescent="0.2"/>
    <row r="137" spans="22:22" s="113" customFormat="1" x14ac:dyDescent="0.2"/>
    <row r="140" spans="22:22" x14ac:dyDescent="0.2">
      <c r="V140" s="112"/>
    </row>
    <row r="141" spans="22:22" x14ac:dyDescent="0.2">
      <c r="V141" s="112"/>
    </row>
    <row r="142" spans="22:22" x14ac:dyDescent="0.2">
      <c r="V142" s="112"/>
    </row>
    <row r="143" spans="22:22" x14ac:dyDescent="0.2">
      <c r="V143" s="112"/>
    </row>
    <row r="144" spans="22:22" x14ac:dyDescent="0.2">
      <c r="V144" s="112"/>
    </row>
    <row r="145" spans="17:22" x14ac:dyDescent="0.2">
      <c r="V145" s="112"/>
    </row>
    <row r="146" spans="17:22" x14ac:dyDescent="0.2">
      <c r="V146" s="112"/>
    </row>
    <row r="157" spans="17:22" x14ac:dyDescent="0.2">
      <c r="Q157" s="113"/>
    </row>
    <row r="158" spans="17:22" x14ac:dyDescent="0.2">
      <c r="Q158" s="113"/>
    </row>
    <row r="159" spans="17:22" x14ac:dyDescent="0.2">
      <c r="Q159" s="113"/>
    </row>
    <row r="160" spans="17:22" x14ac:dyDescent="0.2">
      <c r="Q160" s="113"/>
    </row>
    <row r="161" spans="17:17" x14ac:dyDescent="0.2">
      <c r="Q161" s="113"/>
    </row>
    <row r="162" spans="17:17" x14ac:dyDescent="0.2">
      <c r="Q162" s="113"/>
    </row>
    <row r="163" spans="17:17" x14ac:dyDescent="0.2">
      <c r="Q163" s="113"/>
    </row>
    <row r="164" spans="17:17" x14ac:dyDescent="0.2">
      <c r="Q164" s="113"/>
    </row>
  </sheetData>
  <conditionalFormatting sqref="B2">
    <cfRule type="cellIs" dxfId="22" priority="1" operator="notEqual">
      <formula>"No Errors Found"</formula>
    </cfRule>
  </conditionalFormatting>
  <dataValidations count="3">
    <dataValidation type="list" allowBlank="1" showInputMessage="1" showErrorMessage="1" sqref="K112">
      <formula1>LU_Timing</formula1>
    </dataValidation>
    <dataValidation type="list" allowBlank="1" showInputMessage="1" showErrorMessage="1" sqref="I112 I61:I63 I66:I92 I95:I110">
      <formula1>LU_Units</formula1>
    </dataValidation>
    <dataValidation type="list" allowBlank="1" showInputMessage="1" showErrorMessage="1" sqref="J112 J66:J92 J95:J110 J61:J63">
      <formula1>LU_Basis</formula1>
    </dataValidation>
  </dataValidations>
  <hyperlinks>
    <hyperlink ref="B3:E3" location="TOC!A1" display="TOC!A1"/>
  </hyperlinks>
  <pageMargins left="0.7" right="0.7" top="0.75" bottom="0.75" header="0.3" footer="0.3"/>
  <pageSetup paperSize="9" orientation="portrait" r:id="rId1"/>
  <ignoredErrors>
    <ignoredError sqref="D61:D6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84"/>
  <sheetViews>
    <sheetView showGridLines="0" workbookViewId="0">
      <pane ySplit="11" topLeftCell="A12" activePane="bottomLeft" state="frozen"/>
      <selection pane="bottomLeft" activeCell="L16" sqref="L16"/>
    </sheetView>
  </sheetViews>
  <sheetFormatPr defaultColWidth="9.33203125" defaultRowHeight="10" outlineLevelRow="1" x14ac:dyDescent="0.2"/>
  <cols>
    <col min="1" max="1" width="3.33203125" style="7" customWidth="1"/>
    <col min="2" max="3" width="2.77734375" style="7" customWidth="1"/>
    <col min="4" max="4" width="44.44140625" style="7" customWidth="1"/>
    <col min="5" max="5" width="5" style="7" customWidth="1"/>
    <col min="6" max="6" width="14.44140625" style="7" bestFit="1" customWidth="1"/>
    <col min="7" max="7" width="2.44140625" style="7" customWidth="1"/>
    <col min="8" max="8" width="12.33203125" style="7" bestFit="1" customWidth="1"/>
    <col min="9" max="10" width="12.77734375" style="7" customWidth="1"/>
    <col min="11" max="12" width="3.44140625" style="7" customWidth="1"/>
    <col min="13" max="19" width="12.77734375" style="7" customWidth="1"/>
    <col min="20" max="20" width="4.33203125" style="7" customWidth="1"/>
    <col min="21" max="24" width="10.77734375" style="7" customWidth="1"/>
    <col min="25" max="16384" width="9.33203125" style="7"/>
  </cols>
  <sheetData>
    <row r="1" spans="1:22" ht="19" x14ac:dyDescent="0.2">
      <c r="A1" s="67">
        <f ca="1">IF(SUM($A11:$A84)&gt;0,1,0)</f>
        <v>0</v>
      </c>
      <c r="B1" s="5" t="s">
        <v>222</v>
      </c>
    </row>
    <row r="2" spans="1:22" x14ac:dyDescent="0.2">
      <c r="B2" s="18" t="str">
        <f ca="1">Title_Msg</f>
        <v>No Errors Found</v>
      </c>
    </row>
    <row r="3" spans="1:22" x14ac:dyDescent="0.2">
      <c r="B3" s="57" t="str">
        <f>TOC!B1</f>
        <v>Table of Contents</v>
      </c>
      <c r="C3" s="51"/>
      <c r="D3" s="51"/>
      <c r="E3" s="51"/>
    </row>
    <row r="4" spans="1:22" ht="13" x14ac:dyDescent="0.2">
      <c r="B4" s="48" t="str">
        <f>Model_Name</f>
        <v>ACS Pricing Model - Power and Water Corporation</v>
      </c>
    </row>
    <row r="5" spans="1:22" ht="12.5" hidden="1" outlineLevel="1" x14ac:dyDescent="0.2">
      <c r="B5" s="15" t="str">
        <f>Lookup!B15</f>
        <v>Period Start Date</v>
      </c>
      <c r="J5" s="62"/>
      <c r="K5" s="62"/>
      <c r="L5" s="62"/>
      <c r="M5" s="62">
        <f>Lookup!M15</f>
        <v>42917</v>
      </c>
      <c r="N5" s="62">
        <f>Lookup!N15</f>
        <v>43282</v>
      </c>
      <c r="O5" s="62">
        <f>Lookup!O15</f>
        <v>43647</v>
      </c>
      <c r="P5" s="62">
        <f>Lookup!P15</f>
        <v>44013</v>
      </c>
      <c r="Q5" s="62">
        <f>Lookup!Q15</f>
        <v>44378</v>
      </c>
      <c r="R5" s="62">
        <f>Lookup!R15</f>
        <v>44743</v>
      </c>
      <c r="S5" s="62">
        <f>Lookup!S15</f>
        <v>45108</v>
      </c>
    </row>
    <row r="6" spans="1:22" ht="12.5" hidden="1" outlineLevel="1" x14ac:dyDescent="0.2">
      <c r="B6" s="15" t="str">
        <f>Lookup!B16</f>
        <v>Period End Date</v>
      </c>
      <c r="J6" s="62"/>
      <c r="K6" s="62"/>
      <c r="L6" s="62"/>
      <c r="M6" s="62">
        <f>Lookup!M16</f>
        <v>43281</v>
      </c>
      <c r="N6" s="62">
        <f>Lookup!N16</f>
        <v>43646</v>
      </c>
      <c r="O6" s="62">
        <f>Lookup!O16</f>
        <v>44012</v>
      </c>
      <c r="P6" s="62">
        <f>Lookup!P16</f>
        <v>44377</v>
      </c>
      <c r="Q6" s="62">
        <f>Lookup!Q16</f>
        <v>44742</v>
      </c>
      <c r="R6" s="62">
        <f>Lookup!R16</f>
        <v>45107</v>
      </c>
      <c r="S6" s="62">
        <f>Lookup!S16</f>
        <v>45473</v>
      </c>
    </row>
    <row r="7" spans="1:22" ht="12.5" hidden="1" outlineLevel="1" x14ac:dyDescent="0.2">
      <c r="B7" s="15" t="str">
        <f>Lookup!B17</f>
        <v>Period Counter</v>
      </c>
      <c r="J7" s="63"/>
      <c r="K7" s="63"/>
      <c r="L7" s="63"/>
      <c r="M7" s="63">
        <f>Lookup!M17</f>
        <v>4</v>
      </c>
      <c r="N7" s="63">
        <f>Lookup!N17</f>
        <v>5</v>
      </c>
      <c r="O7" s="63">
        <f>Lookup!O17</f>
        <v>6</v>
      </c>
      <c r="P7" s="63">
        <f>Lookup!P17</f>
        <v>7</v>
      </c>
      <c r="Q7" s="63">
        <f>Lookup!Q17</f>
        <v>8</v>
      </c>
      <c r="R7" s="63">
        <f>Lookup!R17</f>
        <v>9</v>
      </c>
      <c r="S7" s="63">
        <f>Lookup!S17</f>
        <v>10</v>
      </c>
    </row>
    <row r="8" spans="1:22" ht="12.5" hidden="1" outlineLevel="1" x14ac:dyDescent="0.2">
      <c r="B8" s="15" t="str">
        <f>Lookup!B18</f>
        <v>Year</v>
      </c>
      <c r="J8" s="64"/>
      <c r="K8" s="64"/>
      <c r="L8" s="64"/>
      <c r="M8" s="64">
        <f>Lookup!M18</f>
        <v>2018</v>
      </c>
      <c r="N8" s="64">
        <f>Lookup!N18</f>
        <v>2019</v>
      </c>
      <c r="O8" s="64">
        <f>Lookup!O18</f>
        <v>2020</v>
      </c>
      <c r="P8" s="64">
        <f>Lookup!P18</f>
        <v>2021</v>
      </c>
      <c r="Q8" s="64">
        <f>Lookup!Q18</f>
        <v>2022</v>
      </c>
      <c r="R8" s="64">
        <f>Lookup!R18</f>
        <v>2023</v>
      </c>
      <c r="S8" s="64">
        <f>Lookup!S18</f>
        <v>2024</v>
      </c>
    </row>
    <row r="9" spans="1:22" ht="12.5" hidden="1" outlineLevel="1" x14ac:dyDescent="0.2">
      <c r="B9" s="139" t="str">
        <f>Lookup!B19</f>
        <v>Days In Year</v>
      </c>
      <c r="J9" s="64"/>
      <c r="K9" s="64"/>
      <c r="L9" s="64"/>
      <c r="M9" s="64">
        <f>Lookup!M19</f>
        <v>365</v>
      </c>
      <c r="N9" s="64">
        <f>Lookup!N19</f>
        <v>365</v>
      </c>
      <c r="O9" s="64">
        <f>Lookup!O19</f>
        <v>366</v>
      </c>
      <c r="P9" s="64">
        <f>Lookup!P19</f>
        <v>365</v>
      </c>
      <c r="Q9" s="64">
        <f>Lookup!Q19</f>
        <v>365</v>
      </c>
      <c r="R9" s="64">
        <f>Lookup!R19</f>
        <v>365</v>
      </c>
      <c r="S9" s="64">
        <f>Lookup!S19</f>
        <v>366</v>
      </c>
    </row>
    <row r="10" spans="1:22" ht="13" collapsed="1" x14ac:dyDescent="0.2">
      <c r="B10" s="10" t="str">
        <f>Lookup!B20</f>
        <v>FY</v>
      </c>
      <c r="D10" s="61" t="s">
        <v>96</v>
      </c>
      <c r="E10" s="61"/>
      <c r="F10" s="61"/>
      <c r="H10" s="61" t="str">
        <f>Lookup!E20</f>
        <v>Source</v>
      </c>
      <c r="I10" s="61" t="str">
        <f>Lookup!F20</f>
        <v>Unit</v>
      </c>
      <c r="J10" s="61" t="str">
        <f>Lookup!G20</f>
        <v>Basis</v>
      </c>
      <c r="K10" s="61"/>
      <c r="L10" s="61"/>
      <c r="M10" s="61" t="str">
        <f>Lookup!M20</f>
        <v>FY18</v>
      </c>
      <c r="N10" s="61" t="str">
        <f>Lookup!N20</f>
        <v>FY19</v>
      </c>
      <c r="O10" s="61" t="str">
        <f>Lookup!O20</f>
        <v>FY20</v>
      </c>
      <c r="P10" s="61" t="str">
        <f>Lookup!P20</f>
        <v>FY21</v>
      </c>
      <c r="Q10" s="61" t="str">
        <f>Lookup!Q20</f>
        <v>FY22</v>
      </c>
      <c r="R10" s="61" t="str">
        <f>Lookup!R20</f>
        <v>FY23</v>
      </c>
      <c r="S10" s="61" t="str">
        <f>Lookup!S20</f>
        <v>FY24</v>
      </c>
      <c r="U10" s="68"/>
      <c r="V10" s="68"/>
    </row>
    <row r="12" spans="1:22" s="4" customFormat="1" ht="15.5" x14ac:dyDescent="0.2">
      <c r="B12" s="4" t="s">
        <v>119</v>
      </c>
    </row>
    <row r="13" spans="1:22" s="6" customFormat="1" ht="11.25" customHeight="1" x14ac:dyDescent="0.2"/>
    <row r="14" spans="1:22" s="6" customFormat="1" ht="11.25" customHeight="1" x14ac:dyDescent="0.2">
      <c r="D14" s="164" t="s">
        <v>242</v>
      </c>
    </row>
    <row r="15" spans="1:22" s="6" customFormat="1" ht="11.25" customHeight="1" x14ac:dyDescent="0.2"/>
    <row r="16" spans="1:22" s="6" customFormat="1" ht="11.25" customHeight="1" x14ac:dyDescent="0.2">
      <c r="D16" s="82" t="s">
        <v>147</v>
      </c>
      <c r="H16" s="83" t="s">
        <v>148</v>
      </c>
      <c r="I16" s="119" t="str">
        <f>"Note: years prior to "&amp;H16&amp;" are ignored from the checks"</f>
        <v>Note: years prior to FY21 are ignored from the checks</v>
      </c>
    </row>
    <row r="17" spans="1:19" s="6" customFormat="1" ht="11.25" customHeight="1" x14ac:dyDescent="0.2"/>
    <row r="18" spans="1:19" s="6" customFormat="1" ht="11.25" customHeight="1" x14ac:dyDescent="0.25">
      <c r="D18" s="93" t="s">
        <v>122</v>
      </c>
      <c r="P18" s="135"/>
    </row>
    <row r="19" spans="1:19" s="6" customFormat="1" ht="11.25" customHeight="1" x14ac:dyDescent="0.2">
      <c r="D19" s="92" t="s">
        <v>208</v>
      </c>
      <c r="H19" s="94" t="str">
        <f ca="1">IF(COUNTIF(OFFSET($P$31:$P$33,0,MATCH($H$16,$P$10:$S$10)-1,COUNTA($P$31:$P$33),COUNTA($P$10:$S$10)-MATCH($H$16,$P$10:$S$10)+1),"Fail")&gt;0,"Fail","Pass")</f>
        <v>Pass</v>
      </c>
    </row>
    <row r="20" spans="1:19" s="6" customFormat="1" ht="11.25" customHeight="1" x14ac:dyDescent="0.2">
      <c r="D20" s="92" t="s">
        <v>155</v>
      </c>
      <c r="H20" s="170" t="str">
        <f ca="1">IF(COUNTIF(OFFSET($P$36:$P$62,0,MATCH($H$16,$P$10:$S$10)-1,COUNTA($P$36:$P$62),COUNTA($P$10:$S$10)-MATCH($H$16,$P$10:$S$10)+1),"Fail")&gt;0,"Fail","Pass")</f>
        <v>Pass</v>
      </c>
    </row>
    <row r="21" spans="1:19" s="6" customFormat="1" ht="11.25" customHeight="1" x14ac:dyDescent="0.2">
      <c r="D21" s="92" t="s">
        <v>243</v>
      </c>
      <c r="H21" s="170" t="str">
        <f ca="1">IF(COUNTIF(OFFSET($P$65:$P$80,0,MATCH($H$16,$P$10:$S$10)-1,COUNTA($P$65:$P$80),COUNTA($P$10:$S$10)-MATCH($H$16,$P$10:$S$10)+1),"Fail")&gt;0,"Fail","Pass")</f>
        <v>Pass</v>
      </c>
      <c r="I21" s="84" t="str">
        <f ca="1">IF(H21="NA","Note: The side constraint only applies from year 2 of the regulatory period","")</f>
        <v/>
      </c>
    </row>
    <row r="22" spans="1:19" s="6" customFormat="1" ht="11.25" customHeight="1" x14ac:dyDescent="0.2">
      <c r="P22" s="135"/>
    </row>
    <row r="23" spans="1:19" s="135" customFormat="1" ht="11.25" hidden="1" customHeight="1" outlineLevel="1" x14ac:dyDescent="0.2">
      <c r="A23" s="163">
        <f ca="1">IF(SUM($H23)=0,0,1)</f>
        <v>0</v>
      </c>
      <c r="D23" s="157" t="s">
        <v>121</v>
      </c>
      <c r="E23" s="156"/>
      <c r="F23" s="156"/>
      <c r="G23" s="158"/>
      <c r="H23" s="151">
        <f ca="1">COUNTIF(H19:H21,"Fail")</f>
        <v>0</v>
      </c>
    </row>
    <row r="24" spans="1:19" s="135" customFormat="1" ht="11.25" customHeight="1" collapsed="1" x14ac:dyDescent="0.2"/>
    <row r="25" spans="1:19" s="138" customFormat="1" ht="14" x14ac:dyDescent="0.2">
      <c r="C25" s="138" t="s">
        <v>215</v>
      </c>
    </row>
    <row r="26" spans="1:19" s="135" customFormat="1" ht="11.25" customHeight="1" x14ac:dyDescent="0.2"/>
    <row r="27" spans="1:19" s="135" customFormat="1" ht="11.25" customHeight="1" x14ac:dyDescent="0.2"/>
    <row r="28" spans="1:19" s="135" customFormat="1" ht="11.25" customHeight="1" x14ac:dyDescent="0.2">
      <c r="D28" s="153" t="s">
        <v>211</v>
      </c>
      <c r="H28" s="148" t="str">
        <f>Lookup!E$20</f>
        <v>Source</v>
      </c>
      <c r="I28" s="148" t="str">
        <f>Lookup!F$20</f>
        <v>Unit</v>
      </c>
      <c r="J28" s="148" t="str">
        <f>Lookup!G$20</f>
        <v>Basis</v>
      </c>
      <c r="L28" s="134"/>
      <c r="P28" s="148" t="str">
        <f>P$10</f>
        <v>FY21</v>
      </c>
      <c r="Q28" s="148" t="str">
        <f>Q$10</f>
        <v>FY22</v>
      </c>
      <c r="R28" s="148" t="str">
        <f>R$10</f>
        <v>FY23</v>
      </c>
      <c r="S28" s="148" t="str">
        <f>S$10</f>
        <v>FY24</v>
      </c>
    </row>
    <row r="29" spans="1:19" s="135" customFormat="1" ht="11.25" customHeight="1" x14ac:dyDescent="0.2">
      <c r="P29" s="154"/>
      <c r="Q29" s="154"/>
      <c r="R29" s="154"/>
      <c r="S29" s="154"/>
    </row>
    <row r="30" spans="1:19" s="135" customFormat="1" ht="11.25" customHeight="1" x14ac:dyDescent="0.2">
      <c r="D30" s="167" t="s">
        <v>208</v>
      </c>
      <c r="P30" s="154"/>
      <c r="Q30" s="154"/>
      <c r="R30" s="154"/>
      <c r="S30" s="154"/>
    </row>
    <row r="31" spans="1:19" s="135" customFormat="1" ht="11.25" customHeight="1" x14ac:dyDescent="0.2">
      <c r="D31" s="166" t="str">
        <f t="array" ref="D31:D33">LU_Metering_Services</f>
        <v>1 Phase Meters (including Prepayment)</v>
      </c>
      <c r="H31" s="152" t="s">
        <v>88</v>
      </c>
      <c r="I31" s="160" t="s">
        <v>240</v>
      </c>
      <c r="J31" s="160" t="s">
        <v>69</v>
      </c>
      <c r="P31" s="125" t="str">
        <f>IF(Inputs_Prices!P29&gt;Calculations_Price_Caps!P61,"Fail","Pass")</f>
        <v>Pass</v>
      </c>
      <c r="Q31" s="125" t="str">
        <f>IF(Inputs_Prices!Q29&gt;Calculations_Price_Caps!Q61,"Fail","Pass")</f>
        <v>Pass</v>
      </c>
      <c r="R31" s="125" t="str">
        <f>IF(Inputs_Prices!R29&gt;Calculations_Price_Caps!R61,"Fail","Pass")</f>
        <v>Pass</v>
      </c>
      <c r="S31" s="125" t="str">
        <f>IF(Inputs_Prices!S29&gt;Calculations_Price_Caps!S61,"Fail","Pass")</f>
        <v>Pass</v>
      </c>
    </row>
    <row r="32" spans="1:19" s="135" customFormat="1" ht="11.25" customHeight="1" x14ac:dyDescent="0.2">
      <c r="D32" s="166" t="str">
        <v>3 Phase Meters</v>
      </c>
      <c r="H32" s="152" t="s">
        <v>88</v>
      </c>
      <c r="I32" s="160" t="s">
        <v>240</v>
      </c>
      <c r="J32" s="160" t="s">
        <v>69</v>
      </c>
      <c r="P32" s="125" t="str">
        <f>IF(Inputs_Prices!P30&gt;Calculations_Price_Caps!P62,"Fail","Pass")</f>
        <v>Pass</v>
      </c>
      <c r="Q32" s="125" t="str">
        <f>IF(Inputs_Prices!Q30&gt;Calculations_Price_Caps!Q62,"Fail","Pass")</f>
        <v>Pass</v>
      </c>
      <c r="R32" s="125" t="str">
        <f>IF(Inputs_Prices!R30&gt;Calculations_Price_Caps!R62,"Fail","Pass")</f>
        <v>Pass</v>
      </c>
      <c r="S32" s="125" t="str">
        <f>IF(Inputs_Prices!S30&gt;Calculations_Price_Caps!S62,"Fail","Pass")</f>
        <v>Pass</v>
      </c>
    </row>
    <row r="33" spans="4:19" s="135" customFormat="1" ht="11.25" customHeight="1" x14ac:dyDescent="0.2">
      <c r="D33" s="166" t="str">
        <v>Dedicated CT and VT meters</v>
      </c>
      <c r="H33" s="152" t="s">
        <v>88</v>
      </c>
      <c r="I33" s="160" t="s">
        <v>240</v>
      </c>
      <c r="J33" s="160" t="s">
        <v>69</v>
      </c>
      <c r="P33" s="125" t="str">
        <f>IF(Inputs_Prices!P31&gt;Calculations_Price_Caps!P63,"Fail","Pass")</f>
        <v>Pass</v>
      </c>
      <c r="Q33" s="125" t="str">
        <f>IF(Inputs_Prices!Q31&gt;Calculations_Price_Caps!Q63,"Fail","Pass")</f>
        <v>Pass</v>
      </c>
      <c r="R33" s="125" t="str">
        <f>IF(Inputs_Prices!R31&gt;Calculations_Price_Caps!R63,"Fail","Pass")</f>
        <v>Pass</v>
      </c>
      <c r="S33" s="125" t="str">
        <f>IF(Inputs_Prices!S31&gt;Calculations_Price_Caps!S63,"Fail","Pass")</f>
        <v>Pass</v>
      </c>
    </row>
    <row r="34" spans="4:19" s="135" customFormat="1" ht="11.25" customHeight="1" x14ac:dyDescent="0.2">
      <c r="P34" s="154"/>
      <c r="Q34" s="154"/>
      <c r="R34" s="154"/>
      <c r="S34" s="154"/>
    </row>
    <row r="35" spans="4:19" s="135" customFormat="1" ht="11.25" customHeight="1" x14ac:dyDescent="0.2">
      <c r="D35" s="167" t="s">
        <v>155</v>
      </c>
      <c r="P35" s="154"/>
      <c r="Q35" s="154"/>
      <c r="R35" s="154"/>
      <c r="S35" s="154"/>
    </row>
    <row r="36" spans="4:19" s="135" customFormat="1" ht="11.25" customHeight="1" x14ac:dyDescent="0.2">
      <c r="D36" s="166" t="str">
        <f t="array" ref="D36:D62">LU_Fee_Based_Services</f>
        <v>Disconnection (and final read)</v>
      </c>
      <c r="H36" s="152" t="s">
        <v>88</v>
      </c>
      <c r="I36" s="160" t="s">
        <v>231</v>
      </c>
      <c r="J36" s="160" t="s">
        <v>69</v>
      </c>
      <c r="P36" s="125" t="str">
        <f>IF(Inputs_Prices!P34&gt;Calculations_Price_Caps!P66,"Fail","Pass")</f>
        <v>Pass</v>
      </c>
      <c r="Q36" s="125" t="str">
        <f>IF(Inputs_Prices!Q34&gt;Calculations_Price_Caps!Q66,"Fail","Pass")</f>
        <v>Pass</v>
      </c>
      <c r="R36" s="125" t="str">
        <f>IF(Inputs_Prices!R34&gt;Calculations_Price_Caps!R66,"Fail","Pass")</f>
        <v>Pass</v>
      </c>
      <c r="S36" s="125" t="str">
        <f>IF(Inputs_Prices!S34&gt;Calculations_Price_Caps!S66,"Fail","Pass")</f>
        <v>Pass</v>
      </c>
    </row>
    <row r="37" spans="4:19" s="135" customFormat="1" ht="11.25" customHeight="1" x14ac:dyDescent="0.2">
      <c r="D37" s="166" t="str">
        <v>Reconnection</v>
      </c>
      <c r="H37" s="152" t="s">
        <v>88</v>
      </c>
      <c r="I37" s="160" t="s">
        <v>231</v>
      </c>
      <c r="J37" s="160" t="s">
        <v>69</v>
      </c>
      <c r="P37" s="125" t="str">
        <f>IF(Inputs_Prices!P35&gt;Calculations_Price_Caps!P67,"Fail","Pass")</f>
        <v>Pass</v>
      </c>
      <c r="Q37" s="125" t="str">
        <f>IF(Inputs_Prices!Q35&gt;Calculations_Price_Caps!Q67,"Fail","Pass")</f>
        <v>Pass</v>
      </c>
      <c r="R37" s="125" t="str">
        <f>IF(Inputs_Prices!R35&gt;Calculations_Price_Caps!R67,"Fail","Pass")</f>
        <v>Pass</v>
      </c>
      <c r="S37" s="125" t="str">
        <f>IF(Inputs_Prices!S35&gt;Calculations_Price_Caps!S67,"Fail","Pass")</f>
        <v>Pass</v>
      </c>
    </row>
    <row r="38" spans="4:19" s="135" customFormat="1" ht="11.25" customHeight="1" x14ac:dyDescent="0.2">
      <c r="D38" s="166" t="str">
        <v>Reconnection - after hours</v>
      </c>
      <c r="H38" s="152" t="s">
        <v>88</v>
      </c>
      <c r="I38" s="160" t="s">
        <v>231</v>
      </c>
      <c r="J38" s="160" t="s">
        <v>69</v>
      </c>
      <c r="P38" s="125" t="str">
        <f>IF(Inputs_Prices!P36&gt;Calculations_Price_Caps!P68,"Fail","Pass")</f>
        <v>Pass</v>
      </c>
      <c r="Q38" s="125" t="str">
        <f>IF(Inputs_Prices!Q36&gt;Calculations_Price_Caps!Q68,"Fail","Pass")</f>
        <v>Pass</v>
      </c>
      <c r="R38" s="125" t="str">
        <f>IF(Inputs_Prices!R36&gt;Calculations_Price_Caps!R68,"Fail","Pass")</f>
        <v>Pass</v>
      </c>
      <c r="S38" s="125" t="str">
        <f>IF(Inputs_Prices!S36&gt;Calculations_Price_Caps!S68,"Fail","Pass")</f>
        <v>Pass</v>
      </c>
    </row>
    <row r="39" spans="4:19" s="135" customFormat="1" ht="11.25" customHeight="1" x14ac:dyDescent="0.2">
      <c r="D39" s="166" t="str">
        <v>Temporary disconnection and reconnection - physical dismantling</v>
      </c>
      <c r="H39" s="152" t="s">
        <v>88</v>
      </c>
      <c r="I39" s="160" t="s">
        <v>231</v>
      </c>
      <c r="J39" s="160" t="s">
        <v>69</v>
      </c>
      <c r="P39" s="125" t="str">
        <f>IF(Inputs_Prices!P37&gt;Calculations_Price_Caps!P69,"Fail","Pass")</f>
        <v>Pass</v>
      </c>
      <c r="Q39" s="125" t="str">
        <f>IF(Inputs_Prices!Q37&gt;Calculations_Price_Caps!Q69,"Fail","Pass")</f>
        <v>Pass</v>
      </c>
      <c r="R39" s="125" t="str">
        <f>IF(Inputs_Prices!R37&gt;Calculations_Price_Caps!R69,"Fail","Pass")</f>
        <v>Pass</v>
      </c>
      <c r="S39" s="125" t="str">
        <f>IF(Inputs_Prices!S37&gt;Calculations_Price_Caps!S69,"Fail","Pass")</f>
        <v>Pass</v>
      </c>
    </row>
    <row r="40" spans="4:19" s="135" customFormat="1" ht="11.25" customHeight="1" x14ac:dyDescent="0.2">
      <c r="D40" s="166" t="str">
        <v>Provision of 3 phase service</v>
      </c>
      <c r="H40" s="152" t="s">
        <v>88</v>
      </c>
      <c r="I40" s="160" t="s">
        <v>231</v>
      </c>
      <c r="J40" s="160" t="s">
        <v>69</v>
      </c>
      <c r="P40" s="125" t="str">
        <f>IF(Inputs_Prices!P38&gt;Calculations_Price_Caps!P70,"Fail","Pass")</f>
        <v>Pass</v>
      </c>
      <c r="Q40" s="125" t="str">
        <f>IF(Inputs_Prices!Q38&gt;Calculations_Price_Caps!Q70,"Fail","Pass")</f>
        <v>Pass</v>
      </c>
      <c r="R40" s="125" t="str">
        <f>IF(Inputs_Prices!R38&gt;Calculations_Price_Caps!R70,"Fail","Pass")</f>
        <v>Pass</v>
      </c>
      <c r="S40" s="125" t="str">
        <f>IF(Inputs_Prices!S38&gt;Calculations_Price_Caps!S70,"Fail","Pass")</f>
        <v>Pass</v>
      </c>
    </row>
    <row r="41" spans="4:19" s="135" customFormat="1" ht="11.25" customHeight="1" x14ac:dyDescent="0.2">
      <c r="D41" s="166" t="str">
        <v>Standard temporary builder’s connection</v>
      </c>
      <c r="H41" s="152" t="s">
        <v>88</v>
      </c>
      <c r="I41" s="160" t="s">
        <v>231</v>
      </c>
      <c r="J41" s="160" t="s">
        <v>69</v>
      </c>
      <c r="P41" s="125" t="str">
        <f>IF(Inputs_Prices!P39&gt;Calculations_Price_Caps!P71,"Fail","Pass")</f>
        <v>Pass</v>
      </c>
      <c r="Q41" s="125" t="str">
        <f>IF(Inputs_Prices!Q39&gt;Calculations_Price_Caps!Q71,"Fail","Pass")</f>
        <v>Pass</v>
      </c>
      <c r="R41" s="125" t="str">
        <f>IF(Inputs_Prices!R39&gt;Calculations_Price_Caps!R71,"Fail","Pass")</f>
        <v>Pass</v>
      </c>
      <c r="S41" s="125" t="str">
        <f>IF(Inputs_Prices!S39&gt;Calculations_Price_Caps!S71,"Fail","Pass")</f>
        <v>Pass</v>
      </c>
    </row>
    <row r="42" spans="4:19" s="135" customFormat="1" ht="11.25" customHeight="1" x14ac:dyDescent="0.2">
      <c r="D42" s="166" t="str">
        <v>Temporary disconnection and reconnection - no dismantling</v>
      </c>
      <c r="H42" s="152" t="s">
        <v>88</v>
      </c>
      <c r="I42" s="160" t="s">
        <v>231</v>
      </c>
      <c r="J42" s="160" t="s">
        <v>69</v>
      </c>
      <c r="P42" s="125" t="str">
        <f>IF(Inputs_Prices!P40&gt;Calculations_Price_Caps!P72,"Fail","Pass")</f>
        <v>Pass</v>
      </c>
      <c r="Q42" s="125" t="str">
        <f>IF(Inputs_Prices!Q40&gt;Calculations_Price_Caps!Q72,"Fail","Pass")</f>
        <v>Pass</v>
      </c>
      <c r="R42" s="125" t="str">
        <f>IF(Inputs_Prices!R40&gt;Calculations_Price_Caps!R72,"Fail","Pass")</f>
        <v>Pass</v>
      </c>
      <c r="S42" s="125" t="str">
        <f>IF(Inputs_Prices!S40&gt;Calculations_Price_Caps!S72,"Fail","Pass")</f>
        <v>Pass</v>
      </c>
    </row>
    <row r="43" spans="4:19" s="135" customFormat="1" ht="11.25" customHeight="1" x14ac:dyDescent="0.2">
      <c r="D43" s="166" t="str">
        <v>Complex disconnection</v>
      </c>
      <c r="H43" s="152" t="s">
        <v>88</v>
      </c>
      <c r="I43" s="160" t="s">
        <v>231</v>
      </c>
      <c r="J43" s="160" t="s">
        <v>69</v>
      </c>
      <c r="P43" s="125" t="str">
        <f>IF(Inputs_Prices!P41&gt;Calculations_Price_Caps!P73,"Fail","Pass")</f>
        <v>Pass</v>
      </c>
      <c r="Q43" s="125" t="str">
        <f>IF(Inputs_Prices!Q41&gt;Calculations_Price_Caps!Q73,"Fail","Pass")</f>
        <v>Pass</v>
      </c>
      <c r="R43" s="125" t="str">
        <f>IF(Inputs_Prices!R41&gt;Calculations_Price_Caps!R73,"Fail","Pass")</f>
        <v>Pass</v>
      </c>
      <c r="S43" s="125" t="str">
        <f>IF(Inputs_Prices!S41&gt;Calculations_Price_Caps!S73,"Fail","Pass")</f>
        <v>Pass</v>
      </c>
    </row>
    <row r="44" spans="4:19" s="135" customFormat="1" ht="11.25" customHeight="1" x14ac:dyDescent="0.2">
      <c r="D44" s="166" t="str">
        <v>Wasted visit fee</v>
      </c>
      <c r="H44" s="152" t="s">
        <v>88</v>
      </c>
      <c r="I44" s="160" t="s">
        <v>231</v>
      </c>
      <c r="J44" s="160" t="s">
        <v>69</v>
      </c>
      <c r="P44" s="125" t="str">
        <f>IF(Inputs_Prices!P42&gt;Calculations_Price_Caps!P74,"Fail","Pass")</f>
        <v>Pass</v>
      </c>
      <c r="Q44" s="125" t="str">
        <f>IF(Inputs_Prices!Q42&gt;Calculations_Price_Caps!Q74,"Fail","Pass")</f>
        <v>Pass</v>
      </c>
      <c r="R44" s="125" t="str">
        <f>IF(Inputs_Prices!R42&gt;Calculations_Price_Caps!R74,"Fail","Pass")</f>
        <v>Pass</v>
      </c>
      <c r="S44" s="125" t="str">
        <f>IF(Inputs_Prices!S42&gt;Calculations_Price_Caps!S74,"Fail","Pass")</f>
        <v>Pass</v>
      </c>
    </row>
    <row r="45" spans="4:19" s="135" customFormat="1" ht="11.25" customHeight="1" x14ac:dyDescent="0.2">
      <c r="D45" s="166" t="str">
        <v>Special meter test</v>
      </c>
      <c r="H45" s="152" t="s">
        <v>88</v>
      </c>
      <c r="I45" s="160" t="s">
        <v>231</v>
      </c>
      <c r="J45" s="160" t="s">
        <v>69</v>
      </c>
      <c r="P45" s="125" t="str">
        <f>IF(Inputs_Prices!P43&gt;Calculations_Price_Caps!P75,"Fail","Pass")</f>
        <v>Pass</v>
      </c>
      <c r="Q45" s="125" t="str">
        <f>IF(Inputs_Prices!Q43&gt;Calculations_Price_Caps!Q75,"Fail","Pass")</f>
        <v>Pass</v>
      </c>
      <c r="R45" s="125" t="str">
        <f>IF(Inputs_Prices!R43&gt;Calculations_Price_Caps!R75,"Fail","Pass")</f>
        <v>Pass</v>
      </c>
      <c r="S45" s="125" t="str">
        <f>IF(Inputs_Prices!S43&gt;Calculations_Price_Caps!S75,"Fail","Pass")</f>
        <v>Pass</v>
      </c>
    </row>
    <row r="46" spans="4:19" s="135" customFormat="1" ht="11.25" customHeight="1" x14ac:dyDescent="0.2">
      <c r="D46" s="166" t="str">
        <v>Exchange or replace meter – three phase</v>
      </c>
      <c r="H46" s="152" t="s">
        <v>88</v>
      </c>
      <c r="I46" s="160" t="s">
        <v>231</v>
      </c>
      <c r="J46" s="160" t="s">
        <v>69</v>
      </c>
      <c r="P46" s="125" t="str">
        <f>IF(Inputs_Prices!P44&gt;Calculations_Price_Caps!P76,"Fail","Pass")</f>
        <v>Pass</v>
      </c>
      <c r="Q46" s="125" t="str">
        <f>IF(Inputs_Prices!Q44&gt;Calculations_Price_Caps!Q76,"Fail","Pass")</f>
        <v>Pass</v>
      </c>
      <c r="R46" s="125" t="str">
        <f>IF(Inputs_Prices!R44&gt;Calculations_Price_Caps!R76,"Fail","Pass")</f>
        <v>Pass</v>
      </c>
      <c r="S46" s="125" t="str">
        <f>IF(Inputs_Prices!S44&gt;Calculations_Price_Caps!S76,"Fail","Pass")</f>
        <v>Pass</v>
      </c>
    </row>
    <row r="47" spans="4:19" s="135" customFormat="1" ht="11.25" customHeight="1" x14ac:dyDescent="0.2">
      <c r="D47" s="166" t="str">
        <v>Exchange or replace meter - single phase</v>
      </c>
      <c r="H47" s="152" t="s">
        <v>88</v>
      </c>
      <c r="I47" s="160" t="s">
        <v>231</v>
      </c>
      <c r="J47" s="160" t="s">
        <v>69</v>
      </c>
      <c r="P47" s="125" t="str">
        <f>IF(Inputs_Prices!P45&gt;Calculations_Price_Caps!P77,"Fail","Pass")</f>
        <v>Pass</v>
      </c>
      <c r="Q47" s="125" t="str">
        <f>IF(Inputs_Prices!Q45&gt;Calculations_Price_Caps!Q77,"Fail","Pass")</f>
        <v>Pass</v>
      </c>
      <c r="R47" s="125" t="str">
        <f>IF(Inputs_Prices!R45&gt;Calculations_Price_Caps!R77,"Fail","Pass")</f>
        <v>Pass</v>
      </c>
      <c r="S47" s="125" t="str">
        <f>IF(Inputs_Prices!S45&gt;Calculations_Price_Caps!S77,"Fail","Pass")</f>
        <v>Pass</v>
      </c>
    </row>
    <row r="48" spans="4:19" s="135" customFormat="1" ht="11.25" customHeight="1" x14ac:dyDescent="0.2">
      <c r="D48" s="166" t="str">
        <v>Relocation of meter</v>
      </c>
      <c r="H48" s="152" t="s">
        <v>88</v>
      </c>
      <c r="I48" s="160" t="s">
        <v>231</v>
      </c>
      <c r="J48" s="160" t="s">
        <v>69</v>
      </c>
      <c r="P48" s="125" t="str">
        <f>IF(Inputs_Prices!P46&gt;Calculations_Price_Caps!P78,"Fail","Pass")</f>
        <v>Pass</v>
      </c>
      <c r="Q48" s="125" t="str">
        <f>IF(Inputs_Prices!Q46&gt;Calculations_Price_Caps!Q78,"Fail","Pass")</f>
        <v>Pass</v>
      </c>
      <c r="R48" s="125" t="str">
        <f>IF(Inputs_Prices!R46&gt;Calculations_Price_Caps!R78,"Fail","Pass")</f>
        <v>Pass</v>
      </c>
      <c r="S48" s="125" t="str">
        <f>IF(Inputs_Prices!S46&gt;Calculations_Price_Caps!S78,"Fail","Pass")</f>
        <v>Pass</v>
      </c>
    </row>
    <row r="49" spans="4:19" s="135" customFormat="1" ht="11.25" customHeight="1" x14ac:dyDescent="0.2">
      <c r="D49" s="166" t="str">
        <v>Remove meter</v>
      </c>
      <c r="H49" s="152" t="s">
        <v>88</v>
      </c>
      <c r="I49" s="160" t="s">
        <v>231</v>
      </c>
      <c r="J49" s="160" t="s">
        <v>69</v>
      </c>
      <c r="P49" s="125" t="str">
        <f>IF(Inputs_Prices!P47&gt;Calculations_Price_Caps!P79,"Fail","Pass")</f>
        <v>Pass</v>
      </c>
      <c r="Q49" s="125" t="str">
        <f>IF(Inputs_Prices!Q47&gt;Calculations_Price_Caps!Q79,"Fail","Pass")</f>
        <v>Pass</v>
      </c>
      <c r="R49" s="125" t="str">
        <f>IF(Inputs_Prices!R47&gt;Calculations_Price_Caps!R79,"Fail","Pass")</f>
        <v>Pass</v>
      </c>
      <c r="S49" s="125" t="str">
        <f>IF(Inputs_Prices!S47&gt;Calculations_Price_Caps!S79,"Fail","Pass")</f>
        <v>Pass</v>
      </c>
    </row>
    <row r="50" spans="4:19" s="135" customFormat="1" ht="11.25" customHeight="1" x14ac:dyDescent="0.2">
      <c r="D50" s="166" t="str">
        <v>General meter inspection</v>
      </c>
      <c r="H50" s="152" t="s">
        <v>88</v>
      </c>
      <c r="I50" s="160" t="s">
        <v>231</v>
      </c>
      <c r="J50" s="160" t="s">
        <v>69</v>
      </c>
      <c r="P50" s="125" t="str">
        <f>IF(Inputs_Prices!P48&gt;Calculations_Price_Caps!P80,"Fail","Pass")</f>
        <v>Pass</v>
      </c>
      <c r="Q50" s="125" t="str">
        <f>IF(Inputs_Prices!Q48&gt;Calculations_Price_Caps!Q80,"Fail","Pass")</f>
        <v>Pass</v>
      </c>
      <c r="R50" s="125" t="str">
        <f>IF(Inputs_Prices!R48&gt;Calculations_Price_Caps!R80,"Fail","Pass")</f>
        <v>Pass</v>
      </c>
      <c r="S50" s="125" t="str">
        <f>IF(Inputs_Prices!S48&gt;Calculations_Price_Caps!S80,"Fail","Pass")</f>
        <v>Pass</v>
      </c>
    </row>
    <row r="51" spans="4:19" s="135" customFormat="1" ht="11.25" customHeight="1" x14ac:dyDescent="0.2">
      <c r="D51" s="166" t="str">
        <v>Special meter read - no appointment</v>
      </c>
      <c r="H51" s="152" t="s">
        <v>88</v>
      </c>
      <c r="I51" s="160" t="s">
        <v>231</v>
      </c>
      <c r="J51" s="160" t="s">
        <v>69</v>
      </c>
      <c r="P51" s="125" t="str">
        <f>IF(Inputs_Prices!P49&gt;Calculations_Price_Caps!P81,"Fail","Pass")</f>
        <v>Pass</v>
      </c>
      <c r="Q51" s="125" t="str">
        <f>IF(Inputs_Prices!Q49&gt;Calculations_Price_Caps!Q81,"Fail","Pass")</f>
        <v>Pass</v>
      </c>
      <c r="R51" s="125" t="str">
        <f>IF(Inputs_Prices!R49&gt;Calculations_Price_Caps!R81,"Fail","Pass")</f>
        <v>Pass</v>
      </c>
      <c r="S51" s="125" t="str">
        <f>IF(Inputs_Prices!S49&gt;Calculations_Price_Caps!S81,"Fail","Pass")</f>
        <v>Pass</v>
      </c>
    </row>
    <row r="52" spans="4:19" s="135" customFormat="1" ht="11.25" customHeight="1" x14ac:dyDescent="0.2">
      <c r="D52" s="166" t="str">
        <v>Special meter read - appointment</v>
      </c>
      <c r="H52" s="152" t="s">
        <v>88</v>
      </c>
      <c r="I52" s="160" t="s">
        <v>231</v>
      </c>
      <c r="J52" s="160" t="s">
        <v>69</v>
      </c>
      <c r="P52" s="125" t="str">
        <f>IF(Inputs_Prices!P50&gt;Calculations_Price_Caps!P82,"Fail","Pass")</f>
        <v>Pass</v>
      </c>
      <c r="Q52" s="125" t="str">
        <f>IF(Inputs_Prices!Q50&gt;Calculations_Price_Caps!Q82,"Fail","Pass")</f>
        <v>Pass</v>
      </c>
      <c r="R52" s="125" t="str">
        <f>IF(Inputs_Prices!R50&gt;Calculations_Price_Caps!R82,"Fail","Pass")</f>
        <v>Pass</v>
      </c>
      <c r="S52" s="125" t="str">
        <f>IF(Inputs_Prices!S50&gt;Calculations_Price_Caps!S82,"Fail","Pass")</f>
        <v>Pass</v>
      </c>
    </row>
    <row r="53" spans="4:19" s="135" customFormat="1" ht="11.25" customHeight="1" x14ac:dyDescent="0.2">
      <c r="D53" s="166" t="str">
        <v>Class 3 PV Assessment</v>
      </c>
      <c r="H53" s="152" t="s">
        <v>88</v>
      </c>
      <c r="I53" s="160" t="s">
        <v>231</v>
      </c>
      <c r="J53" s="160" t="s">
        <v>69</v>
      </c>
      <c r="P53" s="125" t="str">
        <f>IF(Inputs_Prices!P51&gt;Calculations_Price_Caps!P83,"Fail","Pass")</f>
        <v>Pass</v>
      </c>
      <c r="Q53" s="125" t="str">
        <f>IF(Inputs_Prices!Q51&gt;Calculations_Price_Caps!Q83,"Fail","Pass")</f>
        <v>Pass</v>
      </c>
      <c r="R53" s="125" t="str">
        <f>IF(Inputs_Prices!R51&gt;Calculations_Price_Caps!R83,"Fail","Pass")</f>
        <v>Pass</v>
      </c>
      <c r="S53" s="125" t="str">
        <f>IF(Inputs_Prices!S51&gt;Calculations_Price_Caps!S83,"Fail","Pass")</f>
        <v>Pass</v>
      </c>
    </row>
    <row r="54" spans="4:19" s="135" customFormat="1" ht="11.25" customHeight="1" x14ac:dyDescent="0.2">
      <c r="D54" s="166" t="str">
        <v>Meter program change</v>
      </c>
      <c r="H54" s="152" t="s">
        <v>88</v>
      </c>
      <c r="I54" s="160" t="s">
        <v>231</v>
      </c>
      <c r="J54" s="160" t="s">
        <v>69</v>
      </c>
      <c r="P54" s="125" t="str">
        <f>IF(Inputs_Prices!P52&gt;Calculations_Price_Caps!P84,"Fail","Pass")</f>
        <v>Pass</v>
      </c>
      <c r="Q54" s="125" t="str">
        <f>IF(Inputs_Prices!Q52&gt;Calculations_Price_Caps!Q84,"Fail","Pass")</f>
        <v>Pass</v>
      </c>
      <c r="R54" s="125" t="str">
        <f>IF(Inputs_Prices!R52&gt;Calculations_Price_Caps!R84,"Fail","Pass")</f>
        <v>Pass</v>
      </c>
      <c r="S54" s="125" t="str">
        <f>IF(Inputs_Prices!S52&gt;Calculations_Price_Caps!S84,"Fail","Pass")</f>
        <v>Pass</v>
      </c>
    </row>
    <row r="55" spans="4:19" s="135" customFormat="1" ht="11.25" customHeight="1" x14ac:dyDescent="0.2">
      <c r="D55" s="166" t="str">
        <v>Historical data requests</v>
      </c>
      <c r="H55" s="152" t="s">
        <v>88</v>
      </c>
      <c r="I55" s="160" t="s">
        <v>231</v>
      </c>
      <c r="J55" s="160" t="s">
        <v>69</v>
      </c>
      <c r="P55" s="125" t="str">
        <f>IF(Inputs_Prices!P53&gt;Calculations_Price_Caps!P85,"Fail","Pass")</f>
        <v>Pass</v>
      </c>
      <c r="Q55" s="125" t="str">
        <f>IF(Inputs_Prices!Q53&gt;Calculations_Price_Caps!Q85,"Fail","Pass")</f>
        <v>Pass</v>
      </c>
      <c r="R55" s="125" t="str">
        <f>IF(Inputs_Prices!R53&gt;Calculations_Price_Caps!R85,"Fail","Pass")</f>
        <v>Pass</v>
      </c>
      <c r="S55" s="125" t="str">
        <f>IF(Inputs_Prices!S53&gt;Calculations_Price_Caps!S85,"Fail","Pass")</f>
        <v>Pass</v>
      </c>
    </row>
    <row r="56" spans="4:19" s="135" customFormat="1" ht="11.25" customHeight="1" x14ac:dyDescent="0.2">
      <c r="D56" s="166" t="str">
        <v>Standing data requests</v>
      </c>
      <c r="H56" s="152" t="s">
        <v>88</v>
      </c>
      <c r="I56" s="160" t="s">
        <v>231</v>
      </c>
      <c r="J56" s="160" t="s">
        <v>69</v>
      </c>
      <c r="P56" s="125" t="str">
        <f>IF(Inputs_Prices!P54&gt;Calculations_Price_Caps!P86,"Fail","Pass")</f>
        <v>Pass</v>
      </c>
      <c r="Q56" s="125" t="str">
        <f>IF(Inputs_Prices!Q54&gt;Calculations_Price_Caps!Q86,"Fail","Pass")</f>
        <v>Pass</v>
      </c>
      <c r="R56" s="125" t="str">
        <f>IF(Inputs_Prices!R54&gt;Calculations_Price_Caps!R86,"Fail","Pass")</f>
        <v>Pass</v>
      </c>
      <c r="S56" s="125" t="str">
        <f>IF(Inputs_Prices!S54&gt;Calculations_Price_Caps!S86,"Fail","Pass")</f>
        <v>Pass</v>
      </c>
    </row>
    <row r="57" spans="4:19" s="135" customFormat="1" ht="11.25" customHeight="1" x14ac:dyDescent="0.2">
      <c r="D57" s="166" t="str">
        <v>Customer transfers</v>
      </c>
      <c r="H57" s="152" t="s">
        <v>88</v>
      </c>
      <c r="I57" s="160" t="s">
        <v>231</v>
      </c>
      <c r="J57" s="160" t="s">
        <v>69</v>
      </c>
      <c r="P57" s="125" t="str">
        <f>IF(Inputs_Prices!P55&gt;Calculations_Price_Caps!P87,"Fail","Pass")</f>
        <v>Pass</v>
      </c>
      <c r="Q57" s="125" t="str">
        <f>IF(Inputs_Prices!Q55&gt;Calculations_Price_Caps!Q87,"Fail","Pass")</f>
        <v>Pass</v>
      </c>
      <c r="R57" s="125" t="str">
        <f>IF(Inputs_Prices!R55&gt;Calculations_Price_Caps!R87,"Fail","Pass")</f>
        <v>Pass</v>
      </c>
      <c r="S57" s="125" t="str">
        <f>IF(Inputs_Prices!S55&gt;Calculations_Price_Caps!S87,"Fail","Pass")</f>
        <v>Pass</v>
      </c>
    </row>
    <row r="58" spans="4:19" s="135" customFormat="1" ht="11.25" customHeight="1" x14ac:dyDescent="0.2">
      <c r="D58" s="166" t="str">
        <v>Network tariff change request</v>
      </c>
      <c r="H58" s="152" t="s">
        <v>88</v>
      </c>
      <c r="I58" s="160" t="s">
        <v>231</v>
      </c>
      <c r="J58" s="160" t="s">
        <v>69</v>
      </c>
      <c r="P58" s="125" t="str">
        <f>IF(Inputs_Prices!P56&gt;Calculations_Price_Caps!P88,"Fail","Pass")</f>
        <v>Pass</v>
      </c>
      <c r="Q58" s="125" t="str">
        <f>IF(Inputs_Prices!Q56&gt;Calculations_Price_Caps!Q88,"Fail","Pass")</f>
        <v>Pass</v>
      </c>
      <c r="R58" s="125" t="str">
        <f>IF(Inputs_Prices!R56&gt;Calculations_Price_Caps!R88,"Fail","Pass")</f>
        <v>Pass</v>
      </c>
      <c r="S58" s="125" t="str">
        <f>IF(Inputs_Prices!S56&gt;Calculations_Price_Caps!S88,"Fail","Pass")</f>
        <v>Pass</v>
      </c>
    </row>
    <row r="59" spans="4:19" s="135" customFormat="1" ht="11.25" customHeight="1" x14ac:dyDescent="0.2">
      <c r="D59" s="166" t="str">
        <v>Prepayment Vending Charge</v>
      </c>
      <c r="H59" s="152" t="s">
        <v>88</v>
      </c>
      <c r="I59" s="160" t="s">
        <v>231</v>
      </c>
      <c r="J59" s="160" t="s">
        <v>69</v>
      </c>
      <c r="P59" s="125" t="str">
        <f>IF(Inputs_Prices!P57&gt;Calculations_Price_Caps!P89,"Fail","Pass")</f>
        <v>Pass</v>
      </c>
      <c r="Q59" s="125" t="str">
        <f>IF(Inputs_Prices!Q57&gt;Calculations_Price_Caps!Q89,"Fail","Pass")</f>
        <v>Pass</v>
      </c>
      <c r="R59" s="125" t="str">
        <f>IF(Inputs_Prices!R57&gt;Calculations_Price_Caps!R89,"Fail","Pass")</f>
        <v>Pass</v>
      </c>
      <c r="S59" s="125" t="str">
        <f>IF(Inputs_Prices!S57&gt;Calculations_Price_Caps!S89,"Fail","Pass")</f>
        <v>Pass</v>
      </c>
    </row>
    <row r="60" spans="4:19" s="135" customFormat="1" ht="11.25" customHeight="1" x14ac:dyDescent="0.2">
      <c r="D60" s="166" t="str">
        <v>Prepayment Meter Support Charge</v>
      </c>
      <c r="H60" s="152" t="s">
        <v>88</v>
      </c>
      <c r="I60" s="160" t="s">
        <v>231</v>
      </c>
      <c r="J60" s="160" t="s">
        <v>69</v>
      </c>
      <c r="P60" s="125" t="str">
        <f>IF(Inputs_Prices!P58&gt;Calculations_Price_Caps!P90,"Fail","Pass")</f>
        <v>Pass</v>
      </c>
      <c r="Q60" s="125" t="str">
        <f>IF(Inputs_Prices!Q58&gt;Calculations_Price_Caps!Q90,"Fail","Pass")</f>
        <v>Pass</v>
      </c>
      <c r="R60" s="125" t="str">
        <f>IF(Inputs_Prices!R58&gt;Calculations_Price_Caps!R90,"Fail","Pass")</f>
        <v>Pass</v>
      </c>
      <c r="S60" s="125" t="str">
        <f>IF(Inputs_Prices!S58&gt;Calculations_Price_Caps!S90,"Fail","Pass")</f>
        <v>Pass</v>
      </c>
    </row>
    <row r="61" spans="4:19" s="135" customFormat="1" ht="11.25" customHeight="1" x14ac:dyDescent="0.2">
      <c r="D61" s="166" t="str">
        <v xml:space="preserve">Installation of Minor Apparatus </v>
      </c>
      <c r="H61" s="152" t="s">
        <v>88</v>
      </c>
      <c r="I61" s="160" t="s">
        <v>231</v>
      </c>
      <c r="J61" s="160" t="s">
        <v>69</v>
      </c>
      <c r="P61" s="125" t="str">
        <f>IF(Inputs_Prices!P59&gt;Calculations_Price_Caps!P91,"Fail","Pass")</f>
        <v>Pass</v>
      </c>
      <c r="Q61" s="125" t="str">
        <f>IF(Inputs_Prices!Q59&gt;Calculations_Price_Caps!Q91,"Fail","Pass")</f>
        <v>Pass</v>
      </c>
      <c r="R61" s="125" t="str">
        <f>IF(Inputs_Prices!R59&gt;Calculations_Price_Caps!R91,"Fail","Pass")</f>
        <v>Pass</v>
      </c>
      <c r="S61" s="125" t="str">
        <f>IF(Inputs_Prices!S59&gt;Calculations_Price_Caps!S91,"Fail","Pass")</f>
        <v>Pass</v>
      </c>
    </row>
    <row r="62" spans="4:19" s="135" customFormat="1" ht="11.25" customHeight="1" x14ac:dyDescent="0.2">
      <c r="D62" s="166" t="str">
        <v>Class 1 &amp; 2 PV service</v>
      </c>
      <c r="H62" s="152" t="s">
        <v>88</v>
      </c>
      <c r="I62" s="160" t="s">
        <v>231</v>
      </c>
      <c r="J62" s="160" t="s">
        <v>69</v>
      </c>
      <c r="P62" s="125" t="str">
        <f>IF(Inputs_Prices!P60&gt;Calculations_Price_Caps!P92,"Fail","Pass")</f>
        <v>Pass</v>
      </c>
      <c r="Q62" s="125" t="str">
        <f>IF(Inputs_Prices!Q60&gt;Calculations_Price_Caps!Q92,"Fail","Pass")</f>
        <v>Pass</v>
      </c>
      <c r="R62" s="125" t="str">
        <f>IF(Inputs_Prices!R60&gt;Calculations_Price_Caps!R92,"Fail","Pass")</f>
        <v>Pass</v>
      </c>
      <c r="S62" s="125" t="str">
        <f>IF(Inputs_Prices!S60&gt;Calculations_Price_Caps!S92,"Fail","Pass")</f>
        <v>Pass</v>
      </c>
    </row>
    <row r="63" spans="4:19" s="135" customFormat="1" ht="11.25" customHeight="1" x14ac:dyDescent="0.2">
      <c r="P63" s="154"/>
      <c r="Q63" s="154"/>
      <c r="R63" s="154"/>
      <c r="S63" s="154"/>
    </row>
    <row r="64" spans="4:19" s="135" customFormat="1" ht="11.25" customHeight="1" x14ac:dyDescent="0.2">
      <c r="D64" s="167" t="s">
        <v>212</v>
      </c>
      <c r="P64" s="154"/>
      <c r="Q64" s="154"/>
      <c r="R64" s="154"/>
      <c r="S64" s="154"/>
    </row>
    <row r="65" spans="4:19" s="135" customFormat="1" ht="11.25" customHeight="1" x14ac:dyDescent="0.2">
      <c r="D65" s="166" t="str">
        <f t="array" ref="D65:D80">LU_Quoted_Services</f>
        <v>Design related services</v>
      </c>
      <c r="H65" s="152" t="s">
        <v>88</v>
      </c>
      <c r="I65" s="160" t="s">
        <v>216</v>
      </c>
      <c r="J65" s="160" t="s">
        <v>69</v>
      </c>
      <c r="P65" s="125" t="str">
        <f>IF(Inputs_Prices!P63&gt;Calculations_Price_Caps!P95,"Fail","Pass")</f>
        <v>Pass</v>
      </c>
      <c r="Q65" s="125" t="str">
        <f>IF(Inputs_Prices!Q63&gt;Calculations_Price_Caps!Q95,"Fail","Pass")</f>
        <v>Pass</v>
      </c>
      <c r="R65" s="125" t="str">
        <f>IF(Inputs_Prices!R63&gt;Calculations_Price_Caps!R95,"Fail","Pass")</f>
        <v>Pass</v>
      </c>
      <c r="S65" s="125" t="str">
        <f>IF(Inputs_Prices!S63&gt;Calculations_Price_Caps!S95,"Fail","Pass")</f>
        <v>Pass</v>
      </c>
    </row>
    <row r="66" spans="4:19" s="135" customFormat="1" ht="11.25" customHeight="1" x14ac:dyDescent="0.2">
      <c r="D66" s="166" t="str">
        <v>Connection applications</v>
      </c>
      <c r="H66" s="152" t="s">
        <v>88</v>
      </c>
      <c r="I66" s="160" t="s">
        <v>216</v>
      </c>
      <c r="J66" s="160" t="s">
        <v>69</v>
      </c>
      <c r="P66" s="125" t="str">
        <f>IF(Inputs_Prices!P64&gt;Calculations_Price_Caps!P96,"Fail","Pass")</f>
        <v>Pass</v>
      </c>
      <c r="Q66" s="125" t="str">
        <f>IF(Inputs_Prices!Q64&gt;Calculations_Price_Caps!Q96,"Fail","Pass")</f>
        <v>Pass</v>
      </c>
      <c r="R66" s="125" t="str">
        <f>IF(Inputs_Prices!R64&gt;Calculations_Price_Caps!R96,"Fail","Pass")</f>
        <v>Pass</v>
      </c>
      <c r="S66" s="125" t="str">
        <f>IF(Inputs_Prices!S64&gt;Calculations_Price_Caps!S96,"Fail","Pass")</f>
        <v>Pass</v>
      </c>
    </row>
    <row r="67" spans="4:19" s="135" customFormat="1" ht="11.25" customHeight="1" x14ac:dyDescent="0.2">
      <c r="D67" s="166" t="str">
        <v>Access permits, oversights and facilitation</v>
      </c>
      <c r="H67" s="152" t="s">
        <v>88</v>
      </c>
      <c r="I67" s="160" t="s">
        <v>216</v>
      </c>
      <c r="J67" s="160" t="s">
        <v>69</v>
      </c>
      <c r="P67" s="125" t="str">
        <f>IF(Inputs_Prices!P65&gt;Calculations_Price_Caps!P97,"Fail","Pass")</f>
        <v>Pass</v>
      </c>
      <c r="Q67" s="125" t="str">
        <f>IF(Inputs_Prices!Q65&gt;Calculations_Price_Caps!Q97,"Fail","Pass")</f>
        <v>Pass</v>
      </c>
      <c r="R67" s="125" t="str">
        <f>IF(Inputs_Prices!R65&gt;Calculations_Price_Caps!R97,"Fail","Pass")</f>
        <v>Pass</v>
      </c>
      <c r="S67" s="125" t="str">
        <f>IF(Inputs_Prices!S65&gt;Calculations_Price_Caps!S97,"Fail","Pass")</f>
        <v>Pass</v>
      </c>
    </row>
    <row r="68" spans="4:19" s="135" customFormat="1" ht="11.25" customHeight="1" x14ac:dyDescent="0.2">
      <c r="D68" s="166" t="str">
        <v>Notices of arrangement and completion notices</v>
      </c>
      <c r="H68" s="152" t="s">
        <v>88</v>
      </c>
      <c r="I68" s="160" t="s">
        <v>216</v>
      </c>
      <c r="J68" s="160" t="s">
        <v>69</v>
      </c>
      <c r="P68" s="125" t="str">
        <f>IF(Inputs_Prices!P66&gt;Calculations_Price_Caps!P98,"Fail","Pass")</f>
        <v>Pass</v>
      </c>
      <c r="Q68" s="125" t="str">
        <f>IF(Inputs_Prices!Q66&gt;Calculations_Price_Caps!Q98,"Fail","Pass")</f>
        <v>Pass</v>
      </c>
      <c r="R68" s="125" t="str">
        <f>IF(Inputs_Prices!R66&gt;Calculations_Price_Caps!R98,"Fail","Pass")</f>
        <v>Pass</v>
      </c>
      <c r="S68" s="125" t="str">
        <f>IF(Inputs_Prices!S66&gt;Calculations_Price_Caps!S98,"Fail","Pass")</f>
        <v>Pass</v>
      </c>
    </row>
    <row r="69" spans="4:19" s="135" customFormat="1" ht="11.25" customHeight="1" x14ac:dyDescent="0.2">
      <c r="D69" s="166" t="str">
        <v>Network related property services</v>
      </c>
      <c r="H69" s="152" t="s">
        <v>88</v>
      </c>
      <c r="I69" s="160" t="s">
        <v>216</v>
      </c>
      <c r="J69" s="160" t="s">
        <v>69</v>
      </c>
      <c r="P69" s="125" t="str">
        <f>IF(Inputs_Prices!P67&gt;Calculations_Price_Caps!P99,"Fail","Pass")</f>
        <v>Pass</v>
      </c>
      <c r="Q69" s="125" t="str">
        <f>IF(Inputs_Prices!Q67&gt;Calculations_Price_Caps!Q99,"Fail","Pass")</f>
        <v>Pass</v>
      </c>
      <c r="R69" s="125" t="str">
        <f>IF(Inputs_Prices!R67&gt;Calculations_Price_Caps!R99,"Fail","Pass")</f>
        <v>Pass</v>
      </c>
      <c r="S69" s="125" t="str">
        <f>IF(Inputs_Prices!S67&gt;Calculations_Price_Caps!S99,"Fail","Pass")</f>
        <v>Pass</v>
      </c>
    </row>
    <row r="70" spans="4:19" s="135" customFormat="1" ht="11.25" customHeight="1" x14ac:dyDescent="0.2">
      <c r="D70" s="166" t="str">
        <v>Site establishment services</v>
      </c>
      <c r="H70" s="152" t="s">
        <v>88</v>
      </c>
      <c r="I70" s="160" t="s">
        <v>216</v>
      </c>
      <c r="J70" s="160" t="s">
        <v>69</v>
      </c>
      <c r="P70" s="125" t="str">
        <f>IF(Inputs_Prices!P68&gt;Calculations_Price_Caps!P100,"Fail","Pass")</f>
        <v>Pass</v>
      </c>
      <c r="Q70" s="125" t="str">
        <f>IF(Inputs_Prices!Q68&gt;Calculations_Price_Caps!Q100,"Fail","Pass")</f>
        <v>Pass</v>
      </c>
      <c r="R70" s="125" t="str">
        <f>IF(Inputs_Prices!R68&gt;Calculations_Price_Caps!R100,"Fail","Pass")</f>
        <v>Pass</v>
      </c>
      <c r="S70" s="125" t="str">
        <f>IF(Inputs_Prices!S68&gt;Calculations_Price_Caps!S100,"Fail","Pass")</f>
        <v>Pass</v>
      </c>
    </row>
    <row r="71" spans="4:19" s="135" customFormat="1" ht="11.25" customHeight="1" x14ac:dyDescent="0.2">
      <c r="D71" s="166" t="str">
        <v>Network safety services</v>
      </c>
      <c r="H71" s="152" t="s">
        <v>88</v>
      </c>
      <c r="I71" s="160" t="s">
        <v>216</v>
      </c>
      <c r="J71" s="160" t="s">
        <v>69</v>
      </c>
      <c r="P71" s="125" t="str">
        <f>IF(Inputs_Prices!P69&gt;Calculations_Price_Caps!P101,"Fail","Pass")</f>
        <v>Pass</v>
      </c>
      <c r="Q71" s="125" t="str">
        <f>IF(Inputs_Prices!Q69&gt;Calculations_Price_Caps!Q101,"Fail","Pass")</f>
        <v>Pass</v>
      </c>
      <c r="R71" s="125" t="str">
        <f>IF(Inputs_Prices!R69&gt;Calculations_Price_Caps!R101,"Fail","Pass")</f>
        <v>Pass</v>
      </c>
      <c r="S71" s="125" t="str">
        <f>IF(Inputs_Prices!S69&gt;Calculations_Price_Caps!S101,"Fail","Pass")</f>
        <v>Pass</v>
      </c>
    </row>
    <row r="72" spans="4:19" s="135" customFormat="1" ht="11.25" customHeight="1" x14ac:dyDescent="0.2">
      <c r="D72" s="166" t="str">
        <v>Network tariff change request</v>
      </c>
      <c r="H72" s="152" t="s">
        <v>88</v>
      </c>
      <c r="I72" s="160" t="s">
        <v>216</v>
      </c>
      <c r="J72" s="160" t="s">
        <v>69</v>
      </c>
      <c r="P72" s="125" t="str">
        <f>IF(Inputs_Prices!P70&gt;Calculations_Price_Caps!P102,"Fail","Pass")</f>
        <v>Pass</v>
      </c>
      <c r="Q72" s="125" t="str">
        <f>IF(Inputs_Prices!Q70&gt;Calculations_Price_Caps!Q102,"Fail","Pass")</f>
        <v>Pass</v>
      </c>
      <c r="R72" s="125" t="str">
        <f>IF(Inputs_Prices!R70&gt;Calculations_Price_Caps!R102,"Fail","Pass")</f>
        <v>Pass</v>
      </c>
      <c r="S72" s="125" t="str">
        <f>IF(Inputs_Prices!S70&gt;Calculations_Price_Caps!S102,"Fail","Pass")</f>
        <v>Pass</v>
      </c>
    </row>
    <row r="73" spans="4:19" s="135" customFormat="1" ht="11.25" customHeight="1" x14ac:dyDescent="0.2">
      <c r="D73" s="166" t="str">
        <v>Planned interruption - customer request</v>
      </c>
      <c r="H73" s="152" t="s">
        <v>88</v>
      </c>
      <c r="I73" s="160" t="s">
        <v>216</v>
      </c>
      <c r="J73" s="160" t="s">
        <v>69</v>
      </c>
      <c r="P73" s="125" t="str">
        <f>IF(Inputs_Prices!P71&gt;Calculations_Price_Caps!P103,"Fail","Pass")</f>
        <v>Pass</v>
      </c>
      <c r="Q73" s="125" t="str">
        <f>IF(Inputs_Prices!Q71&gt;Calculations_Price_Caps!Q103,"Fail","Pass")</f>
        <v>Pass</v>
      </c>
      <c r="R73" s="125" t="str">
        <f>IF(Inputs_Prices!R71&gt;Calculations_Price_Caps!R103,"Fail","Pass")</f>
        <v>Pass</v>
      </c>
      <c r="S73" s="125" t="str">
        <f>IF(Inputs_Prices!S71&gt;Calculations_Price_Caps!S103,"Fail","Pass")</f>
        <v>Pass</v>
      </c>
    </row>
    <row r="74" spans="4:19" s="135" customFormat="1" ht="11.25" customHeight="1" x14ac:dyDescent="0.2">
      <c r="D74" s="166" t="str">
        <v>Performance of a statutory right (access prevented)</v>
      </c>
      <c r="H74" s="152" t="s">
        <v>88</v>
      </c>
      <c r="I74" s="160" t="s">
        <v>216</v>
      </c>
      <c r="J74" s="160" t="s">
        <v>69</v>
      </c>
      <c r="P74" s="125" t="str">
        <f>IF(Inputs_Prices!P72&gt;Calculations_Price_Caps!P104,"Fail","Pass")</f>
        <v>Pass</v>
      </c>
      <c r="Q74" s="125" t="str">
        <f>IF(Inputs_Prices!Q72&gt;Calculations_Price_Caps!Q104,"Fail","Pass")</f>
        <v>Pass</v>
      </c>
      <c r="R74" s="125" t="str">
        <f>IF(Inputs_Prices!R72&gt;Calculations_Price_Caps!R104,"Fail","Pass")</f>
        <v>Pass</v>
      </c>
      <c r="S74" s="125" t="str">
        <f>IF(Inputs_Prices!S72&gt;Calculations_Price_Caps!S104,"Fail","Pass")</f>
        <v>Pass</v>
      </c>
    </row>
    <row r="75" spans="4:19" s="135" customFormat="1" ht="11.25" customHeight="1" x14ac:dyDescent="0.2">
      <c r="D75" s="166" t="str">
        <v>Provision of network related training to third parties</v>
      </c>
      <c r="H75" s="152" t="s">
        <v>88</v>
      </c>
      <c r="I75" s="160" t="s">
        <v>216</v>
      </c>
      <c r="J75" s="160" t="s">
        <v>69</v>
      </c>
      <c r="P75" s="125" t="str">
        <f>IF(Inputs_Prices!P73&gt;Calculations_Price_Caps!P105,"Fail","Pass")</f>
        <v>Pass</v>
      </c>
      <c r="Q75" s="125" t="str">
        <f>IF(Inputs_Prices!Q73&gt;Calculations_Price_Caps!Q105,"Fail","Pass")</f>
        <v>Pass</v>
      </c>
      <c r="R75" s="125" t="str">
        <f>IF(Inputs_Prices!R73&gt;Calculations_Price_Caps!R105,"Fail","Pass")</f>
        <v>Pass</v>
      </c>
      <c r="S75" s="125" t="str">
        <f>IF(Inputs_Prices!S73&gt;Calculations_Price_Caps!S105,"Fail","Pass")</f>
        <v>Pass</v>
      </c>
    </row>
    <row r="76" spans="4:19" s="135" customFormat="1" ht="11.25" customHeight="1" x14ac:dyDescent="0.2">
      <c r="D76" s="166" t="str">
        <v>Non-standard reporting services</v>
      </c>
      <c r="H76" s="152" t="s">
        <v>88</v>
      </c>
      <c r="I76" s="160" t="s">
        <v>216</v>
      </c>
      <c r="J76" s="160" t="s">
        <v>69</v>
      </c>
      <c r="P76" s="125" t="str">
        <f>IF(Inputs_Prices!P74&gt;Calculations_Price_Caps!P106,"Fail","Pass")</f>
        <v>Pass</v>
      </c>
      <c r="Q76" s="125" t="str">
        <f>IF(Inputs_Prices!Q74&gt;Calculations_Price_Caps!Q106,"Fail","Pass")</f>
        <v>Pass</v>
      </c>
      <c r="R76" s="125" t="str">
        <f>IF(Inputs_Prices!R74&gt;Calculations_Price_Caps!R106,"Fail","Pass")</f>
        <v>Pass</v>
      </c>
      <c r="S76" s="125" t="str">
        <f>IF(Inputs_Prices!S74&gt;Calculations_Price_Caps!S106,"Fail","Pass")</f>
        <v>Pass</v>
      </c>
    </row>
    <row r="77" spans="4:19" s="135" customFormat="1" ht="11.25" customHeight="1" x14ac:dyDescent="0.2">
      <c r="D77" s="166" t="str">
        <v xml:space="preserve">Services provided for retailer of last resort event </v>
      </c>
      <c r="H77" s="152" t="s">
        <v>88</v>
      </c>
      <c r="I77" s="160" t="s">
        <v>216</v>
      </c>
      <c r="J77" s="160" t="s">
        <v>69</v>
      </c>
      <c r="P77" s="125" t="str">
        <f>IF(Inputs_Prices!P75&gt;Calculations_Price_Caps!P107,"Fail","Pass")</f>
        <v>Pass</v>
      </c>
      <c r="Q77" s="125" t="str">
        <f>IF(Inputs_Prices!Q75&gt;Calculations_Price_Caps!Q107,"Fail","Pass")</f>
        <v>Pass</v>
      </c>
      <c r="R77" s="125" t="str">
        <f>IF(Inputs_Prices!R75&gt;Calculations_Price_Caps!R107,"Fail","Pass")</f>
        <v>Pass</v>
      </c>
      <c r="S77" s="125" t="str">
        <f>IF(Inputs_Prices!S75&gt;Calculations_Price_Caps!S107,"Fail","Pass")</f>
        <v>Pass</v>
      </c>
    </row>
    <row r="78" spans="4:19" s="135" customFormat="1" ht="11.25" customHeight="1" x14ac:dyDescent="0.2">
      <c r="D78" s="166" t="str">
        <v>Rectification of illegal connections service</v>
      </c>
      <c r="H78" s="152" t="s">
        <v>88</v>
      </c>
      <c r="I78" s="160" t="s">
        <v>216</v>
      </c>
      <c r="J78" s="160" t="s">
        <v>69</v>
      </c>
      <c r="P78" s="125" t="str">
        <f>IF(Inputs_Prices!P76&gt;Calculations_Price_Caps!P108,"Fail","Pass")</f>
        <v>Pass</v>
      </c>
      <c r="Q78" s="125" t="str">
        <f>IF(Inputs_Prices!Q76&gt;Calculations_Price_Caps!Q108,"Fail","Pass")</f>
        <v>Pass</v>
      </c>
      <c r="R78" s="125" t="str">
        <f>IF(Inputs_Prices!R76&gt;Calculations_Price_Caps!R108,"Fail","Pass")</f>
        <v>Pass</v>
      </c>
      <c r="S78" s="125" t="str">
        <f>IF(Inputs_Prices!S76&gt;Calculations_Price_Caps!S108,"Fail","Pass")</f>
        <v>Pass</v>
      </c>
    </row>
    <row r="79" spans="4:19" s="135" customFormat="1" ht="11.25" customHeight="1" x14ac:dyDescent="0.2">
      <c r="D79" s="166" t="str">
        <v>Network changes at customer or retailer's request</v>
      </c>
      <c r="H79" s="152" t="s">
        <v>88</v>
      </c>
      <c r="I79" s="160" t="s">
        <v>216</v>
      </c>
      <c r="J79" s="160" t="s">
        <v>69</v>
      </c>
      <c r="P79" s="125" t="str">
        <f>IF(Inputs_Prices!P77&gt;Calculations_Price_Caps!P109,"Fail","Pass")</f>
        <v>Pass</v>
      </c>
      <c r="Q79" s="125" t="str">
        <f>IF(Inputs_Prices!Q77&gt;Calculations_Price_Caps!Q109,"Fail","Pass")</f>
        <v>Pass</v>
      </c>
      <c r="R79" s="125" t="str">
        <f>IF(Inputs_Prices!R77&gt;Calculations_Price_Caps!R109,"Fail","Pass")</f>
        <v>Pass</v>
      </c>
      <c r="S79" s="125" t="str">
        <f>IF(Inputs_Prices!S77&gt;Calculations_Price_Caps!S109,"Fail","Pass")</f>
        <v>Pass</v>
      </c>
    </row>
    <row r="80" spans="4:19" s="135" customFormat="1" ht="11.25" customHeight="1" x14ac:dyDescent="0.2">
      <c r="D80" s="166" t="str">
        <v>Annual prepayment meter licensing fee *</v>
      </c>
      <c r="H80" s="152" t="s">
        <v>88</v>
      </c>
      <c r="I80" s="160" t="s">
        <v>216</v>
      </c>
      <c r="J80" s="160" t="s">
        <v>69</v>
      </c>
      <c r="P80" s="125" t="str">
        <f>IF(Inputs_Prices!P78&gt;Calculations_Price_Caps!P110,"Fail","Pass")</f>
        <v>Pass</v>
      </c>
      <c r="Q80" s="125" t="str">
        <f>IF(Inputs_Prices!Q78&gt;Calculations_Price_Caps!Q110,"Fail","Pass")</f>
        <v>Pass</v>
      </c>
      <c r="R80" s="125" t="str">
        <f>IF(Inputs_Prices!R78&gt;Calculations_Price_Caps!R110,"Fail","Pass")</f>
        <v>Pass</v>
      </c>
      <c r="S80" s="125" t="str">
        <f>IF(Inputs_Prices!S78&gt;Calculations_Price_Caps!S110,"Fail","Pass")</f>
        <v>Pass</v>
      </c>
    </row>
    <row r="81" spans="1:19" s="135" customFormat="1" ht="11.25" customHeight="1" x14ac:dyDescent="0.2"/>
    <row r="82" spans="1:19" s="135" customFormat="1" ht="11.25" customHeight="1" outlineLevel="1" x14ac:dyDescent="0.2">
      <c r="A82" s="163">
        <f>IF(SUM($O82:$S82)=0,0,1)</f>
        <v>0</v>
      </c>
      <c r="D82" s="157" t="s">
        <v>121</v>
      </c>
      <c r="E82" s="156"/>
      <c r="F82" s="156"/>
      <c r="G82" s="158"/>
      <c r="H82" s="156"/>
      <c r="I82" s="156"/>
      <c r="J82" s="156"/>
      <c r="K82" s="150"/>
      <c r="P82" s="151" cm="1">
        <f t="array" ref="P82">IF(SUMPRODUCT(--ISERROR(P31:P80))&lt;&gt;0,1,0)</f>
        <v>0</v>
      </c>
      <c r="Q82" s="151" cm="1">
        <f t="array" ref="Q82">IF(SUMPRODUCT(--ISERROR(Q31:Q80))&lt;&gt;0,1,0)</f>
        <v>0</v>
      </c>
      <c r="R82" s="151" cm="1">
        <f t="array" ref="R82">IF(SUMPRODUCT(--ISERROR(R31:R80))&lt;&gt;0,1,0)</f>
        <v>0</v>
      </c>
      <c r="S82" s="151" cm="1">
        <f t="array" ref="S82">IF(SUMPRODUCT(--ISERROR(S31:S80))&lt;&gt;0,1,0)</f>
        <v>0</v>
      </c>
    </row>
    <row r="83" spans="1:19" s="135" customFormat="1" ht="11.25" customHeight="1" x14ac:dyDescent="0.2"/>
    <row r="84" spans="1:19" s="4" customFormat="1" ht="15.5" x14ac:dyDescent="0.2">
      <c r="B84" s="4" t="s">
        <v>33</v>
      </c>
    </row>
  </sheetData>
  <conditionalFormatting sqref="B2">
    <cfRule type="cellIs" dxfId="21" priority="79" operator="notEqual">
      <formula>"No Errors Found"</formula>
    </cfRule>
  </conditionalFormatting>
  <conditionalFormatting sqref="H19:H21">
    <cfRule type="cellIs" dxfId="20" priority="39" operator="equal">
      <formula>"Fail"</formula>
    </cfRule>
    <cfRule type="cellIs" dxfId="19" priority="40" operator="equal">
      <formula>"Pass"</formula>
    </cfRule>
  </conditionalFormatting>
  <conditionalFormatting sqref="P28:S28 M10:S10">
    <cfRule type="expression" dxfId="18" priority="34">
      <formula>M$10=$H$16</formula>
    </cfRule>
  </conditionalFormatting>
  <conditionalFormatting sqref="P31:S33">
    <cfRule type="expression" dxfId="17" priority="33">
      <formula>P$10=$H$16</formula>
    </cfRule>
  </conditionalFormatting>
  <conditionalFormatting sqref="P36:S62">
    <cfRule type="expression" dxfId="16" priority="8">
      <formula>P$10=$H$16</formula>
    </cfRule>
  </conditionalFormatting>
  <conditionalFormatting sqref="P31:S31">
    <cfRule type="expression" dxfId="15" priority="13">
      <formula>P31="Fail"</formula>
    </cfRule>
    <cfRule type="expression" dxfId="14" priority="14">
      <formula>P31="Pass"</formula>
    </cfRule>
  </conditionalFormatting>
  <conditionalFormatting sqref="P32:S32">
    <cfRule type="expression" dxfId="13" priority="11">
      <formula>P32="Fail"</formula>
    </cfRule>
    <cfRule type="expression" dxfId="12" priority="12">
      <formula>P32="Pass"</formula>
    </cfRule>
  </conditionalFormatting>
  <conditionalFormatting sqref="P33:S33">
    <cfRule type="expression" dxfId="11" priority="9">
      <formula>P33="Fail"</formula>
    </cfRule>
    <cfRule type="expression" dxfId="10" priority="10">
      <formula>P33="Pass"</formula>
    </cfRule>
  </conditionalFormatting>
  <conditionalFormatting sqref="P36:S62">
    <cfRule type="expression" dxfId="9" priority="6">
      <formula>P36="Fail"</formula>
    </cfRule>
    <cfRule type="expression" dxfId="8" priority="7">
      <formula>P36="Pass"</formula>
    </cfRule>
  </conditionalFormatting>
  <conditionalFormatting sqref="P65:S80">
    <cfRule type="expression" dxfId="7" priority="5">
      <formula>P$10=$H$16</formula>
    </cfRule>
  </conditionalFormatting>
  <conditionalFormatting sqref="P65:S80">
    <cfRule type="expression" dxfId="6" priority="3">
      <formula>P65="Fail"</formula>
    </cfRule>
    <cfRule type="expression" dxfId="5" priority="4">
      <formula>P65="Pass"</formula>
    </cfRule>
  </conditionalFormatting>
  <conditionalFormatting sqref="Q31">
    <cfRule type="expression" dxfId="4" priority="1">
      <formula>Q31="Fail"</formula>
    </cfRule>
    <cfRule type="expression" dxfId="3" priority="2">
      <formula>Q31="Pass"</formula>
    </cfRule>
  </conditionalFormatting>
  <dataValidations count="3">
    <dataValidation type="list" allowBlank="1" showInputMessage="1" showErrorMessage="1" sqref="K82">
      <formula1>LU_Timing</formula1>
    </dataValidation>
    <dataValidation type="list" allowBlank="1" showInputMessage="1" showErrorMessage="1" sqref="I82 I31:I33 I36:I62 I65:I80">
      <formula1>LU_Units</formula1>
    </dataValidation>
    <dataValidation type="list" allowBlank="1" showInputMessage="1" showErrorMessage="1" sqref="J82 J36:J62 J65:J80 J31:J33">
      <formula1>LU_Basis</formula1>
    </dataValidation>
  </dataValidations>
  <hyperlinks>
    <hyperlink ref="B3:E3" location="TOC!A1" display="TOC!A1"/>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Lookup!$P$20:$S$20</xm:f>
          </x14:formula1>
          <xm:sqref>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L153"/>
  <sheetViews>
    <sheetView showGridLines="0" tabSelected="1" workbookViewId="0">
      <pane ySplit="5" topLeftCell="A6" activePane="bottomLeft" state="frozen"/>
      <selection pane="bottomLeft" activeCell="H11" sqref="H11"/>
    </sheetView>
  </sheetViews>
  <sheetFormatPr defaultColWidth="9.109375" defaultRowHeight="13" x14ac:dyDescent="0.2"/>
  <cols>
    <col min="1" max="3" width="4.109375" style="95" customWidth="1"/>
    <col min="4" max="4" width="38" style="95" customWidth="1"/>
    <col min="5" max="5" width="20" style="95" customWidth="1"/>
    <col min="6" max="7" width="13.77734375" style="95" customWidth="1"/>
    <col min="8" max="10" width="16" style="95" customWidth="1"/>
    <col min="11" max="12" width="12.33203125" style="95" customWidth="1"/>
    <col min="13" max="14" width="17.44140625" style="95" customWidth="1"/>
    <col min="15" max="15" width="12.33203125" style="95" customWidth="1"/>
    <col min="16" max="16" width="17.109375" style="95" bestFit="1" customWidth="1"/>
    <col min="17" max="19" width="12.33203125" style="95" customWidth="1"/>
    <col min="20" max="20" width="16.77734375" style="95" bestFit="1" customWidth="1"/>
    <col min="21" max="21" width="13.33203125" style="95" customWidth="1"/>
    <col min="22" max="22" width="16" style="95" customWidth="1"/>
    <col min="23" max="23" width="9.109375" style="95" customWidth="1"/>
    <col min="24" max="16384" width="9.109375" style="95"/>
  </cols>
  <sheetData>
    <row r="1" spans="1:9" ht="21" x14ac:dyDescent="0.2">
      <c r="A1" s="67">
        <f>IF(SUM($A23:$A152)&gt;0,1,0)</f>
        <v>0</v>
      </c>
      <c r="B1" s="107" t="s">
        <v>142</v>
      </c>
    </row>
    <row r="2" spans="1:9" s="103" customFormat="1" ht="10" x14ac:dyDescent="0.2">
      <c r="B2" s="106" t="s">
        <v>141</v>
      </c>
    </row>
    <row r="3" spans="1:9" s="103" customFormat="1" ht="12.5" x14ac:dyDescent="0.2">
      <c r="B3" s="105" t="s">
        <v>54</v>
      </c>
      <c r="C3" s="105"/>
      <c r="D3" s="105"/>
      <c r="E3" s="104"/>
    </row>
    <row r="4" spans="1:9" s="103" customFormat="1" x14ac:dyDescent="0.2">
      <c r="B4" s="144" t="str">
        <f>Model_Name</f>
        <v>ACS Pricing Model - Power and Water Corporation</v>
      </c>
    </row>
    <row r="6" spans="1:9" s="172" customFormat="1" x14ac:dyDescent="0.2">
      <c r="B6" s="172" t="s">
        <v>223</v>
      </c>
    </row>
    <row r="7" spans="1:9" s="135" customFormat="1" ht="11.25" customHeight="1" x14ac:dyDescent="0.2"/>
    <row r="8" spans="1:9" s="135" customFormat="1" ht="11.25" customHeight="1" x14ac:dyDescent="0.2">
      <c r="D8" s="164" t="s">
        <v>234</v>
      </c>
    </row>
    <row r="9" spans="1:9" s="135" customFormat="1" ht="11.25" customHeight="1" x14ac:dyDescent="0.2"/>
    <row r="10" spans="1:9" s="135" customFormat="1" ht="11.25" customHeight="1" x14ac:dyDescent="0.2">
      <c r="D10" s="164" t="s">
        <v>224</v>
      </c>
      <c r="H10" s="165" t="s">
        <v>148</v>
      </c>
      <c r="I10" s="122" t="s">
        <v>235</v>
      </c>
    </row>
    <row r="11" spans="1:9" s="135" customFormat="1" ht="11.25" customHeight="1" x14ac:dyDescent="0.2">
      <c r="D11" s="164" t="s">
        <v>225</v>
      </c>
      <c r="H11" s="128">
        <f>INDEX(Lookup!$P$19:$S$19,MATCH($H$10,Lookup!$P$20:$S$20,0))</f>
        <v>365</v>
      </c>
    </row>
    <row r="12" spans="1:9" s="135" customFormat="1" ht="11.25" customHeight="1" x14ac:dyDescent="0.2"/>
    <row r="13" spans="1:9" s="135" customFormat="1" ht="11.25" customHeight="1" x14ac:dyDescent="0.2"/>
    <row r="14" spans="1:9" s="174" customFormat="1" x14ac:dyDescent="0.2">
      <c r="B14" s="174" t="s">
        <v>263</v>
      </c>
    </row>
    <row r="15" spans="1:9" s="171" customFormat="1" x14ac:dyDescent="0.2">
      <c r="D15" s="175"/>
    </row>
    <row r="16" spans="1:9" s="171" customFormat="1" x14ac:dyDescent="0.2">
      <c r="D16" s="176" t="s">
        <v>253</v>
      </c>
      <c r="E16" s="176" t="s">
        <v>21</v>
      </c>
      <c r="F16" s="176" t="s">
        <v>254</v>
      </c>
    </row>
    <row r="17" spans="2:8" s="171" customFormat="1" x14ac:dyDescent="0.2">
      <c r="D17" s="177" t="s">
        <v>255</v>
      </c>
      <c r="E17" s="178">
        <f>INDEX(Inputs_Prices!O139:S139,MATCH($H$10,Lookup!$O$20:$S$20,0))</f>
        <v>1.8404907975460238E-2</v>
      </c>
      <c r="F17" s="177" t="s">
        <v>256</v>
      </c>
    </row>
    <row r="18" spans="2:8" s="171" customFormat="1" x14ac:dyDescent="0.2">
      <c r="D18" s="177" t="s">
        <v>257</v>
      </c>
      <c r="E18" s="178">
        <f>INDEX(Inputs_Prices!P208:S208,MATCH($H$10,Lookup!$P$20:$S$20,0))</f>
        <v>-3.27E-2</v>
      </c>
      <c r="F18" s="177" t="s">
        <v>258</v>
      </c>
    </row>
    <row r="19" spans="2:8" s="171" customFormat="1" x14ac:dyDescent="0.2">
      <c r="D19" s="177" t="s">
        <v>259</v>
      </c>
      <c r="E19" s="178">
        <f>INDEX(Inputs_Prices!P213:S213,MATCH($H$10,Lookup!$P$20:$S$20,0))</f>
        <v>4.2044999999999999E-2</v>
      </c>
      <c r="F19" s="177" t="s">
        <v>260</v>
      </c>
    </row>
    <row r="20" spans="2:8" s="171" customFormat="1" ht="13.5" thickBot="1" x14ac:dyDescent="0.25">
      <c r="D20" s="179" t="s">
        <v>261</v>
      </c>
      <c r="E20" s="180">
        <f>INDEX(Inputs_Prices!P216:S216,MATCH($H$10,Lookup!$P$20:$S$20,0))</f>
        <v>-5.7080000000000004E-3</v>
      </c>
      <c r="F20" s="179" t="s">
        <v>262</v>
      </c>
    </row>
    <row r="21" spans="2:8" s="171" customFormat="1" x14ac:dyDescent="0.2">
      <c r="D21" s="175"/>
    </row>
    <row r="22" spans="2:8" s="171" customFormat="1" x14ac:dyDescent="0.2">
      <c r="D22" s="175"/>
    </row>
    <row r="23" spans="2:8" s="97" customFormat="1" x14ac:dyDescent="0.2">
      <c r="B23" s="97" t="s">
        <v>229</v>
      </c>
    </row>
    <row r="25" spans="2:8" s="171" customFormat="1" ht="15" thickBot="1" x14ac:dyDescent="0.25">
      <c r="F25" s="194" t="s">
        <v>143</v>
      </c>
      <c r="G25" s="194"/>
    </row>
    <row r="26" spans="2:8" ht="48" customHeight="1" thickBot="1" x14ac:dyDescent="0.25">
      <c r="D26" s="102" t="s">
        <v>138</v>
      </c>
      <c r="E26" s="102" t="s">
        <v>130</v>
      </c>
      <c r="F26" s="102" t="s">
        <v>137</v>
      </c>
      <c r="G26" s="102" t="s">
        <v>136</v>
      </c>
    </row>
    <row r="27" spans="2:8" ht="26" x14ac:dyDescent="0.2">
      <c r="D27" s="101" t="s">
        <v>135</v>
      </c>
      <c r="E27" s="100" t="s">
        <v>132</v>
      </c>
      <c r="F27" s="108">
        <f>G27/$H$11</f>
        <v>0.17715068493150685</v>
      </c>
      <c r="G27" s="109">
        <f>INDEX(Inputs_Prices!P29:S29,MATCH($H$10,Lookup!$P$20:$S$20,0))</f>
        <v>64.66</v>
      </c>
    </row>
    <row r="28" spans="2:8" x14ac:dyDescent="0.2">
      <c r="D28" s="101" t="s">
        <v>134</v>
      </c>
      <c r="E28" s="100" t="s">
        <v>132</v>
      </c>
      <c r="F28" s="108">
        <f t="shared" ref="F28:F29" si="0">G28/$H$11</f>
        <v>0.19504109589041096</v>
      </c>
      <c r="G28" s="109">
        <f>INDEX(Inputs_Prices!P30:S30,MATCH($H$10,Lookup!$P$20:$S$20,0))</f>
        <v>71.19</v>
      </c>
    </row>
    <row r="29" spans="2:8" ht="13.5" thickBot="1" x14ac:dyDescent="0.25">
      <c r="D29" s="99" t="s">
        <v>133</v>
      </c>
      <c r="E29" s="98" t="s">
        <v>132</v>
      </c>
      <c r="F29" s="110">
        <f t="shared" si="0"/>
        <v>0.33035616438356163</v>
      </c>
      <c r="G29" s="111">
        <f>INDEX(Inputs_Prices!P31:S31,MATCH($H$10,Lookup!$P$20:$S$20,0))</f>
        <v>120.58</v>
      </c>
      <c r="H29" s="169" t="s">
        <v>227</v>
      </c>
    </row>
    <row r="32" spans="2:8" s="172" customFormat="1" x14ac:dyDescent="0.2">
      <c r="B32" s="172" t="s">
        <v>241</v>
      </c>
    </row>
    <row r="33" spans="4:12" s="171" customFormat="1" x14ac:dyDescent="0.2"/>
    <row r="34" spans="4:12" s="171" customFormat="1" ht="15" thickBot="1" x14ac:dyDescent="0.25">
      <c r="F34" s="195" t="s">
        <v>137</v>
      </c>
      <c r="G34" s="195"/>
      <c r="K34" s="121" t="s">
        <v>144</v>
      </c>
      <c r="L34" s="162">
        <v>1.1000000000000001</v>
      </c>
    </row>
    <row r="35" spans="4:12" s="171" customFormat="1" ht="26.5" thickBot="1" x14ac:dyDescent="0.25">
      <c r="D35" s="102" t="s">
        <v>250</v>
      </c>
      <c r="E35" s="102" t="s">
        <v>130</v>
      </c>
      <c r="F35" s="102" t="s">
        <v>143</v>
      </c>
      <c r="G35" s="102" t="s">
        <v>145</v>
      </c>
    </row>
    <row r="36" spans="4:12" s="171" customFormat="1" x14ac:dyDescent="0.2">
      <c r="D36" s="101" t="str">
        <f t="array" ref="D36:D51">LU_Quoted_Services</f>
        <v>Design related services</v>
      </c>
      <c r="E36" s="100" t="s">
        <v>230</v>
      </c>
      <c r="F36" s="108">
        <f>INDEX(Inputs_Prices!$P63:$S63,MATCH($H$10,Lookup!$P$20:$S$20,0))</f>
        <v>159.38999999999999</v>
      </c>
      <c r="G36" s="108">
        <f t="shared" ref="G36:G51" si="1">F36*$L$34</f>
        <v>175.32900000000001</v>
      </c>
    </row>
    <row r="37" spans="4:12" s="171" customFormat="1" x14ac:dyDescent="0.2">
      <c r="D37" s="101" t="str">
        <v>Connection applications</v>
      </c>
      <c r="E37" s="100" t="s">
        <v>230</v>
      </c>
      <c r="F37" s="108">
        <f>INDEX(Inputs_Prices!$P64:$S64,MATCH($H$10,Lookup!$P$20:$S$20,0))</f>
        <v>159.38999999999999</v>
      </c>
      <c r="G37" s="108">
        <f t="shared" si="1"/>
        <v>175.32900000000001</v>
      </c>
    </row>
    <row r="38" spans="4:12" s="171" customFormat="1" ht="26" x14ac:dyDescent="0.2">
      <c r="D38" s="101" t="str">
        <v>Access permits, oversights and facilitation</v>
      </c>
      <c r="E38" s="100" t="s">
        <v>230</v>
      </c>
      <c r="F38" s="108">
        <f>INDEX(Inputs_Prices!$P65:$S65,MATCH($H$10,Lookup!$P$20:$S$20,0))</f>
        <v>159.38999999999999</v>
      </c>
      <c r="G38" s="108">
        <f t="shared" si="1"/>
        <v>175.32900000000001</v>
      </c>
    </row>
    <row r="39" spans="4:12" s="171" customFormat="1" ht="26" x14ac:dyDescent="0.2">
      <c r="D39" s="101" t="str">
        <v>Notices of arrangement and completion notices</v>
      </c>
      <c r="E39" s="100" t="s">
        <v>230</v>
      </c>
      <c r="F39" s="108">
        <f>INDEX(Inputs_Prices!$P66:$S66,MATCH($H$10,Lookup!$P$20:$S$20,0))</f>
        <v>89.3</v>
      </c>
      <c r="G39" s="108">
        <f t="shared" si="1"/>
        <v>98.23</v>
      </c>
    </row>
    <row r="40" spans="4:12" s="171" customFormat="1" ht="12.75" customHeight="1" x14ac:dyDescent="0.2">
      <c r="D40" s="101" t="str">
        <v>Network related property services</v>
      </c>
      <c r="E40" s="100" t="s">
        <v>230</v>
      </c>
      <c r="F40" s="108">
        <f>INDEX(Inputs_Prices!$P67:$S67,MATCH($H$10,Lookup!$P$20:$S$20,0))</f>
        <v>89.3</v>
      </c>
      <c r="G40" s="108">
        <f t="shared" si="1"/>
        <v>98.23</v>
      </c>
    </row>
    <row r="41" spans="4:12" s="171" customFormat="1" x14ac:dyDescent="0.2">
      <c r="D41" s="101" t="str">
        <v>Site establishment services</v>
      </c>
      <c r="E41" s="100" t="s">
        <v>230</v>
      </c>
      <c r="F41" s="108">
        <f>INDEX(Inputs_Prices!$P68:$S68,MATCH($H$10,Lookup!$P$20:$S$20,0))</f>
        <v>89.3</v>
      </c>
      <c r="G41" s="108">
        <f t="shared" si="1"/>
        <v>98.23</v>
      </c>
    </row>
    <row r="42" spans="4:12" s="171" customFormat="1" x14ac:dyDescent="0.2">
      <c r="D42" s="101" t="str">
        <v>Network safety services</v>
      </c>
      <c r="E42" s="100" t="s">
        <v>230</v>
      </c>
      <c r="F42" s="108">
        <f>INDEX(Inputs_Prices!$P69:$S69,MATCH($H$10,Lookup!$P$20:$S$20,0))</f>
        <v>135.91999999999999</v>
      </c>
      <c r="G42" s="108">
        <f t="shared" si="1"/>
        <v>149.512</v>
      </c>
    </row>
    <row r="43" spans="4:12" s="171" customFormat="1" x14ac:dyDescent="0.2">
      <c r="D43" s="101" t="str">
        <v>Network tariff change request</v>
      </c>
      <c r="E43" s="100" t="s">
        <v>230</v>
      </c>
      <c r="F43" s="108">
        <f>INDEX(Inputs_Prices!$P70:$S70,MATCH($H$10,Lookup!$P$20:$S$20,0))</f>
        <v>89.3</v>
      </c>
      <c r="G43" s="108">
        <f t="shared" si="1"/>
        <v>98.23</v>
      </c>
    </row>
    <row r="44" spans="4:12" s="171" customFormat="1" ht="26" x14ac:dyDescent="0.2">
      <c r="D44" s="101" t="str">
        <v>Planned interruption - customer request</v>
      </c>
      <c r="E44" s="100" t="s">
        <v>230</v>
      </c>
      <c r="F44" s="108">
        <f>INDEX(Inputs_Prices!$P71:$S71,MATCH($H$10,Lookup!$P$20:$S$20,0))</f>
        <v>135.91999999999999</v>
      </c>
      <c r="G44" s="108">
        <f t="shared" si="1"/>
        <v>149.512</v>
      </c>
    </row>
    <row r="45" spans="4:12" s="171" customFormat="1" ht="26" x14ac:dyDescent="0.2">
      <c r="D45" s="101" t="str">
        <v>Performance of a statutory right (access prevented)</v>
      </c>
      <c r="E45" s="100" t="s">
        <v>230</v>
      </c>
      <c r="F45" s="108">
        <f>INDEX(Inputs_Prices!$P72:$S72,MATCH($H$10,Lookup!$P$20:$S$20,0))</f>
        <v>135.91999999999999</v>
      </c>
      <c r="G45" s="108">
        <f t="shared" si="1"/>
        <v>149.512</v>
      </c>
    </row>
    <row r="46" spans="4:12" s="171" customFormat="1" ht="26" x14ac:dyDescent="0.2">
      <c r="D46" s="101" t="str">
        <v>Provision of network related training to third parties</v>
      </c>
      <c r="E46" s="100" t="s">
        <v>230</v>
      </c>
      <c r="F46" s="108">
        <f>INDEX(Inputs_Prices!$P73:$S73,MATCH($H$10,Lookup!$P$20:$S$20,0))</f>
        <v>89.3</v>
      </c>
      <c r="G46" s="108">
        <f t="shared" si="1"/>
        <v>98.23</v>
      </c>
    </row>
    <row r="47" spans="4:12" s="171" customFormat="1" ht="12.75" customHeight="1" x14ac:dyDescent="0.2">
      <c r="D47" s="101" t="str">
        <v>Non-standard reporting services</v>
      </c>
      <c r="E47" s="100" t="s">
        <v>230</v>
      </c>
      <c r="F47" s="108">
        <f>INDEX(Inputs_Prices!$P74:$S74,MATCH($H$10,Lookup!$P$20:$S$20,0))</f>
        <v>89.3</v>
      </c>
      <c r="G47" s="108">
        <f t="shared" si="1"/>
        <v>98.23</v>
      </c>
    </row>
    <row r="48" spans="4:12" s="171" customFormat="1" ht="26" x14ac:dyDescent="0.2">
      <c r="D48" s="101" t="str">
        <v xml:space="preserve">Services provided for retailer of last resort event </v>
      </c>
      <c r="E48" s="100" t="s">
        <v>230</v>
      </c>
      <c r="F48" s="108">
        <f>INDEX(Inputs_Prices!$P75:$S75,MATCH($H$10,Lookup!$P$20:$S$20,0))</f>
        <v>89.3</v>
      </c>
      <c r="G48" s="108">
        <f t="shared" si="1"/>
        <v>98.23</v>
      </c>
    </row>
    <row r="49" spans="2:10" s="171" customFormat="1" ht="26" x14ac:dyDescent="0.2">
      <c r="D49" s="101" t="str">
        <v>Rectification of illegal connections service</v>
      </c>
      <c r="E49" s="100" t="s">
        <v>230</v>
      </c>
      <c r="F49" s="108">
        <f>INDEX(Inputs_Prices!$P76:$S76,MATCH($H$10,Lookup!$P$20:$S$20,0))</f>
        <v>135.91999999999999</v>
      </c>
      <c r="G49" s="108">
        <f t="shared" si="1"/>
        <v>149.512</v>
      </c>
    </row>
    <row r="50" spans="2:10" s="171" customFormat="1" ht="26" x14ac:dyDescent="0.2">
      <c r="D50" s="101" t="str">
        <v>Network changes at customer or retailer's request</v>
      </c>
      <c r="E50" s="100" t="s">
        <v>230</v>
      </c>
      <c r="F50" s="108">
        <f>INDEX(Inputs_Prices!$P77:$S77,MATCH($H$10,Lookup!$P$20:$S$20,0))</f>
        <v>135.91999999999999</v>
      </c>
      <c r="G50" s="108">
        <f t="shared" si="1"/>
        <v>149.512</v>
      </c>
    </row>
    <row r="51" spans="2:10" s="171" customFormat="1" ht="26.5" thickBot="1" x14ac:dyDescent="0.25">
      <c r="D51" s="99" t="str">
        <v>Annual prepayment meter licensing fee *</v>
      </c>
      <c r="E51" s="98" t="s">
        <v>230</v>
      </c>
      <c r="F51" s="110">
        <f>INDEX(Inputs_Prices!$P78:$S78,MATCH($H$10,Lookup!$P$20:$S$20,0))</f>
        <v>89.3</v>
      </c>
      <c r="G51" s="110">
        <f t="shared" si="1"/>
        <v>98.23</v>
      </c>
    </row>
    <row r="52" spans="2:10" ht="14.5" x14ac:dyDescent="0.2">
      <c r="D52" s="120" t="s">
        <v>233</v>
      </c>
      <c r="E52" s="126"/>
      <c r="F52" s="126"/>
      <c r="G52" s="126"/>
      <c r="H52" s="118"/>
      <c r="I52" s="118"/>
      <c r="J52" s="118"/>
    </row>
    <row r="54" spans="2:10" s="172" customFormat="1" x14ac:dyDescent="0.2">
      <c r="B54" s="172" t="s">
        <v>228</v>
      </c>
    </row>
    <row r="55" spans="2:10" s="171" customFormat="1" x14ac:dyDescent="0.2"/>
    <row r="56" spans="2:10" s="171" customFormat="1" ht="15" thickBot="1" x14ac:dyDescent="0.25">
      <c r="F56" s="194" t="s">
        <v>137</v>
      </c>
      <c r="G56" s="194"/>
    </row>
    <row r="57" spans="2:10" s="171" customFormat="1" ht="26.5" thickBot="1" x14ac:dyDescent="0.25">
      <c r="D57" s="102" t="s">
        <v>249</v>
      </c>
      <c r="E57" s="102" t="s">
        <v>130</v>
      </c>
      <c r="F57" s="102" t="s">
        <v>143</v>
      </c>
      <c r="G57" s="102" t="s">
        <v>145</v>
      </c>
    </row>
    <row r="58" spans="2:10" s="171" customFormat="1" ht="12.75" customHeight="1" x14ac:dyDescent="0.2">
      <c r="D58" s="101" t="str">
        <f t="array" ref="D58:D84">LU_Fee_Based_Services</f>
        <v>Disconnection (and final read)</v>
      </c>
      <c r="E58" s="100" t="s">
        <v>232</v>
      </c>
      <c r="F58" s="108">
        <f>INDEX(Inputs_Prices!$P34:$S34,MATCH($H$10,Lookup!$P$20:$S$20,0))</f>
        <v>65.349999999999994</v>
      </c>
      <c r="G58" s="108">
        <f t="shared" ref="G58:G84" si="2">F58*$L$34</f>
        <v>71.885000000000005</v>
      </c>
    </row>
    <row r="59" spans="2:10" s="171" customFormat="1" ht="12.75" customHeight="1" x14ac:dyDescent="0.2">
      <c r="D59" s="101" t="str">
        <v>Reconnection</v>
      </c>
      <c r="E59" s="100" t="s">
        <v>232</v>
      </c>
      <c r="F59" s="108">
        <f>INDEX(Inputs_Prices!$P35:$S35,MATCH($H$10,Lookup!$P$20:$S$20,0))</f>
        <v>65.349999999999994</v>
      </c>
      <c r="G59" s="108">
        <f t="shared" si="2"/>
        <v>71.885000000000005</v>
      </c>
    </row>
    <row r="60" spans="2:10" s="171" customFormat="1" ht="12.75" customHeight="1" x14ac:dyDescent="0.2">
      <c r="D60" s="101" t="str">
        <v>Reconnection - after hours</v>
      </c>
      <c r="E60" s="100" t="s">
        <v>232</v>
      </c>
      <c r="F60" s="108">
        <f>INDEX(Inputs_Prices!$P36:$S36,MATCH($H$10,Lookup!$P$20:$S$20,0))</f>
        <v>121.39</v>
      </c>
      <c r="G60" s="108">
        <f t="shared" si="2"/>
        <v>133.52900000000002</v>
      </c>
    </row>
    <row r="61" spans="2:10" s="171" customFormat="1" ht="12.75" customHeight="1" x14ac:dyDescent="0.2">
      <c r="D61" s="101" t="str">
        <v>Temporary disconnection and reconnection - physical dismantling</v>
      </c>
      <c r="E61" s="100" t="s">
        <v>232</v>
      </c>
      <c r="F61" s="108">
        <f>INDEX(Inputs_Prices!$P37:$S37,MATCH($H$10,Lookup!$P$20:$S$20,0))</f>
        <v>755.16</v>
      </c>
      <c r="G61" s="108">
        <f t="shared" si="2"/>
        <v>830.67600000000004</v>
      </c>
    </row>
    <row r="62" spans="2:10" s="171" customFormat="1" ht="12.75" customHeight="1" x14ac:dyDescent="0.2">
      <c r="D62" s="101" t="str">
        <v>Provision of 3 phase service</v>
      </c>
      <c r="E62" s="100" t="s">
        <v>232</v>
      </c>
      <c r="F62" s="108">
        <f>INDEX(Inputs_Prices!$P38:$S38,MATCH($H$10,Lookup!$P$20:$S$20,0))</f>
        <v>1434.81</v>
      </c>
      <c r="G62" s="108">
        <f t="shared" si="2"/>
        <v>1578.2910000000002</v>
      </c>
    </row>
    <row r="63" spans="2:10" s="171" customFormat="1" ht="12.75" customHeight="1" x14ac:dyDescent="0.2">
      <c r="D63" s="101" t="str">
        <v>Standard temporary builder’s connection</v>
      </c>
      <c r="E63" s="100" t="s">
        <v>232</v>
      </c>
      <c r="F63" s="108">
        <f>INDEX(Inputs_Prices!$P39:$S39,MATCH($H$10,Lookup!$P$20:$S$20,0))</f>
        <v>673.61</v>
      </c>
      <c r="G63" s="108">
        <f t="shared" si="2"/>
        <v>740.97100000000012</v>
      </c>
    </row>
    <row r="64" spans="2:10" s="171" customFormat="1" ht="12.75" customHeight="1" x14ac:dyDescent="0.2">
      <c r="D64" s="101" t="str">
        <v>Temporary disconnection and reconnection - no dismantling</v>
      </c>
      <c r="E64" s="100" t="s">
        <v>232</v>
      </c>
      <c r="F64" s="108">
        <f>INDEX(Inputs_Prices!$P40:$S40,MATCH($H$10,Lookup!$P$20:$S$20,0))</f>
        <v>293</v>
      </c>
      <c r="G64" s="108">
        <f t="shared" si="2"/>
        <v>322.3</v>
      </c>
    </row>
    <row r="65" spans="4:7" s="171" customFormat="1" ht="12.75" customHeight="1" x14ac:dyDescent="0.2">
      <c r="D65" s="101" t="str">
        <v>Complex disconnection</v>
      </c>
      <c r="E65" s="100" t="s">
        <v>232</v>
      </c>
      <c r="F65" s="108">
        <f>INDEX(Inputs_Prices!$P41:$S41,MATCH($H$10,Lookup!$P$20:$S$20,0))</f>
        <v>320.19</v>
      </c>
      <c r="G65" s="108">
        <f t="shared" si="2"/>
        <v>352.209</v>
      </c>
    </row>
    <row r="66" spans="4:7" s="171" customFormat="1" ht="12.75" customHeight="1" x14ac:dyDescent="0.2">
      <c r="D66" s="101" t="str">
        <v>Wasted visit fee</v>
      </c>
      <c r="E66" s="100" t="s">
        <v>232</v>
      </c>
      <c r="F66" s="108">
        <f>INDEX(Inputs_Prices!$P42:$S42,MATCH($H$10,Lookup!$P$20:$S$20,0))</f>
        <v>157.07</v>
      </c>
      <c r="G66" s="108">
        <f t="shared" si="2"/>
        <v>172.77700000000002</v>
      </c>
    </row>
    <row r="67" spans="4:7" s="171" customFormat="1" ht="12.75" customHeight="1" x14ac:dyDescent="0.2">
      <c r="D67" s="101" t="str">
        <v>Special meter test</v>
      </c>
      <c r="E67" s="100" t="s">
        <v>232</v>
      </c>
      <c r="F67" s="108">
        <f>INDEX(Inputs_Prices!$P43:$S43,MATCH($H$10,Lookup!$P$20:$S$20,0))</f>
        <v>306.60000000000002</v>
      </c>
      <c r="G67" s="108">
        <f t="shared" si="2"/>
        <v>337.26000000000005</v>
      </c>
    </row>
    <row r="68" spans="4:7" s="171" customFormat="1" ht="12.75" customHeight="1" x14ac:dyDescent="0.2">
      <c r="D68" s="101" t="str">
        <v>Exchange or replace meter – three phase</v>
      </c>
      <c r="E68" s="100" t="s">
        <v>232</v>
      </c>
      <c r="F68" s="108">
        <f>INDEX(Inputs_Prices!$P44:$S44,MATCH($H$10,Lookup!$P$20:$S$20,0))</f>
        <v>676.38</v>
      </c>
      <c r="G68" s="108">
        <f t="shared" si="2"/>
        <v>744.01800000000003</v>
      </c>
    </row>
    <row r="69" spans="4:7" s="171" customFormat="1" ht="12.75" customHeight="1" x14ac:dyDescent="0.2">
      <c r="D69" s="101" t="str">
        <v>Exchange or replace meter - single phase</v>
      </c>
      <c r="E69" s="100" t="s">
        <v>232</v>
      </c>
      <c r="F69" s="108">
        <f>INDEX(Inputs_Prices!$P45:$S45,MATCH($H$10,Lookup!$P$20:$S$20,0))</f>
        <v>566.26</v>
      </c>
      <c r="G69" s="108">
        <f t="shared" si="2"/>
        <v>622.88600000000008</v>
      </c>
    </row>
    <row r="70" spans="4:7" s="171" customFormat="1" ht="12.75" customHeight="1" x14ac:dyDescent="0.2">
      <c r="D70" s="101" t="str">
        <v>Relocation of meter</v>
      </c>
      <c r="E70" s="100" t="s">
        <v>232</v>
      </c>
      <c r="F70" s="108">
        <f>INDEX(Inputs_Prices!$P46:$S46,MATCH($H$10,Lookup!$P$20:$S$20,0))</f>
        <v>320.19</v>
      </c>
      <c r="G70" s="108">
        <f t="shared" si="2"/>
        <v>352.209</v>
      </c>
    </row>
    <row r="71" spans="4:7" s="171" customFormat="1" ht="12.75" customHeight="1" x14ac:dyDescent="0.2">
      <c r="D71" s="101" t="str">
        <v>Remove meter</v>
      </c>
      <c r="E71" s="100" t="s">
        <v>232</v>
      </c>
      <c r="F71" s="108">
        <f>INDEX(Inputs_Prices!$P47:$S47,MATCH($H$10,Lookup!$P$20:$S$20,0))</f>
        <v>320.19</v>
      </c>
      <c r="G71" s="108">
        <f t="shared" si="2"/>
        <v>352.209</v>
      </c>
    </row>
    <row r="72" spans="4:7" s="171" customFormat="1" ht="12.75" customHeight="1" x14ac:dyDescent="0.2">
      <c r="D72" s="101" t="str">
        <v>General meter inspection</v>
      </c>
      <c r="E72" s="100" t="s">
        <v>232</v>
      </c>
      <c r="F72" s="108">
        <f>INDEX(Inputs_Prices!$P48:$S48,MATCH($H$10,Lookup!$P$20:$S$20,0))</f>
        <v>143.47999999999999</v>
      </c>
      <c r="G72" s="108">
        <f t="shared" si="2"/>
        <v>157.828</v>
      </c>
    </row>
    <row r="73" spans="4:7" s="171" customFormat="1" ht="12.75" customHeight="1" x14ac:dyDescent="0.2">
      <c r="D73" s="101" t="str">
        <v>Special meter read - no appointment</v>
      </c>
      <c r="E73" s="100" t="s">
        <v>232</v>
      </c>
      <c r="F73" s="108">
        <f>INDEX(Inputs_Prices!$P49:$S49,MATCH($H$10,Lookup!$P$20:$S$20,0))</f>
        <v>36.46</v>
      </c>
      <c r="G73" s="108">
        <f t="shared" si="2"/>
        <v>40.106000000000002</v>
      </c>
    </row>
    <row r="74" spans="4:7" s="171" customFormat="1" ht="12.75" customHeight="1" x14ac:dyDescent="0.2">
      <c r="D74" s="101" t="str">
        <v>Special meter read - appointment</v>
      </c>
      <c r="E74" s="100" t="s">
        <v>232</v>
      </c>
      <c r="F74" s="108">
        <f>INDEX(Inputs_Prices!$P50:$S50,MATCH($H$10,Lookup!$P$20:$S$20,0))</f>
        <v>78.86</v>
      </c>
      <c r="G74" s="108">
        <f t="shared" si="2"/>
        <v>86.746000000000009</v>
      </c>
    </row>
    <row r="75" spans="4:7" s="171" customFormat="1" ht="12.75" customHeight="1" x14ac:dyDescent="0.2">
      <c r="D75" s="101" t="str">
        <v>Class 3 PV Assessment</v>
      </c>
      <c r="E75" s="100" t="s">
        <v>232</v>
      </c>
      <c r="F75" s="108">
        <f>INDEX(Inputs_Prices!$P51:$S51,MATCH($H$10,Lookup!$P$20:$S$20,0))</f>
        <v>1216.5899999999999</v>
      </c>
      <c r="G75" s="108">
        <f t="shared" si="2"/>
        <v>1338.249</v>
      </c>
    </row>
    <row r="76" spans="4:7" s="171" customFormat="1" ht="12.75" customHeight="1" x14ac:dyDescent="0.2">
      <c r="D76" s="101" t="str">
        <v>Meter program change</v>
      </c>
      <c r="E76" s="100" t="s">
        <v>232</v>
      </c>
      <c r="F76" s="108">
        <f>INDEX(Inputs_Prices!$P52:$S52,MATCH($H$10,Lookup!$P$20:$S$20,0))</f>
        <v>165.52</v>
      </c>
      <c r="G76" s="108">
        <f t="shared" si="2"/>
        <v>182.07200000000003</v>
      </c>
    </row>
    <row r="77" spans="4:7" s="171" customFormat="1" ht="12.75" customHeight="1" x14ac:dyDescent="0.2">
      <c r="D77" s="101" t="str">
        <v>Historical data requests</v>
      </c>
      <c r="E77" s="100" t="s">
        <v>232</v>
      </c>
      <c r="F77" s="108">
        <f>INDEX(Inputs_Prices!$P53:$S53,MATCH($H$10,Lookup!$P$20:$S$20,0))</f>
        <v>201.91</v>
      </c>
      <c r="G77" s="108">
        <f t="shared" si="2"/>
        <v>222.10100000000003</v>
      </c>
    </row>
    <row r="78" spans="4:7" s="171" customFormat="1" ht="12.75" customHeight="1" x14ac:dyDescent="0.2">
      <c r="D78" s="101" t="str">
        <v>Standing data requests</v>
      </c>
      <c r="E78" s="100" t="s">
        <v>232</v>
      </c>
      <c r="F78" s="108">
        <f>INDEX(Inputs_Prices!$P54:$S54,MATCH($H$10,Lookup!$P$20:$S$20,0))</f>
        <v>44.65</v>
      </c>
      <c r="G78" s="108">
        <f t="shared" si="2"/>
        <v>49.115000000000002</v>
      </c>
    </row>
    <row r="79" spans="4:7" s="171" customFormat="1" ht="12.75" customHeight="1" x14ac:dyDescent="0.2">
      <c r="D79" s="101" t="str">
        <v>Customer transfers</v>
      </c>
      <c r="E79" s="100" t="s">
        <v>232</v>
      </c>
      <c r="F79" s="108">
        <f>INDEX(Inputs_Prices!$P55:$S55,MATCH($H$10,Lookup!$P$20:$S$20,0))</f>
        <v>178.59</v>
      </c>
      <c r="G79" s="108">
        <f t="shared" si="2"/>
        <v>196.44900000000001</v>
      </c>
    </row>
    <row r="80" spans="4:7" s="171" customFormat="1" ht="12.75" customHeight="1" x14ac:dyDescent="0.2">
      <c r="D80" s="101" t="str">
        <v>Network tariff change request</v>
      </c>
      <c r="E80" s="100" t="s">
        <v>232</v>
      </c>
      <c r="F80" s="108">
        <f>INDEX(Inputs_Prices!$P56:$S56,MATCH($H$10,Lookup!$P$20:$S$20,0))</f>
        <v>44.65</v>
      </c>
      <c r="G80" s="108">
        <f t="shared" si="2"/>
        <v>49.115000000000002</v>
      </c>
    </row>
    <row r="81" spans="2:11" s="171" customFormat="1" ht="12.75" customHeight="1" x14ac:dyDescent="0.2">
      <c r="D81" s="101" t="str">
        <v>Prepayment Vending Charge</v>
      </c>
      <c r="E81" s="100" t="s">
        <v>232</v>
      </c>
      <c r="F81" s="108">
        <f>INDEX(Inputs_Prices!$P57:$S57,MATCH($H$10,Lookup!$P$20:$S$20,0))</f>
        <v>0.49</v>
      </c>
      <c r="G81" s="108">
        <f t="shared" si="2"/>
        <v>0.53900000000000003</v>
      </c>
    </row>
    <row r="82" spans="2:11" s="171" customFormat="1" ht="12.75" customHeight="1" x14ac:dyDescent="0.2">
      <c r="D82" s="101" t="str">
        <v>Prepayment Meter Support Charge</v>
      </c>
      <c r="E82" s="100" t="s">
        <v>232</v>
      </c>
      <c r="F82" s="108">
        <f>INDEX(Inputs_Prices!$P58:$S58,MATCH($H$10,Lookup!$P$20:$S$20,0))</f>
        <v>67.97</v>
      </c>
      <c r="G82" s="108">
        <f t="shared" si="2"/>
        <v>74.76700000000001</v>
      </c>
    </row>
    <row r="83" spans="2:11" s="171" customFormat="1" ht="12.75" customHeight="1" x14ac:dyDescent="0.2">
      <c r="D83" s="101" t="str">
        <v xml:space="preserve">Installation of Minor Apparatus </v>
      </c>
      <c r="E83" s="100" t="s">
        <v>232</v>
      </c>
      <c r="F83" s="108">
        <f>INDEX(Inputs_Prices!$P59:$S59,MATCH($H$10,Lookup!$P$20:$S$20,0))</f>
        <v>639.62</v>
      </c>
      <c r="G83" s="108">
        <f t="shared" si="2"/>
        <v>703.58200000000011</v>
      </c>
    </row>
    <row r="84" spans="2:11" s="171" customFormat="1" ht="12.75" customHeight="1" thickBot="1" x14ac:dyDescent="0.25">
      <c r="D84" s="99" t="str">
        <v>Class 1 &amp; 2 PV service</v>
      </c>
      <c r="E84" s="98" t="s">
        <v>232</v>
      </c>
      <c r="F84" s="110">
        <f>INDEX(Inputs_Prices!$P60:$S60,MATCH($H$10,Lookup!$P$20:$S$20,0))</f>
        <v>89.3</v>
      </c>
      <c r="G84" s="110">
        <f t="shared" si="2"/>
        <v>98.23</v>
      </c>
    </row>
    <row r="85" spans="2:11" s="171" customFormat="1" x14ac:dyDescent="0.2"/>
    <row r="86" spans="2:11" s="171" customFormat="1" x14ac:dyDescent="0.2"/>
    <row r="87" spans="2:11" s="172" customFormat="1" x14ac:dyDescent="0.2">
      <c r="B87" s="172" t="s">
        <v>264</v>
      </c>
    </row>
    <row r="88" spans="2:11" s="171" customFormat="1" x14ac:dyDescent="0.2"/>
    <row r="89" spans="2:11" s="171" customFormat="1" x14ac:dyDescent="0.2">
      <c r="D89" s="185" t="s">
        <v>265</v>
      </c>
      <c r="E89" s="185" t="s">
        <v>130</v>
      </c>
      <c r="F89" s="181" t="s">
        <v>265</v>
      </c>
      <c r="G89" s="181" t="s">
        <v>265</v>
      </c>
      <c r="H89" s="181" t="s">
        <v>266</v>
      </c>
      <c r="I89" s="181" t="s">
        <v>266</v>
      </c>
      <c r="J89" s="181" t="s">
        <v>266</v>
      </c>
    </row>
    <row r="90" spans="2:11" s="171" customFormat="1" x14ac:dyDescent="0.2">
      <c r="D90" s="185"/>
      <c r="E90" s="185"/>
      <c r="F90" s="181" t="s">
        <v>267</v>
      </c>
      <c r="G90" s="181" t="s">
        <v>268</v>
      </c>
      <c r="H90" s="181" t="s">
        <v>269</v>
      </c>
      <c r="I90" s="181" t="s">
        <v>270</v>
      </c>
      <c r="J90" s="181" t="s">
        <v>271</v>
      </c>
    </row>
    <row r="91" spans="2:11" s="171" customFormat="1" ht="24" x14ac:dyDescent="0.2">
      <c r="D91" s="182" t="s">
        <v>135</v>
      </c>
      <c r="E91" s="182" t="s">
        <v>240</v>
      </c>
      <c r="F91" s="183">
        <f>Inputs_Prices!O149</f>
        <v>61.48</v>
      </c>
      <c r="G91" s="190">
        <f>Inputs_Prices!P29</f>
        <v>64.66</v>
      </c>
      <c r="H91" s="183">
        <f>Inputs_Prices!Q29</f>
        <v>68.39</v>
      </c>
      <c r="I91" s="184">
        <f>Inputs_Prices!R29</f>
        <v>72.34</v>
      </c>
      <c r="J91" s="183">
        <f>Inputs_Prices!S29</f>
        <v>76.52</v>
      </c>
    </row>
    <row r="92" spans="2:11" s="171" customFormat="1" x14ac:dyDescent="0.2">
      <c r="D92" s="182" t="s">
        <v>134</v>
      </c>
      <c r="E92" s="182" t="s">
        <v>240</v>
      </c>
      <c r="F92" s="183">
        <f>Inputs_Prices!O150</f>
        <v>67.69</v>
      </c>
      <c r="G92" s="190">
        <f>Inputs_Prices!P30</f>
        <v>71.19</v>
      </c>
      <c r="H92" s="183">
        <f>Inputs_Prices!Q30</f>
        <v>75.3</v>
      </c>
      <c r="I92" s="184">
        <f>Inputs_Prices!R30</f>
        <v>79.650000000000006</v>
      </c>
      <c r="J92" s="183">
        <f>Inputs_Prices!S30</f>
        <v>84.25</v>
      </c>
      <c r="K92" s="184"/>
    </row>
    <row r="93" spans="2:11" s="171" customFormat="1" x14ac:dyDescent="0.2">
      <c r="D93" s="182" t="s">
        <v>133</v>
      </c>
      <c r="E93" s="182" t="s">
        <v>240</v>
      </c>
      <c r="F93" s="183">
        <f>Inputs_Prices!O151</f>
        <v>114.65</v>
      </c>
      <c r="G93" s="190">
        <f>Inputs_Prices!P31</f>
        <v>120.58</v>
      </c>
      <c r="H93" s="183">
        <f>Inputs_Prices!Q31</f>
        <v>127.54</v>
      </c>
      <c r="I93" s="184">
        <f>Inputs_Prices!R31</f>
        <v>134.9</v>
      </c>
      <c r="J93" s="183">
        <f>Inputs_Prices!S31</f>
        <v>142.69</v>
      </c>
      <c r="K93" s="184"/>
    </row>
    <row r="94" spans="2:11" s="171" customFormat="1" x14ac:dyDescent="0.2"/>
    <row r="95" spans="2:11" s="171" customFormat="1" x14ac:dyDescent="0.2"/>
    <row r="96" spans="2:11" s="174" customFormat="1" x14ac:dyDescent="0.2">
      <c r="B96" s="174" t="s">
        <v>264</v>
      </c>
    </row>
    <row r="97" spans="4:10" s="171" customFormat="1" x14ac:dyDescent="0.2"/>
    <row r="98" spans="4:10" s="171" customFormat="1" x14ac:dyDescent="0.2">
      <c r="D98" s="185" t="s">
        <v>265</v>
      </c>
      <c r="E98" s="186" t="s">
        <v>130</v>
      </c>
      <c r="F98" s="186" t="s">
        <v>265</v>
      </c>
      <c r="G98" s="186" t="s">
        <v>265</v>
      </c>
      <c r="H98" s="186" t="s">
        <v>266</v>
      </c>
      <c r="I98" s="186" t="s">
        <v>266</v>
      </c>
      <c r="J98" s="186" t="s">
        <v>266</v>
      </c>
    </row>
    <row r="99" spans="4:10" s="171" customFormat="1" x14ac:dyDescent="0.2">
      <c r="D99" s="185"/>
      <c r="E99" s="186"/>
      <c r="F99" s="186" t="s">
        <v>267</v>
      </c>
      <c r="G99" s="186" t="s">
        <v>268</v>
      </c>
      <c r="H99" s="186" t="s">
        <v>269</v>
      </c>
      <c r="I99" s="186" t="s">
        <v>270</v>
      </c>
      <c r="J99" s="186" t="s">
        <v>271</v>
      </c>
    </row>
    <row r="100" spans="4:10" s="171" customFormat="1" x14ac:dyDescent="0.2">
      <c r="D100" s="101" t="str">
        <f t="array" ref="D100:D115">LU_Quoted_Services</f>
        <v>Design related services</v>
      </c>
      <c r="E100" s="100" t="s">
        <v>230</v>
      </c>
      <c r="F100" s="187">
        <f>Inputs_Prices!O183</f>
        <v>155.62</v>
      </c>
      <c r="G100" s="191">
        <f>Inputs_Prices!P63</f>
        <v>159.38999999999999</v>
      </c>
      <c r="H100" s="187">
        <f>Inputs_Prices!Q63</f>
        <v>164.59</v>
      </c>
      <c r="I100" s="187">
        <f>Inputs_Prices!R63</f>
        <v>170.22</v>
      </c>
      <c r="J100" s="187">
        <f>Inputs_Prices!S63</f>
        <v>176.03</v>
      </c>
    </row>
    <row r="101" spans="4:10" s="171" customFormat="1" x14ac:dyDescent="0.2">
      <c r="D101" s="101" t="str">
        <v>Connection applications</v>
      </c>
      <c r="E101" s="100" t="s">
        <v>230</v>
      </c>
      <c r="F101" s="187">
        <f>Inputs_Prices!O184</f>
        <v>155.62</v>
      </c>
      <c r="G101" s="191">
        <f>Inputs_Prices!P64</f>
        <v>159.38999999999999</v>
      </c>
      <c r="H101" s="187">
        <f>Inputs_Prices!Q64</f>
        <v>164.59</v>
      </c>
      <c r="I101" s="187">
        <f>Inputs_Prices!R64</f>
        <v>170.22</v>
      </c>
      <c r="J101" s="187">
        <f>Inputs_Prices!S64</f>
        <v>176.03</v>
      </c>
    </row>
    <row r="102" spans="4:10" s="171" customFormat="1" ht="26" x14ac:dyDescent="0.2">
      <c r="D102" s="101" t="str">
        <v>Access permits, oversights and facilitation</v>
      </c>
      <c r="E102" s="100" t="s">
        <v>230</v>
      </c>
      <c r="F102" s="187">
        <f>Inputs_Prices!O185</f>
        <v>155.62</v>
      </c>
      <c r="G102" s="191">
        <f>Inputs_Prices!P65</f>
        <v>159.38999999999999</v>
      </c>
      <c r="H102" s="187">
        <f>Inputs_Prices!Q65</f>
        <v>164.59</v>
      </c>
      <c r="I102" s="187">
        <f>Inputs_Prices!R65</f>
        <v>170.22</v>
      </c>
      <c r="J102" s="187">
        <f>Inputs_Prices!S65</f>
        <v>176.03</v>
      </c>
    </row>
    <row r="103" spans="4:10" s="171" customFormat="1" ht="26" x14ac:dyDescent="0.2">
      <c r="D103" s="101" t="str">
        <v>Notices of arrangement and completion notices</v>
      </c>
      <c r="E103" s="100" t="s">
        <v>230</v>
      </c>
      <c r="F103" s="187">
        <f>Inputs_Prices!O186</f>
        <v>87.19</v>
      </c>
      <c r="G103" s="191">
        <f>Inputs_Prices!P66</f>
        <v>89.3</v>
      </c>
      <c r="H103" s="187">
        <f>Inputs_Prices!Q66</f>
        <v>92.21</v>
      </c>
      <c r="I103" s="187">
        <f>Inputs_Prices!R66</f>
        <v>95.36</v>
      </c>
      <c r="J103" s="187">
        <f>Inputs_Prices!S66</f>
        <v>98.61</v>
      </c>
    </row>
    <row r="104" spans="4:10" s="171" customFormat="1" ht="26" x14ac:dyDescent="0.2">
      <c r="D104" s="101" t="str">
        <v>Network related property services</v>
      </c>
      <c r="E104" s="100" t="s">
        <v>230</v>
      </c>
      <c r="F104" s="187">
        <f>Inputs_Prices!O187</f>
        <v>87.19</v>
      </c>
      <c r="G104" s="191">
        <f>Inputs_Prices!P67</f>
        <v>89.3</v>
      </c>
      <c r="H104" s="187">
        <f>Inputs_Prices!Q67</f>
        <v>92.21</v>
      </c>
      <c r="I104" s="187">
        <f>Inputs_Prices!R67</f>
        <v>95.36</v>
      </c>
      <c r="J104" s="187">
        <f>Inputs_Prices!S67</f>
        <v>98.61</v>
      </c>
    </row>
    <row r="105" spans="4:10" s="171" customFormat="1" x14ac:dyDescent="0.2">
      <c r="D105" s="101" t="str">
        <v>Site establishment services</v>
      </c>
      <c r="E105" s="100" t="s">
        <v>230</v>
      </c>
      <c r="F105" s="187">
        <f>Inputs_Prices!O188</f>
        <v>87.19</v>
      </c>
      <c r="G105" s="191">
        <f>Inputs_Prices!P68</f>
        <v>89.3</v>
      </c>
      <c r="H105" s="187">
        <f>Inputs_Prices!Q68</f>
        <v>92.21</v>
      </c>
      <c r="I105" s="187">
        <f>Inputs_Prices!R68</f>
        <v>95.36</v>
      </c>
      <c r="J105" s="187">
        <f>Inputs_Prices!S68</f>
        <v>98.61</v>
      </c>
    </row>
    <row r="106" spans="4:10" s="171" customFormat="1" x14ac:dyDescent="0.2">
      <c r="D106" s="101" t="str">
        <v>Network safety services</v>
      </c>
      <c r="E106" s="100" t="s">
        <v>230</v>
      </c>
      <c r="F106" s="187">
        <f>Inputs_Prices!O189</f>
        <v>132.71</v>
      </c>
      <c r="G106" s="191">
        <f>Inputs_Prices!P69</f>
        <v>135.91999999999999</v>
      </c>
      <c r="H106" s="187">
        <f>Inputs_Prices!Q69</f>
        <v>140.36000000000001</v>
      </c>
      <c r="I106" s="187">
        <f>Inputs_Prices!R69</f>
        <v>145.16</v>
      </c>
      <c r="J106" s="187">
        <f>Inputs_Prices!S69</f>
        <v>150.11000000000001</v>
      </c>
    </row>
    <row r="107" spans="4:10" s="171" customFormat="1" x14ac:dyDescent="0.2">
      <c r="D107" s="101" t="str">
        <v>Network tariff change request</v>
      </c>
      <c r="E107" s="100" t="s">
        <v>230</v>
      </c>
      <c r="F107" s="187">
        <f>Inputs_Prices!O190</f>
        <v>87.19</v>
      </c>
      <c r="G107" s="191">
        <f>Inputs_Prices!P70</f>
        <v>89.3</v>
      </c>
      <c r="H107" s="187">
        <f>Inputs_Prices!Q70</f>
        <v>92.21</v>
      </c>
      <c r="I107" s="187">
        <f>Inputs_Prices!R70</f>
        <v>95.36</v>
      </c>
      <c r="J107" s="187">
        <f>Inputs_Prices!S70</f>
        <v>98.61</v>
      </c>
    </row>
    <row r="108" spans="4:10" s="171" customFormat="1" ht="26" x14ac:dyDescent="0.2">
      <c r="D108" s="101" t="str">
        <v>Planned interruption - customer request</v>
      </c>
      <c r="E108" s="100" t="s">
        <v>230</v>
      </c>
      <c r="F108" s="187">
        <f>Inputs_Prices!O191</f>
        <v>132.71</v>
      </c>
      <c r="G108" s="191">
        <f>Inputs_Prices!P71</f>
        <v>135.91999999999999</v>
      </c>
      <c r="H108" s="187">
        <f>Inputs_Prices!Q71</f>
        <v>140.36000000000001</v>
      </c>
      <c r="I108" s="187">
        <f>Inputs_Prices!R71</f>
        <v>145.16</v>
      </c>
      <c r="J108" s="187">
        <f>Inputs_Prices!S71</f>
        <v>150.11000000000001</v>
      </c>
    </row>
    <row r="109" spans="4:10" s="171" customFormat="1" ht="26" x14ac:dyDescent="0.2">
      <c r="D109" s="101" t="str">
        <v>Performance of a statutory right (access prevented)</v>
      </c>
      <c r="E109" s="100" t="s">
        <v>230</v>
      </c>
      <c r="F109" s="187">
        <f>Inputs_Prices!O192</f>
        <v>132.71</v>
      </c>
      <c r="G109" s="191">
        <f>Inputs_Prices!P72</f>
        <v>135.91999999999999</v>
      </c>
      <c r="H109" s="187">
        <f>Inputs_Prices!Q72</f>
        <v>140.36000000000001</v>
      </c>
      <c r="I109" s="187">
        <f>Inputs_Prices!R72</f>
        <v>145.16</v>
      </c>
      <c r="J109" s="187">
        <f>Inputs_Prices!S72</f>
        <v>150.11000000000001</v>
      </c>
    </row>
    <row r="110" spans="4:10" s="171" customFormat="1" ht="26" x14ac:dyDescent="0.2">
      <c r="D110" s="101" t="str">
        <v>Provision of network related training to third parties</v>
      </c>
      <c r="E110" s="100" t="s">
        <v>230</v>
      </c>
      <c r="F110" s="187">
        <f>Inputs_Prices!O193</f>
        <v>87.19</v>
      </c>
      <c r="G110" s="191">
        <f>Inputs_Prices!P73</f>
        <v>89.3</v>
      </c>
      <c r="H110" s="187">
        <f>Inputs_Prices!Q73</f>
        <v>92.21</v>
      </c>
      <c r="I110" s="187">
        <f>Inputs_Prices!R73</f>
        <v>95.36</v>
      </c>
      <c r="J110" s="187">
        <f>Inputs_Prices!S73</f>
        <v>98.61</v>
      </c>
    </row>
    <row r="111" spans="4:10" s="171" customFormat="1" x14ac:dyDescent="0.2">
      <c r="D111" s="101" t="str">
        <v>Non-standard reporting services</v>
      </c>
      <c r="E111" s="100" t="s">
        <v>230</v>
      </c>
      <c r="F111" s="187">
        <f>Inputs_Prices!O194</f>
        <v>87.19</v>
      </c>
      <c r="G111" s="191">
        <f>Inputs_Prices!P74</f>
        <v>89.3</v>
      </c>
      <c r="H111" s="187">
        <f>Inputs_Prices!Q74</f>
        <v>92.21</v>
      </c>
      <c r="I111" s="187">
        <f>Inputs_Prices!R74</f>
        <v>95.36</v>
      </c>
      <c r="J111" s="187">
        <f>Inputs_Prices!S74</f>
        <v>98.61</v>
      </c>
    </row>
    <row r="112" spans="4:10" s="171" customFormat="1" ht="26" x14ac:dyDescent="0.2">
      <c r="D112" s="101" t="str">
        <v xml:space="preserve">Services provided for retailer of last resort event </v>
      </c>
      <c r="E112" s="100" t="s">
        <v>230</v>
      </c>
      <c r="F112" s="187">
        <f>Inputs_Prices!O195</f>
        <v>87.19</v>
      </c>
      <c r="G112" s="191">
        <f>Inputs_Prices!P75</f>
        <v>89.3</v>
      </c>
      <c r="H112" s="187">
        <f>Inputs_Prices!Q75</f>
        <v>92.21</v>
      </c>
      <c r="I112" s="187">
        <f>Inputs_Prices!R75</f>
        <v>95.36</v>
      </c>
      <c r="J112" s="187">
        <f>Inputs_Prices!S75</f>
        <v>98.61</v>
      </c>
    </row>
    <row r="113" spans="2:10" s="171" customFormat="1" ht="26" x14ac:dyDescent="0.2">
      <c r="D113" s="101" t="str">
        <v>Rectification of illegal connections service</v>
      </c>
      <c r="E113" s="100" t="s">
        <v>230</v>
      </c>
      <c r="F113" s="187">
        <f>Inputs_Prices!O196</f>
        <v>132.71</v>
      </c>
      <c r="G113" s="191">
        <f>Inputs_Prices!P76</f>
        <v>135.91999999999999</v>
      </c>
      <c r="H113" s="187">
        <f>Inputs_Prices!Q76</f>
        <v>140.36000000000001</v>
      </c>
      <c r="I113" s="187">
        <f>Inputs_Prices!R76</f>
        <v>145.16</v>
      </c>
      <c r="J113" s="187">
        <f>Inputs_Prices!S76</f>
        <v>150.11000000000001</v>
      </c>
    </row>
    <row r="114" spans="2:10" s="171" customFormat="1" ht="26" x14ac:dyDescent="0.2">
      <c r="D114" s="101" t="str">
        <v>Network changes at customer or retailer's request</v>
      </c>
      <c r="E114" s="100" t="s">
        <v>230</v>
      </c>
      <c r="F114" s="187">
        <f>Inputs_Prices!O197</f>
        <v>132.71</v>
      </c>
      <c r="G114" s="191">
        <f>Inputs_Prices!P77</f>
        <v>135.91999999999999</v>
      </c>
      <c r="H114" s="187">
        <f>Inputs_Prices!Q77</f>
        <v>140.36000000000001</v>
      </c>
      <c r="I114" s="187">
        <f>Inputs_Prices!R77</f>
        <v>145.16</v>
      </c>
      <c r="J114" s="187">
        <f>Inputs_Prices!S77</f>
        <v>150.11000000000001</v>
      </c>
    </row>
    <row r="115" spans="2:10" s="171" customFormat="1" ht="26.5" thickBot="1" x14ac:dyDescent="0.25">
      <c r="D115" s="99" t="str">
        <v>Annual prepayment meter licensing fee *</v>
      </c>
      <c r="E115" s="98" t="s">
        <v>230</v>
      </c>
      <c r="F115" s="188">
        <f>Inputs_Prices!O198</f>
        <v>87.19</v>
      </c>
      <c r="G115" s="192">
        <f>Inputs_Prices!P78</f>
        <v>89.3</v>
      </c>
      <c r="H115" s="188">
        <f>Inputs_Prices!Q78</f>
        <v>92.21</v>
      </c>
      <c r="I115" s="188">
        <f>Inputs_Prices!R78</f>
        <v>95.36</v>
      </c>
      <c r="J115" s="188">
        <f>Inputs_Prices!S78</f>
        <v>98.61</v>
      </c>
    </row>
    <row r="116" spans="2:10" s="171" customFormat="1" ht="14.5" x14ac:dyDescent="0.2">
      <c r="D116" s="189" t="s">
        <v>233</v>
      </c>
      <c r="E116" s="126"/>
      <c r="F116" s="126"/>
    </row>
    <row r="117" spans="2:10" s="171" customFormat="1" x14ac:dyDescent="0.2"/>
    <row r="118" spans="2:10" s="171" customFormat="1" x14ac:dyDescent="0.2"/>
    <row r="119" spans="2:10" s="174" customFormat="1" x14ac:dyDescent="0.2">
      <c r="B119" s="174" t="s">
        <v>272</v>
      </c>
    </row>
    <row r="120" spans="2:10" s="171" customFormat="1" x14ac:dyDescent="0.2"/>
    <row r="121" spans="2:10" s="171" customFormat="1" x14ac:dyDescent="0.2">
      <c r="D121" s="185" t="s">
        <v>265</v>
      </c>
      <c r="E121" s="186" t="s">
        <v>130</v>
      </c>
      <c r="F121" s="186" t="s">
        <v>265</v>
      </c>
      <c r="G121" s="186" t="s">
        <v>265</v>
      </c>
      <c r="H121" s="186" t="s">
        <v>266</v>
      </c>
      <c r="I121" s="186" t="s">
        <v>266</v>
      </c>
      <c r="J121" s="186" t="s">
        <v>266</v>
      </c>
    </row>
    <row r="122" spans="2:10" s="171" customFormat="1" x14ac:dyDescent="0.2">
      <c r="D122" s="185"/>
      <c r="E122" s="186"/>
      <c r="F122" s="186" t="s">
        <v>267</v>
      </c>
      <c r="G122" s="186" t="s">
        <v>268</v>
      </c>
      <c r="H122" s="186" t="s">
        <v>269</v>
      </c>
      <c r="I122" s="186" t="s">
        <v>270</v>
      </c>
      <c r="J122" s="186" t="s">
        <v>271</v>
      </c>
    </row>
    <row r="123" spans="2:10" s="171" customFormat="1" x14ac:dyDescent="0.2">
      <c r="D123" s="101" t="str">
        <f t="array" ref="D123:D149">LU_Fee_Based_Services</f>
        <v>Disconnection (and final read)</v>
      </c>
      <c r="E123" s="100" t="s">
        <v>232</v>
      </c>
      <c r="F123" s="187">
        <f>Inputs_Prices!O154</f>
        <v>66.989999999999995</v>
      </c>
      <c r="G123" s="191">
        <f>Inputs_Prices!P34</f>
        <v>65.349999999999994</v>
      </c>
      <c r="H123" s="187">
        <f>Inputs_Prices!Q34</f>
        <v>64</v>
      </c>
      <c r="I123" s="187">
        <f>Inputs_Prices!R34</f>
        <v>62.64</v>
      </c>
      <c r="J123" s="187">
        <f>Inputs_Prices!S34</f>
        <v>61.24</v>
      </c>
    </row>
    <row r="124" spans="2:10" s="171" customFormat="1" x14ac:dyDescent="0.2">
      <c r="D124" s="101" t="str">
        <v>Reconnection</v>
      </c>
      <c r="E124" s="100" t="s">
        <v>232</v>
      </c>
      <c r="F124" s="187">
        <f>Inputs_Prices!O155</f>
        <v>66.989999999999995</v>
      </c>
      <c r="G124" s="191">
        <f>Inputs_Prices!P35</f>
        <v>65.349999999999994</v>
      </c>
      <c r="H124" s="187">
        <f>Inputs_Prices!Q35</f>
        <v>64</v>
      </c>
      <c r="I124" s="187">
        <f>Inputs_Prices!R35</f>
        <v>62.64</v>
      </c>
      <c r="J124" s="187">
        <f>Inputs_Prices!S35</f>
        <v>61.24</v>
      </c>
    </row>
    <row r="125" spans="2:10" s="171" customFormat="1" x14ac:dyDescent="0.2">
      <c r="D125" s="101" t="str">
        <v>Reconnection - after hours</v>
      </c>
      <c r="E125" s="100" t="s">
        <v>232</v>
      </c>
      <c r="F125" s="187">
        <f>Inputs_Prices!O156</f>
        <v>124.43</v>
      </c>
      <c r="G125" s="191">
        <f>Inputs_Prices!P36</f>
        <v>121.39</v>
      </c>
      <c r="H125" s="187">
        <f>Inputs_Prices!Q36</f>
        <v>118.88</v>
      </c>
      <c r="I125" s="187">
        <f>Inputs_Prices!R36</f>
        <v>116.35</v>
      </c>
      <c r="J125" s="187">
        <f>Inputs_Prices!S36</f>
        <v>113.75</v>
      </c>
    </row>
    <row r="126" spans="2:10" s="171" customFormat="1" ht="39" x14ac:dyDescent="0.2">
      <c r="D126" s="101" t="str">
        <v>Temporary disconnection and reconnection - physical dismantling</v>
      </c>
      <c r="E126" s="100" t="s">
        <v>232</v>
      </c>
      <c r="F126" s="187">
        <f>Inputs_Prices!O157</f>
        <v>737.3</v>
      </c>
      <c r="G126" s="191">
        <f>Inputs_Prices!P37</f>
        <v>755.16</v>
      </c>
      <c r="H126" s="187">
        <f>Inputs_Prices!Q37</f>
        <v>779.8</v>
      </c>
      <c r="I126" s="187">
        <f>Inputs_Prices!R37</f>
        <v>806.48</v>
      </c>
      <c r="J126" s="187">
        <f>Inputs_Prices!S37</f>
        <v>834</v>
      </c>
    </row>
    <row r="127" spans="2:10" s="171" customFormat="1" x14ac:dyDescent="0.2">
      <c r="D127" s="101" t="str">
        <v>Provision of 3 phase service</v>
      </c>
      <c r="E127" s="100" t="s">
        <v>232</v>
      </c>
      <c r="F127" s="187">
        <f>Inputs_Prices!O158</f>
        <v>1400.88</v>
      </c>
      <c r="G127" s="191">
        <f>Inputs_Prices!P38</f>
        <v>1434.81</v>
      </c>
      <c r="H127" s="187">
        <f>Inputs_Prices!Q38</f>
        <v>1481.63</v>
      </c>
      <c r="I127" s="187">
        <f>Inputs_Prices!R38</f>
        <v>1532.31</v>
      </c>
      <c r="J127" s="187">
        <f>Inputs_Prices!S38</f>
        <v>1584.6</v>
      </c>
    </row>
    <row r="128" spans="2:10" s="171" customFormat="1" ht="26" x14ac:dyDescent="0.2">
      <c r="D128" s="101" t="str">
        <v>Standard temporary builder’s connection</v>
      </c>
      <c r="E128" s="100" t="s">
        <v>232</v>
      </c>
      <c r="F128" s="187">
        <f>Inputs_Prices!O159</f>
        <v>657.68</v>
      </c>
      <c r="G128" s="191">
        <f>Inputs_Prices!P39</f>
        <v>673.61</v>
      </c>
      <c r="H128" s="187">
        <f>Inputs_Prices!Q39</f>
        <v>695.59</v>
      </c>
      <c r="I128" s="187">
        <f>Inputs_Prices!R39</f>
        <v>719.39</v>
      </c>
      <c r="J128" s="187">
        <f>Inputs_Prices!S39</f>
        <v>743.94</v>
      </c>
    </row>
    <row r="129" spans="4:10" s="171" customFormat="1" ht="26" x14ac:dyDescent="0.2">
      <c r="D129" s="101" t="str">
        <v>Temporary disconnection and reconnection - no dismantling</v>
      </c>
      <c r="E129" s="100" t="s">
        <v>232</v>
      </c>
      <c r="F129" s="187">
        <f>Inputs_Prices!O160</f>
        <v>286.07</v>
      </c>
      <c r="G129" s="191">
        <f>Inputs_Prices!P40</f>
        <v>293</v>
      </c>
      <c r="H129" s="187">
        <f>Inputs_Prices!Q40</f>
        <v>302.56</v>
      </c>
      <c r="I129" s="187">
        <f>Inputs_Prices!R40</f>
        <v>312.91000000000003</v>
      </c>
      <c r="J129" s="187">
        <f>Inputs_Prices!S40</f>
        <v>323.58999999999997</v>
      </c>
    </row>
    <row r="130" spans="4:10" s="171" customFormat="1" x14ac:dyDescent="0.2">
      <c r="D130" s="101" t="str">
        <v>Complex disconnection</v>
      </c>
      <c r="E130" s="100" t="s">
        <v>232</v>
      </c>
      <c r="F130" s="187">
        <f>Inputs_Prices!O161</f>
        <v>312.62</v>
      </c>
      <c r="G130" s="191">
        <f>Inputs_Prices!P41</f>
        <v>320.19</v>
      </c>
      <c r="H130" s="187">
        <f>Inputs_Prices!Q41</f>
        <v>330.64</v>
      </c>
      <c r="I130" s="187">
        <f>Inputs_Prices!R41</f>
        <v>341.95</v>
      </c>
      <c r="J130" s="187">
        <f>Inputs_Prices!S41</f>
        <v>353.62</v>
      </c>
    </row>
    <row r="131" spans="4:10" s="171" customFormat="1" x14ac:dyDescent="0.2">
      <c r="D131" s="101" t="str">
        <v>Wasted visit fee</v>
      </c>
      <c r="E131" s="100" t="s">
        <v>232</v>
      </c>
      <c r="F131" s="187">
        <f>Inputs_Prices!O162</f>
        <v>153.36000000000001</v>
      </c>
      <c r="G131" s="191">
        <f>Inputs_Prices!P42</f>
        <v>157.07</v>
      </c>
      <c r="H131" s="187">
        <f>Inputs_Prices!Q42</f>
        <v>162.19999999999999</v>
      </c>
      <c r="I131" s="187">
        <f>Inputs_Prices!R42</f>
        <v>167.75</v>
      </c>
      <c r="J131" s="187">
        <f>Inputs_Prices!S42</f>
        <v>173.47</v>
      </c>
    </row>
    <row r="132" spans="4:10" s="171" customFormat="1" x14ac:dyDescent="0.2">
      <c r="D132" s="101" t="str">
        <v>Special meter test</v>
      </c>
      <c r="E132" s="100" t="s">
        <v>232</v>
      </c>
      <c r="F132" s="187">
        <f>Inputs_Prices!O163</f>
        <v>299.35000000000002</v>
      </c>
      <c r="G132" s="191">
        <f>Inputs_Prices!P43</f>
        <v>306.60000000000002</v>
      </c>
      <c r="H132" s="187">
        <f>Inputs_Prices!Q43</f>
        <v>316.61</v>
      </c>
      <c r="I132" s="187">
        <f>Inputs_Prices!R43</f>
        <v>327.44</v>
      </c>
      <c r="J132" s="187">
        <f>Inputs_Prices!S43</f>
        <v>338.61</v>
      </c>
    </row>
    <row r="133" spans="4:10" s="171" customFormat="1" ht="26" x14ac:dyDescent="0.2">
      <c r="D133" s="101" t="str">
        <v>Exchange or replace meter – three phase</v>
      </c>
      <c r="E133" s="100" t="s">
        <v>232</v>
      </c>
      <c r="F133" s="187">
        <f>Inputs_Prices!O164</f>
        <v>660.39</v>
      </c>
      <c r="G133" s="191">
        <f>Inputs_Prices!P44</f>
        <v>676.38</v>
      </c>
      <c r="H133" s="187">
        <f>Inputs_Prices!Q44</f>
        <v>698.45</v>
      </c>
      <c r="I133" s="187">
        <f>Inputs_Prices!R44</f>
        <v>722.34</v>
      </c>
      <c r="J133" s="187">
        <f>Inputs_Prices!S44</f>
        <v>746.99</v>
      </c>
    </row>
    <row r="134" spans="4:10" s="171" customFormat="1" ht="26" x14ac:dyDescent="0.2">
      <c r="D134" s="101" t="str">
        <v>Exchange or replace meter - single phase</v>
      </c>
      <c r="E134" s="100" t="s">
        <v>232</v>
      </c>
      <c r="F134" s="187">
        <f>Inputs_Prices!O165</f>
        <v>552.87</v>
      </c>
      <c r="G134" s="191">
        <f>Inputs_Prices!P45</f>
        <v>566.26</v>
      </c>
      <c r="H134" s="187">
        <f>Inputs_Prices!Q45</f>
        <v>584.74</v>
      </c>
      <c r="I134" s="187">
        <f>Inputs_Prices!R45</f>
        <v>604.74</v>
      </c>
      <c r="J134" s="187">
        <f>Inputs_Prices!S45</f>
        <v>625.38</v>
      </c>
    </row>
    <row r="135" spans="4:10" s="171" customFormat="1" x14ac:dyDescent="0.2">
      <c r="D135" s="101" t="str">
        <v>Relocation of meter</v>
      </c>
      <c r="E135" s="100" t="s">
        <v>232</v>
      </c>
      <c r="F135" s="187">
        <f>Inputs_Prices!O166</f>
        <v>312.62</v>
      </c>
      <c r="G135" s="191">
        <f>Inputs_Prices!P46</f>
        <v>320.19</v>
      </c>
      <c r="H135" s="187">
        <f>Inputs_Prices!Q46</f>
        <v>330.64</v>
      </c>
      <c r="I135" s="187">
        <f>Inputs_Prices!R46</f>
        <v>341.95</v>
      </c>
      <c r="J135" s="187">
        <f>Inputs_Prices!S46</f>
        <v>353.62</v>
      </c>
    </row>
    <row r="136" spans="4:10" s="171" customFormat="1" x14ac:dyDescent="0.2">
      <c r="D136" s="101" t="str">
        <v>Remove meter</v>
      </c>
      <c r="E136" s="100" t="s">
        <v>232</v>
      </c>
      <c r="F136" s="187">
        <f>Inputs_Prices!O167</f>
        <v>312.62</v>
      </c>
      <c r="G136" s="191">
        <f>Inputs_Prices!P47</f>
        <v>320.19</v>
      </c>
      <c r="H136" s="187">
        <f>Inputs_Prices!Q47</f>
        <v>330.64</v>
      </c>
      <c r="I136" s="187">
        <f>Inputs_Prices!R47</f>
        <v>341.95</v>
      </c>
      <c r="J136" s="187">
        <f>Inputs_Prices!S47</f>
        <v>353.62</v>
      </c>
    </row>
    <row r="137" spans="4:10" s="171" customFormat="1" x14ac:dyDescent="0.2">
      <c r="D137" s="101" t="str">
        <v>General meter inspection</v>
      </c>
      <c r="E137" s="100" t="s">
        <v>232</v>
      </c>
      <c r="F137" s="187">
        <f>Inputs_Prices!O168</f>
        <v>140.09</v>
      </c>
      <c r="G137" s="191">
        <f>Inputs_Prices!P48</f>
        <v>143.47999999999999</v>
      </c>
      <c r="H137" s="187">
        <f>Inputs_Prices!Q48</f>
        <v>148.16</v>
      </c>
      <c r="I137" s="187">
        <f>Inputs_Prices!R48</f>
        <v>153.22999999999999</v>
      </c>
      <c r="J137" s="187">
        <f>Inputs_Prices!S48</f>
        <v>158.46</v>
      </c>
    </row>
    <row r="138" spans="4:10" s="171" customFormat="1" ht="26" x14ac:dyDescent="0.2">
      <c r="D138" s="101" t="str">
        <v>Special meter read - no appointment</v>
      </c>
      <c r="E138" s="100" t="s">
        <v>232</v>
      </c>
      <c r="F138" s="187">
        <f>Inputs_Prices!O169</f>
        <v>35.6</v>
      </c>
      <c r="G138" s="191">
        <f>Inputs_Prices!P49</f>
        <v>36.46</v>
      </c>
      <c r="H138" s="187">
        <f>Inputs_Prices!Q49</f>
        <v>37.65</v>
      </c>
      <c r="I138" s="187">
        <f>Inputs_Prices!R49</f>
        <v>38.94</v>
      </c>
      <c r="J138" s="187">
        <f>Inputs_Prices!S49</f>
        <v>40.270000000000003</v>
      </c>
    </row>
    <row r="139" spans="4:10" s="171" customFormat="1" ht="26" x14ac:dyDescent="0.2">
      <c r="D139" s="101" t="str">
        <v>Special meter read - appointment</v>
      </c>
      <c r="E139" s="100" t="s">
        <v>232</v>
      </c>
      <c r="F139" s="187">
        <f>Inputs_Prices!O170</f>
        <v>77</v>
      </c>
      <c r="G139" s="191">
        <f>Inputs_Prices!P50</f>
        <v>78.86</v>
      </c>
      <c r="H139" s="187">
        <f>Inputs_Prices!Q50</f>
        <v>81.430000000000007</v>
      </c>
      <c r="I139" s="187">
        <f>Inputs_Prices!R50</f>
        <v>84.22</v>
      </c>
      <c r="J139" s="187">
        <f>Inputs_Prices!S50</f>
        <v>87.09</v>
      </c>
    </row>
    <row r="140" spans="4:10" s="171" customFormat="1" x14ac:dyDescent="0.2">
      <c r="D140" s="101" t="str">
        <v>Class 3 PV Assessment</v>
      </c>
      <c r="E140" s="100" t="s">
        <v>232</v>
      </c>
      <c r="F140" s="187">
        <f>Inputs_Prices!O171</f>
        <v>1187.82</v>
      </c>
      <c r="G140" s="191">
        <f>Inputs_Prices!P51</f>
        <v>1216.5899999999999</v>
      </c>
      <c r="H140" s="187">
        <f>Inputs_Prices!Q51</f>
        <v>1256.29</v>
      </c>
      <c r="I140" s="187">
        <f>Inputs_Prices!R51</f>
        <v>1299.27</v>
      </c>
      <c r="J140" s="187">
        <f>Inputs_Prices!S51</f>
        <v>1343.61</v>
      </c>
    </row>
    <row r="141" spans="4:10" s="171" customFormat="1" x14ac:dyDescent="0.2">
      <c r="D141" s="101" t="str">
        <v>Meter program change</v>
      </c>
      <c r="E141" s="100" t="s">
        <v>232</v>
      </c>
      <c r="F141" s="187">
        <f>Inputs_Prices!O172</f>
        <v>161.61000000000001</v>
      </c>
      <c r="G141" s="191">
        <f>Inputs_Prices!P52</f>
        <v>165.52</v>
      </c>
      <c r="H141" s="187">
        <f>Inputs_Prices!Q52</f>
        <v>170.92</v>
      </c>
      <c r="I141" s="187">
        <f>Inputs_Prices!R52</f>
        <v>176.77</v>
      </c>
      <c r="J141" s="187">
        <f>Inputs_Prices!S52</f>
        <v>182.8</v>
      </c>
    </row>
    <row r="142" spans="4:10" s="171" customFormat="1" x14ac:dyDescent="0.2">
      <c r="D142" s="101" t="str">
        <v>Historical data requests</v>
      </c>
      <c r="E142" s="100" t="s">
        <v>232</v>
      </c>
      <c r="F142" s="187">
        <f>Inputs_Prices!O173</f>
        <v>197.14</v>
      </c>
      <c r="G142" s="191">
        <f>Inputs_Prices!P53</f>
        <v>201.91</v>
      </c>
      <c r="H142" s="187">
        <f>Inputs_Prices!Q53</f>
        <v>208.5</v>
      </c>
      <c r="I142" s="187">
        <f>Inputs_Prices!R53</f>
        <v>215.63</v>
      </c>
      <c r="J142" s="187">
        <f>Inputs_Prices!S53</f>
        <v>222.99</v>
      </c>
    </row>
    <row r="143" spans="4:10" s="171" customFormat="1" x14ac:dyDescent="0.2">
      <c r="D143" s="101" t="str">
        <v>Standing data requests</v>
      </c>
      <c r="E143" s="100" t="s">
        <v>232</v>
      </c>
      <c r="F143" s="187">
        <f>Inputs_Prices!O174</f>
        <v>43.59</v>
      </c>
      <c r="G143" s="191">
        <f>Inputs_Prices!P54</f>
        <v>44.65</v>
      </c>
      <c r="H143" s="187">
        <f>Inputs_Prices!Q54</f>
        <v>46.11</v>
      </c>
      <c r="I143" s="187">
        <f>Inputs_Prices!R54</f>
        <v>47.69</v>
      </c>
      <c r="J143" s="187">
        <f>Inputs_Prices!S54</f>
        <v>49.32</v>
      </c>
    </row>
    <row r="144" spans="4:10" s="171" customFormat="1" x14ac:dyDescent="0.2">
      <c r="D144" s="101" t="str">
        <v>Customer transfers</v>
      </c>
      <c r="E144" s="100" t="s">
        <v>232</v>
      </c>
      <c r="F144" s="187">
        <f>Inputs_Prices!O175</f>
        <v>174.37</v>
      </c>
      <c r="G144" s="191">
        <f>Inputs_Prices!P55</f>
        <v>178.59</v>
      </c>
      <c r="H144" s="187">
        <f>Inputs_Prices!Q55</f>
        <v>184.42</v>
      </c>
      <c r="I144" s="187">
        <f>Inputs_Prices!R55</f>
        <v>190.73</v>
      </c>
      <c r="J144" s="187">
        <f>Inputs_Prices!S55</f>
        <v>197.24</v>
      </c>
    </row>
    <row r="145" spans="2:10" s="171" customFormat="1" x14ac:dyDescent="0.2">
      <c r="D145" s="101" t="str">
        <v>Network tariff change request</v>
      </c>
      <c r="E145" s="100" t="s">
        <v>232</v>
      </c>
      <c r="F145" s="187">
        <f>Inputs_Prices!O176</f>
        <v>43.59</v>
      </c>
      <c r="G145" s="191">
        <f>Inputs_Prices!P56</f>
        <v>44.65</v>
      </c>
      <c r="H145" s="187">
        <f>Inputs_Prices!Q56</f>
        <v>46.11</v>
      </c>
      <c r="I145" s="187">
        <f>Inputs_Prices!R56</f>
        <v>47.69</v>
      </c>
      <c r="J145" s="187">
        <f>Inputs_Prices!S56</f>
        <v>49.32</v>
      </c>
    </row>
    <row r="146" spans="2:10" s="171" customFormat="1" x14ac:dyDescent="0.2">
      <c r="D146" s="101" t="str">
        <v>Prepayment Vending Charge</v>
      </c>
      <c r="E146" s="100" t="s">
        <v>232</v>
      </c>
      <c r="F146" s="187">
        <f>Inputs_Prices!O177</f>
        <v>0.48</v>
      </c>
      <c r="G146" s="191">
        <f>Inputs_Prices!P57</f>
        <v>0.49</v>
      </c>
      <c r="H146" s="187">
        <f>Inputs_Prices!Q57</f>
        <v>0.51</v>
      </c>
      <c r="I146" s="187">
        <f>Inputs_Prices!R57</f>
        <v>0.53</v>
      </c>
      <c r="J146" s="187">
        <f>Inputs_Prices!S57</f>
        <v>0.55000000000000004</v>
      </c>
    </row>
    <row r="147" spans="2:10" s="171" customFormat="1" ht="26" x14ac:dyDescent="0.2">
      <c r="D147" s="101" t="str">
        <v>Prepayment Meter Support Charge</v>
      </c>
      <c r="E147" s="100" t="s">
        <v>232</v>
      </c>
      <c r="F147" s="187">
        <f>Inputs_Prices!O178</f>
        <v>66.36</v>
      </c>
      <c r="G147" s="191">
        <f>Inputs_Prices!P58</f>
        <v>67.97</v>
      </c>
      <c r="H147" s="187">
        <f>Inputs_Prices!Q58</f>
        <v>70.19</v>
      </c>
      <c r="I147" s="187">
        <f>Inputs_Prices!R58</f>
        <v>72.59</v>
      </c>
      <c r="J147" s="187">
        <f>Inputs_Prices!S58</f>
        <v>75.069999999999993</v>
      </c>
    </row>
    <row r="148" spans="2:10" s="171" customFormat="1" x14ac:dyDescent="0.2">
      <c r="D148" s="101" t="str">
        <v xml:space="preserve">Installation of Minor Apparatus </v>
      </c>
      <c r="E148" s="100" t="s">
        <v>232</v>
      </c>
      <c r="F148" s="187">
        <f>Inputs_Prices!O179</f>
        <v>624.5</v>
      </c>
      <c r="G148" s="191">
        <f>Inputs_Prices!P59</f>
        <v>639.62</v>
      </c>
      <c r="H148" s="187">
        <f>Inputs_Prices!Q59</f>
        <v>660.49</v>
      </c>
      <c r="I148" s="187">
        <f>Inputs_Prices!R59</f>
        <v>683.08</v>
      </c>
      <c r="J148" s="187">
        <f>Inputs_Prices!S59</f>
        <v>706.39</v>
      </c>
    </row>
    <row r="149" spans="2:10" s="171" customFormat="1" ht="13.5" thickBot="1" x14ac:dyDescent="0.25">
      <c r="D149" s="99" t="str">
        <v>Class 1 &amp; 2 PV service</v>
      </c>
      <c r="E149" s="98" t="s">
        <v>232</v>
      </c>
      <c r="F149" s="188">
        <f>Inputs_Prices!O180</f>
        <v>87.19</v>
      </c>
      <c r="G149" s="192">
        <f>Inputs_Prices!P60</f>
        <v>89.3</v>
      </c>
      <c r="H149" s="188">
        <f>Inputs_Prices!Q60</f>
        <v>92.21</v>
      </c>
      <c r="I149" s="188">
        <f>Inputs_Prices!R60</f>
        <v>95.36</v>
      </c>
      <c r="J149" s="188">
        <f>Inputs_Prices!S60</f>
        <v>98.61</v>
      </c>
    </row>
    <row r="150" spans="2:10" s="171" customFormat="1" x14ac:dyDescent="0.2"/>
    <row r="151" spans="2:10" s="171" customFormat="1" x14ac:dyDescent="0.2"/>
    <row r="152" spans="2:10" s="97" customFormat="1" x14ac:dyDescent="0.2">
      <c r="B152" s="97" t="s">
        <v>33</v>
      </c>
    </row>
    <row r="153" spans="2:10" x14ac:dyDescent="0.2">
      <c r="B153" s="96" t="s">
        <v>131</v>
      </c>
    </row>
  </sheetData>
  <mergeCells count="3">
    <mergeCell ref="F25:G25"/>
    <mergeCell ref="F34:G34"/>
    <mergeCell ref="F56:G56"/>
  </mergeCells>
  <conditionalFormatting sqref="B2">
    <cfRule type="cellIs" dxfId="2" priority="4" operator="notEqual">
      <formula>"No Errors Found"</formula>
    </cfRule>
  </conditionalFormatting>
  <hyperlinks>
    <hyperlink ref="B3:D3" location="Cover!A1" display="Go to Cover Sheet"/>
  </hyperlink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Lookup!$P$20:$S$20</xm:f>
          </x14:formula1>
          <xm:sqref>H10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62"/>
  <sheetViews>
    <sheetView showGridLines="0" workbookViewId="0">
      <pane ySplit="5" topLeftCell="A23" activePane="bottomLeft" state="frozen"/>
      <selection pane="bottomLeft" activeCell="E82" sqref="E82"/>
    </sheetView>
  </sheetViews>
  <sheetFormatPr defaultColWidth="9.33203125" defaultRowHeight="10" outlineLevelRow="1" x14ac:dyDescent="0.2"/>
  <cols>
    <col min="1" max="3" width="2.77734375" style="1" customWidth="1"/>
    <col min="4" max="4" width="34" style="1" customWidth="1"/>
    <col min="5" max="6" width="30.77734375" style="1" customWidth="1"/>
    <col min="7" max="9" width="10.77734375" style="1" customWidth="1"/>
    <col min="10" max="19" width="12.77734375" style="1" customWidth="1"/>
    <col min="20" max="20" width="10.77734375" style="1" customWidth="1"/>
    <col min="21" max="22" width="12.77734375" style="1" customWidth="1"/>
    <col min="23" max="26" width="10.77734375" style="1" customWidth="1"/>
    <col min="27" max="16379" width="9.33203125" style="1"/>
    <col min="16380" max="16381" width="34.44140625" style="1" bestFit="1" customWidth="1"/>
    <col min="16382" max="16384" width="9.33203125" style="1"/>
  </cols>
  <sheetData>
    <row r="1" spans="1:22" ht="19" x14ac:dyDescent="0.2">
      <c r="A1" s="67">
        <f>IF(SUM($A6:$A162)&gt;0,1,0)</f>
        <v>0</v>
      </c>
      <c r="B1" s="5" t="s">
        <v>46</v>
      </c>
    </row>
    <row r="2" spans="1:22" x14ac:dyDescent="0.2">
      <c r="B2" s="18" t="str">
        <f ca="1">Title_Msg</f>
        <v>No Errors Found</v>
      </c>
    </row>
    <row r="3" spans="1:22" s="7" customFormat="1" x14ac:dyDescent="0.2">
      <c r="B3" s="57" t="str">
        <f>TOC!B1</f>
        <v>Table of Contents</v>
      </c>
      <c r="C3" s="51"/>
      <c r="D3" s="51"/>
      <c r="E3" s="51"/>
    </row>
    <row r="4" spans="1:22" s="7" customFormat="1" ht="13" x14ac:dyDescent="0.2">
      <c r="B4" s="48" t="str">
        <f>Model_Name</f>
        <v>ACS Pricing Model - Power and Water Corporation</v>
      </c>
    </row>
    <row r="5" spans="1:22" s="7" customFormat="1" x14ac:dyDescent="0.2"/>
    <row r="6" spans="1:22" s="4" customFormat="1" ht="15.5" x14ac:dyDescent="0.2">
      <c r="B6" s="4" t="s">
        <v>31</v>
      </c>
    </row>
    <row r="7" spans="1:22" s="2" customFormat="1" ht="6.75" customHeight="1" x14ac:dyDescent="0.2"/>
    <row r="8" spans="1:22" s="13" customFormat="1" ht="14" x14ac:dyDescent="0.2">
      <c r="C8" s="13" t="s">
        <v>59</v>
      </c>
    </row>
    <row r="9" spans="1:22" s="2" customFormat="1" x14ac:dyDescent="0.2">
      <c r="D9" s="3"/>
    </row>
    <row r="10" spans="1:22" s="6" customFormat="1" ht="12.5" x14ac:dyDescent="0.2">
      <c r="D10" s="16" t="s">
        <v>58</v>
      </c>
      <c r="E10" s="58">
        <v>41821</v>
      </c>
    </row>
    <row r="11" spans="1:22" s="7" customFormat="1" ht="12.5" x14ac:dyDescent="0.2">
      <c r="D11" s="16" t="s">
        <v>61</v>
      </c>
      <c r="E11" s="17">
        <v>2018</v>
      </c>
      <c r="L11" s="22"/>
      <c r="M11" s="23"/>
      <c r="N11" s="23"/>
      <c r="O11" s="23"/>
    </row>
    <row r="12" spans="1:22" s="7" customFormat="1" x14ac:dyDescent="0.2">
      <c r="L12" s="22"/>
      <c r="M12" s="23"/>
      <c r="N12" s="23"/>
      <c r="O12" s="23"/>
    </row>
    <row r="13" spans="1:22" s="13" customFormat="1" ht="14" x14ac:dyDescent="0.2">
      <c r="C13" s="13" t="s">
        <v>60</v>
      </c>
    </row>
    <row r="14" spans="1:22" s="7" customFormat="1" x14ac:dyDescent="0.2">
      <c r="L14" s="22"/>
      <c r="M14" s="23"/>
      <c r="N14" s="23"/>
      <c r="O14" s="23"/>
    </row>
    <row r="15" spans="1:22" s="7" customFormat="1" ht="12.5" hidden="1" outlineLevel="1" x14ac:dyDescent="0.2">
      <c r="B15" s="16" t="s">
        <v>56</v>
      </c>
      <c r="J15" s="59">
        <f t="shared" ref="J15:S15" si="0">IF(J17=1,Model_Start_Date,I16+1)</f>
        <v>41821</v>
      </c>
      <c r="K15" s="59">
        <f t="shared" si="0"/>
        <v>42186</v>
      </c>
      <c r="L15" s="59">
        <f t="shared" si="0"/>
        <v>42552</v>
      </c>
      <c r="M15" s="59">
        <f t="shared" si="0"/>
        <v>42917</v>
      </c>
      <c r="N15" s="59">
        <f t="shared" si="0"/>
        <v>43282</v>
      </c>
      <c r="O15" s="59">
        <f t="shared" si="0"/>
        <v>43647</v>
      </c>
      <c r="P15" s="59">
        <f t="shared" si="0"/>
        <v>44013</v>
      </c>
      <c r="Q15" s="59">
        <f t="shared" si="0"/>
        <v>44378</v>
      </c>
      <c r="R15" s="59">
        <f t="shared" si="0"/>
        <v>44743</v>
      </c>
      <c r="S15" s="59">
        <f t="shared" si="0"/>
        <v>45108</v>
      </c>
      <c r="U15" s="134"/>
      <c r="V15" s="134"/>
    </row>
    <row r="16" spans="1:22" s="7" customFormat="1" ht="12.5" hidden="1" outlineLevel="1" x14ac:dyDescent="0.2">
      <c r="B16" s="16" t="s">
        <v>57</v>
      </c>
      <c r="J16" s="59">
        <f t="shared" ref="J16:S16" si="1">EOMONTH(J15,Mths_In_Yr-1)</f>
        <v>42185</v>
      </c>
      <c r="K16" s="59">
        <f t="shared" si="1"/>
        <v>42551</v>
      </c>
      <c r="L16" s="59">
        <f t="shared" si="1"/>
        <v>42916</v>
      </c>
      <c r="M16" s="59">
        <f t="shared" si="1"/>
        <v>43281</v>
      </c>
      <c r="N16" s="59">
        <f t="shared" si="1"/>
        <v>43646</v>
      </c>
      <c r="O16" s="59">
        <f t="shared" si="1"/>
        <v>44012</v>
      </c>
      <c r="P16" s="59">
        <f t="shared" si="1"/>
        <v>44377</v>
      </c>
      <c r="Q16" s="59">
        <f t="shared" si="1"/>
        <v>44742</v>
      </c>
      <c r="R16" s="59">
        <f t="shared" si="1"/>
        <v>45107</v>
      </c>
      <c r="S16" s="59">
        <f t="shared" si="1"/>
        <v>45473</v>
      </c>
      <c r="U16" s="134"/>
      <c r="V16" s="134"/>
    </row>
    <row r="17" spans="2:22" s="7" customFormat="1" ht="12.5" hidden="1" outlineLevel="1" x14ac:dyDescent="0.2">
      <c r="B17" s="16" t="s">
        <v>55</v>
      </c>
      <c r="J17" s="27">
        <f>N(I17)+1</f>
        <v>1</v>
      </c>
      <c r="K17" s="27">
        <f t="shared" ref="K17:S17" si="2">N(J17)+1</f>
        <v>2</v>
      </c>
      <c r="L17" s="27">
        <f t="shared" si="2"/>
        <v>3</v>
      </c>
      <c r="M17" s="27">
        <f t="shared" si="2"/>
        <v>4</v>
      </c>
      <c r="N17" s="27">
        <f t="shared" si="2"/>
        <v>5</v>
      </c>
      <c r="O17" s="27">
        <f t="shared" si="2"/>
        <v>6</v>
      </c>
      <c r="P17" s="27">
        <f t="shared" si="2"/>
        <v>7</v>
      </c>
      <c r="Q17" s="27">
        <f t="shared" si="2"/>
        <v>8</v>
      </c>
      <c r="R17" s="27">
        <f t="shared" si="2"/>
        <v>9</v>
      </c>
      <c r="S17" s="27">
        <f t="shared" si="2"/>
        <v>10</v>
      </c>
      <c r="U17" s="134"/>
      <c r="V17" s="134"/>
    </row>
    <row r="18" spans="2:22" s="7" customFormat="1" ht="12.5" hidden="1" outlineLevel="1" x14ac:dyDescent="0.2">
      <c r="B18" s="16" t="s">
        <v>62</v>
      </c>
      <c r="J18" s="12">
        <f t="shared" ref="J18:S18" si="3">YEAR(J16)</f>
        <v>2015</v>
      </c>
      <c r="K18" s="12">
        <f t="shared" si="3"/>
        <v>2016</v>
      </c>
      <c r="L18" s="12">
        <f t="shared" si="3"/>
        <v>2017</v>
      </c>
      <c r="M18" s="12">
        <f t="shared" si="3"/>
        <v>2018</v>
      </c>
      <c r="N18" s="12">
        <f t="shared" si="3"/>
        <v>2019</v>
      </c>
      <c r="O18" s="12">
        <f t="shared" si="3"/>
        <v>2020</v>
      </c>
      <c r="P18" s="12">
        <f t="shared" si="3"/>
        <v>2021</v>
      </c>
      <c r="Q18" s="12">
        <f t="shared" si="3"/>
        <v>2022</v>
      </c>
      <c r="R18" s="12">
        <f t="shared" si="3"/>
        <v>2023</v>
      </c>
      <c r="S18" s="12">
        <f t="shared" si="3"/>
        <v>2024</v>
      </c>
      <c r="U18" s="134"/>
      <c r="V18" s="134"/>
    </row>
    <row r="19" spans="2:22" s="134" customFormat="1" ht="12.5" hidden="1" outlineLevel="1" x14ac:dyDescent="0.2">
      <c r="B19" s="140" t="s">
        <v>226</v>
      </c>
      <c r="J19" s="123">
        <f t="shared" ref="J19:S19" si="4">J16-J15+1</f>
        <v>365</v>
      </c>
      <c r="K19" s="123">
        <f t="shared" si="4"/>
        <v>366</v>
      </c>
      <c r="L19" s="123">
        <f t="shared" si="4"/>
        <v>365</v>
      </c>
      <c r="M19" s="123">
        <f t="shared" si="4"/>
        <v>365</v>
      </c>
      <c r="N19" s="123">
        <f t="shared" si="4"/>
        <v>365</v>
      </c>
      <c r="O19" s="123">
        <f t="shared" si="4"/>
        <v>366</v>
      </c>
      <c r="P19" s="123">
        <f t="shared" si="4"/>
        <v>365</v>
      </c>
      <c r="Q19" s="123">
        <f t="shared" si="4"/>
        <v>365</v>
      </c>
      <c r="R19" s="123">
        <f t="shared" si="4"/>
        <v>365</v>
      </c>
      <c r="S19" s="123">
        <f t="shared" si="4"/>
        <v>366</v>
      </c>
    </row>
    <row r="20" spans="2:22" s="7" customFormat="1" ht="13" collapsed="1" x14ac:dyDescent="0.2">
      <c r="B20" s="14" t="s">
        <v>120</v>
      </c>
      <c r="E20" s="19" t="s">
        <v>64</v>
      </c>
      <c r="F20" s="19" t="s">
        <v>65</v>
      </c>
      <c r="G20" s="19" t="s">
        <v>66</v>
      </c>
      <c r="H20" s="19" t="s">
        <v>67</v>
      </c>
      <c r="J20" s="60" t="str">
        <f>"FY"&amp;RIGHT(J18,2)</f>
        <v>FY15</v>
      </c>
      <c r="K20" s="60" t="str">
        <f t="shared" ref="K20:S20" si="5">"FY"&amp;RIGHT(K18,2)</f>
        <v>FY16</v>
      </c>
      <c r="L20" s="60" t="str">
        <f t="shared" si="5"/>
        <v>FY17</v>
      </c>
      <c r="M20" s="60" t="str">
        <f t="shared" si="5"/>
        <v>FY18</v>
      </c>
      <c r="N20" s="60" t="str">
        <f t="shared" si="5"/>
        <v>FY19</v>
      </c>
      <c r="O20" s="60" t="str">
        <f t="shared" si="5"/>
        <v>FY20</v>
      </c>
      <c r="P20" s="60" t="str">
        <f t="shared" si="5"/>
        <v>FY21</v>
      </c>
      <c r="Q20" s="60" t="str">
        <f t="shared" si="5"/>
        <v>FY22</v>
      </c>
      <c r="R20" s="60" t="str">
        <f t="shared" si="5"/>
        <v>FY23</v>
      </c>
      <c r="S20" s="60" t="str">
        <f t="shared" si="5"/>
        <v>FY24</v>
      </c>
      <c r="U20" s="134"/>
      <c r="V20" s="134"/>
    </row>
    <row r="21" spans="2:22" s="7" customFormat="1" x14ac:dyDescent="0.2">
      <c r="L21" s="22"/>
      <c r="M21" s="23"/>
      <c r="N21" s="23"/>
      <c r="O21" s="23"/>
    </row>
    <row r="22" spans="2:22" s="4" customFormat="1" ht="15.5" x14ac:dyDescent="0.2">
      <c r="B22" s="4" t="s">
        <v>46</v>
      </c>
    </row>
    <row r="23" spans="2:22" s="7" customFormat="1" x14ac:dyDescent="0.2">
      <c r="L23" s="22"/>
      <c r="M23" s="23"/>
      <c r="N23" s="23"/>
      <c r="O23" s="23"/>
    </row>
    <row r="24" spans="2:22" ht="13" x14ac:dyDescent="0.2">
      <c r="C24" s="8" t="s">
        <v>0</v>
      </c>
      <c r="E24" s="19" t="s">
        <v>1</v>
      </c>
    </row>
    <row r="25" spans="2:22" x14ac:dyDescent="0.2">
      <c r="E25" s="20"/>
    </row>
    <row r="26" spans="2:22" ht="12.5" x14ac:dyDescent="0.2">
      <c r="D26" s="17">
        <v>1</v>
      </c>
      <c r="E26" s="21" t="s">
        <v>2</v>
      </c>
    </row>
    <row r="27" spans="2:22" ht="12.5" x14ac:dyDescent="0.2">
      <c r="D27" s="17">
        <v>3</v>
      </c>
      <c r="E27" s="21" t="s">
        <v>3</v>
      </c>
    </row>
    <row r="28" spans="2:22" s="7" customFormat="1" ht="12.5" x14ac:dyDescent="0.2">
      <c r="D28" s="17">
        <v>4</v>
      </c>
      <c r="E28" s="21" t="s">
        <v>34</v>
      </c>
    </row>
    <row r="29" spans="2:22" ht="12.5" x14ac:dyDescent="0.2">
      <c r="D29" s="17">
        <v>12</v>
      </c>
      <c r="E29" s="21" t="s">
        <v>4</v>
      </c>
    </row>
    <row r="30" spans="2:22" s="7" customFormat="1" ht="12.5" x14ac:dyDescent="0.2">
      <c r="D30" s="17">
        <v>7</v>
      </c>
      <c r="E30" s="21" t="s">
        <v>13</v>
      </c>
    </row>
    <row r="31" spans="2:22" s="7" customFormat="1" ht="12.5" x14ac:dyDescent="0.2">
      <c r="D31" s="17">
        <v>365</v>
      </c>
      <c r="E31" s="21" t="s">
        <v>47</v>
      </c>
    </row>
    <row r="32" spans="2:22" s="7" customFormat="1" ht="12.5" x14ac:dyDescent="0.2">
      <c r="D32" s="17">
        <v>0.5</v>
      </c>
      <c r="E32" s="21" t="s">
        <v>8</v>
      </c>
    </row>
    <row r="33" spans="3:5" s="7" customFormat="1" ht="12.5" x14ac:dyDescent="0.2">
      <c r="D33" s="17">
        <v>0.01</v>
      </c>
      <c r="E33" s="21" t="s">
        <v>108</v>
      </c>
    </row>
    <row r="34" spans="3:5" s="7" customFormat="1" ht="12.5" x14ac:dyDescent="0.2">
      <c r="D34" s="17">
        <v>1E-3</v>
      </c>
      <c r="E34" s="21" t="s">
        <v>107</v>
      </c>
    </row>
    <row r="35" spans="3:5" ht="12.5" x14ac:dyDescent="0.2">
      <c r="D35" s="17" t="s">
        <v>6</v>
      </c>
      <c r="E35" s="21" t="s">
        <v>6</v>
      </c>
    </row>
    <row r="36" spans="3:5" s="7" customFormat="1" ht="12.5" x14ac:dyDescent="0.2">
      <c r="D36" s="17" t="s">
        <v>35</v>
      </c>
      <c r="E36" s="21" t="s">
        <v>36</v>
      </c>
    </row>
    <row r="37" spans="3:5" ht="12.5" x14ac:dyDescent="0.2">
      <c r="D37" s="17" t="s">
        <v>7</v>
      </c>
      <c r="E37" s="21" t="s">
        <v>7</v>
      </c>
    </row>
    <row r="38" spans="3:5" x14ac:dyDescent="0.2">
      <c r="E38" s="20"/>
    </row>
    <row r="39" spans="3:5" s="7" customFormat="1" ht="13" x14ac:dyDescent="0.2">
      <c r="C39" s="8" t="s">
        <v>0</v>
      </c>
      <c r="E39" s="19" t="s">
        <v>1</v>
      </c>
    </row>
    <row r="40" spans="3:5" s="7" customFormat="1" ht="12.5" x14ac:dyDescent="0.2">
      <c r="E40" s="21" t="s">
        <v>11</v>
      </c>
    </row>
    <row r="41" spans="3:5" s="7" customFormat="1" ht="12.5" x14ac:dyDescent="0.2">
      <c r="D41" s="17" t="s">
        <v>9</v>
      </c>
      <c r="E41" s="21" t="s">
        <v>9</v>
      </c>
    </row>
    <row r="42" spans="3:5" s="7" customFormat="1" ht="12.5" x14ac:dyDescent="0.2">
      <c r="D42" s="17" t="s">
        <v>10</v>
      </c>
      <c r="E42" s="21" t="s">
        <v>10</v>
      </c>
    </row>
    <row r="43" spans="3:5" s="7" customFormat="1" x14ac:dyDescent="0.2">
      <c r="E43" s="20"/>
    </row>
    <row r="44" spans="3:5" s="7" customFormat="1" ht="13" x14ac:dyDescent="0.2">
      <c r="C44" s="8" t="s">
        <v>71</v>
      </c>
      <c r="E44" s="19" t="s">
        <v>1</v>
      </c>
    </row>
    <row r="45" spans="3:5" s="7" customFormat="1" ht="12.5" x14ac:dyDescent="0.2">
      <c r="E45" s="21" t="s">
        <v>79</v>
      </c>
    </row>
    <row r="46" spans="3:5" s="7" customFormat="1" ht="12.5" x14ac:dyDescent="0.2">
      <c r="D46" s="17" t="s">
        <v>72</v>
      </c>
      <c r="E46" s="21" t="s">
        <v>72</v>
      </c>
    </row>
    <row r="47" spans="3:5" s="7" customFormat="1" ht="12.5" x14ac:dyDescent="0.2">
      <c r="D47" s="17" t="s">
        <v>73</v>
      </c>
      <c r="E47" s="21" t="s">
        <v>73</v>
      </c>
    </row>
    <row r="48" spans="3:5" s="7" customFormat="1" ht="12.5" x14ac:dyDescent="0.2">
      <c r="D48" s="17" t="s">
        <v>75</v>
      </c>
      <c r="E48" s="21" t="s">
        <v>77</v>
      </c>
    </row>
    <row r="49" spans="4:5" s="7" customFormat="1" ht="12.5" x14ac:dyDescent="0.2">
      <c r="D49" s="17" t="s">
        <v>76</v>
      </c>
      <c r="E49" s="21" t="s">
        <v>78</v>
      </c>
    </row>
    <row r="50" spans="4:5" s="7" customFormat="1" ht="12.5" x14ac:dyDescent="0.2">
      <c r="D50" s="17" t="s">
        <v>74</v>
      </c>
      <c r="E50" s="21" t="s">
        <v>74</v>
      </c>
    </row>
    <row r="51" spans="4:5" s="7" customFormat="1" ht="12.5" x14ac:dyDescent="0.2">
      <c r="D51" s="17" t="s">
        <v>90</v>
      </c>
      <c r="E51" s="21" t="s">
        <v>90</v>
      </c>
    </row>
    <row r="52" spans="4:5" s="7" customFormat="1" ht="12.5" x14ac:dyDescent="0.2">
      <c r="D52" s="17" t="s">
        <v>139</v>
      </c>
      <c r="E52" s="66" t="str">
        <f t="shared" ref="E52:E64" si="6">NA</f>
        <v>N/A</v>
      </c>
    </row>
    <row r="53" spans="4:5" s="7" customFormat="1" ht="12.5" x14ac:dyDescent="0.2">
      <c r="D53" s="17" t="s">
        <v>97</v>
      </c>
      <c r="E53" s="66" t="str">
        <f t="shared" si="6"/>
        <v>N/A</v>
      </c>
    </row>
    <row r="54" spans="4:5" s="7" customFormat="1" ht="12.5" x14ac:dyDescent="0.2">
      <c r="D54" s="17" t="s">
        <v>98</v>
      </c>
      <c r="E54" s="66" t="str">
        <f t="shared" si="6"/>
        <v>N/A</v>
      </c>
    </row>
    <row r="55" spans="4:5" s="7" customFormat="1" ht="12.5" x14ac:dyDescent="0.2">
      <c r="D55" s="17" t="s">
        <v>99</v>
      </c>
      <c r="E55" s="66" t="str">
        <f t="shared" si="6"/>
        <v>N/A</v>
      </c>
    </row>
    <row r="56" spans="4:5" s="7" customFormat="1" ht="12.5" x14ac:dyDescent="0.2">
      <c r="D56" s="17" t="s">
        <v>100</v>
      </c>
      <c r="E56" s="66" t="str">
        <f t="shared" si="6"/>
        <v>N/A</v>
      </c>
    </row>
    <row r="57" spans="4:5" s="134" customFormat="1" ht="12.5" x14ac:dyDescent="0.2">
      <c r="D57" s="141" t="s">
        <v>240</v>
      </c>
      <c r="E57" s="150" t="str">
        <f t="shared" si="6"/>
        <v>N/A</v>
      </c>
    </row>
    <row r="58" spans="4:5" s="134" customFormat="1" ht="12.5" x14ac:dyDescent="0.2">
      <c r="D58" s="141" t="s">
        <v>231</v>
      </c>
      <c r="E58" s="150" t="str">
        <f t="shared" si="6"/>
        <v>N/A</v>
      </c>
    </row>
    <row r="59" spans="4:5" s="134" customFormat="1" ht="12.5" x14ac:dyDescent="0.2">
      <c r="D59" s="141" t="s">
        <v>216</v>
      </c>
      <c r="E59" s="150" t="str">
        <f t="shared" si="6"/>
        <v>N/A</v>
      </c>
    </row>
    <row r="60" spans="4:5" s="7" customFormat="1" ht="12.5" x14ac:dyDescent="0.2">
      <c r="D60" s="17" t="s">
        <v>102</v>
      </c>
      <c r="E60" s="66" t="str">
        <f t="shared" si="6"/>
        <v>N/A</v>
      </c>
    </row>
    <row r="61" spans="4:5" s="7" customFormat="1" ht="12.5" x14ac:dyDescent="0.2">
      <c r="D61" s="17" t="s">
        <v>103</v>
      </c>
      <c r="E61" s="66" t="str">
        <f t="shared" si="6"/>
        <v>N/A</v>
      </c>
    </row>
    <row r="62" spans="4:5" s="7" customFormat="1" ht="12.5" x14ac:dyDescent="0.2">
      <c r="D62" s="17" t="s">
        <v>104</v>
      </c>
      <c r="E62" s="66" t="str">
        <f t="shared" si="6"/>
        <v>N/A</v>
      </c>
    </row>
    <row r="63" spans="4:5" s="7" customFormat="1" ht="12.5" x14ac:dyDescent="0.2">
      <c r="D63" s="17" t="s">
        <v>105</v>
      </c>
      <c r="E63" s="66" t="str">
        <f t="shared" si="6"/>
        <v>N/A</v>
      </c>
    </row>
    <row r="64" spans="4:5" s="7" customFormat="1" ht="12.5" x14ac:dyDescent="0.2">
      <c r="D64" s="17" t="s">
        <v>106</v>
      </c>
      <c r="E64" s="66" t="str">
        <f t="shared" si="6"/>
        <v>N/A</v>
      </c>
    </row>
    <row r="65" spans="3:6" s="7" customFormat="1" ht="12.5" x14ac:dyDescent="0.2">
      <c r="D65" s="17" t="s">
        <v>91</v>
      </c>
      <c r="E65" s="66" t="s">
        <v>92</v>
      </c>
    </row>
    <row r="66" spans="3:6" s="7" customFormat="1" ht="12.5" x14ac:dyDescent="0.2">
      <c r="D66" s="17" t="str">
        <f>NA</f>
        <v>N/A</v>
      </c>
      <c r="E66" s="21" t="s">
        <v>89</v>
      </c>
    </row>
    <row r="67" spans="3:6" s="7" customFormat="1" x14ac:dyDescent="0.2">
      <c r="E67" s="20"/>
    </row>
    <row r="68" spans="3:6" s="7" customFormat="1" ht="13" x14ac:dyDescent="0.2">
      <c r="C68" s="8" t="s">
        <v>66</v>
      </c>
      <c r="E68" s="19" t="s">
        <v>1</v>
      </c>
    </row>
    <row r="69" spans="3:6" s="7" customFormat="1" ht="12.5" x14ac:dyDescent="0.2">
      <c r="E69" s="21" t="s">
        <v>70</v>
      </c>
    </row>
    <row r="70" spans="3:6" s="7" customFormat="1" ht="12.5" x14ac:dyDescent="0.2">
      <c r="D70" s="17" t="s">
        <v>68</v>
      </c>
      <c r="E70" s="21" t="s">
        <v>114</v>
      </c>
    </row>
    <row r="71" spans="3:6" s="7" customFormat="1" ht="12.5" x14ac:dyDescent="0.2">
      <c r="D71" s="17" t="s">
        <v>113</v>
      </c>
      <c r="E71" s="21" t="s">
        <v>115</v>
      </c>
    </row>
    <row r="72" spans="3:6" s="7" customFormat="1" ht="12.5" x14ac:dyDescent="0.2">
      <c r="D72" s="17" t="s">
        <v>112</v>
      </c>
      <c r="E72" s="21" t="s">
        <v>116</v>
      </c>
    </row>
    <row r="73" spans="3:6" s="7" customFormat="1" ht="12.5" x14ac:dyDescent="0.2">
      <c r="D73" s="17" t="s">
        <v>140</v>
      </c>
      <c r="E73" s="21"/>
    </row>
    <row r="74" spans="3:6" s="7" customFormat="1" ht="12.5" x14ac:dyDescent="0.2">
      <c r="D74" s="17" t="str">
        <f>NA</f>
        <v>N/A</v>
      </c>
      <c r="E74" s="21" t="s">
        <v>89</v>
      </c>
    </row>
    <row r="75" spans="3:6" s="7" customFormat="1" ht="12.5" x14ac:dyDescent="0.2">
      <c r="D75" s="17" t="s">
        <v>69</v>
      </c>
      <c r="E75" s="21" t="s">
        <v>69</v>
      </c>
    </row>
    <row r="76" spans="3:6" s="7" customFormat="1" x14ac:dyDescent="0.2">
      <c r="E76" s="20"/>
    </row>
    <row r="77" spans="3:6" s="7" customFormat="1" ht="13" x14ac:dyDescent="0.2">
      <c r="C77" s="8" t="s">
        <v>67</v>
      </c>
      <c r="E77" s="19"/>
      <c r="F77" s="19" t="s">
        <v>1</v>
      </c>
    </row>
    <row r="78" spans="3:6" s="7" customFormat="1" ht="12.5" x14ac:dyDescent="0.2">
      <c r="D78" s="21" t="s">
        <v>83</v>
      </c>
      <c r="E78" s="21" t="s">
        <v>84</v>
      </c>
    </row>
    <row r="79" spans="3:6" s="7" customFormat="1" ht="12.5" x14ac:dyDescent="0.2">
      <c r="D79" s="17" t="s">
        <v>80</v>
      </c>
      <c r="E79" s="17">
        <v>0</v>
      </c>
      <c r="F79" s="21" t="s">
        <v>87</v>
      </c>
    </row>
    <row r="80" spans="3:6" s="7" customFormat="1" ht="12.5" x14ac:dyDescent="0.2">
      <c r="D80" s="17" t="s">
        <v>81</v>
      </c>
      <c r="E80" s="17">
        <v>0.5</v>
      </c>
      <c r="F80" s="21" t="s">
        <v>86</v>
      </c>
    </row>
    <row r="81" spans="3:6" s="7" customFormat="1" ht="12.5" x14ac:dyDescent="0.2">
      <c r="D81" s="17" t="s">
        <v>82</v>
      </c>
      <c r="E81" s="17">
        <v>1</v>
      </c>
      <c r="F81" s="21" t="s">
        <v>85</v>
      </c>
    </row>
    <row r="82" spans="3:6" s="7" customFormat="1" ht="12.5" x14ac:dyDescent="0.2">
      <c r="D82" s="17" t="str">
        <f>NA</f>
        <v>N/A</v>
      </c>
      <c r="E82" s="17" t="str">
        <f>NA</f>
        <v>N/A</v>
      </c>
      <c r="F82" s="21"/>
    </row>
    <row r="83" spans="3:6" s="7" customFormat="1" x14ac:dyDescent="0.2">
      <c r="E83" s="20"/>
    </row>
    <row r="84" spans="3:6" s="7" customFormat="1" ht="13" x14ac:dyDescent="0.2">
      <c r="C84" s="8" t="s">
        <v>149</v>
      </c>
      <c r="E84" s="19" t="s">
        <v>1</v>
      </c>
    </row>
    <row r="85" spans="3:6" s="7" customFormat="1" ht="12.5" x14ac:dyDescent="0.2">
      <c r="E85" s="21" t="s">
        <v>151</v>
      </c>
    </row>
    <row r="86" spans="3:6" s="7" customFormat="1" ht="12.5" x14ac:dyDescent="0.2">
      <c r="D86" s="17" t="s">
        <v>63</v>
      </c>
      <c r="E86" s="21"/>
    </row>
    <row r="87" spans="3:6" s="7" customFormat="1" ht="12.5" x14ac:dyDescent="0.2">
      <c r="D87" s="17" t="s">
        <v>150</v>
      </c>
      <c r="E87" s="21"/>
    </row>
    <row r="88" spans="3:6" s="7" customFormat="1" ht="12.5" x14ac:dyDescent="0.2">
      <c r="D88" s="17" t="s">
        <v>152</v>
      </c>
      <c r="E88" s="21" t="s">
        <v>153</v>
      </c>
    </row>
    <row r="89" spans="3:6" s="7" customFormat="1" x14ac:dyDescent="0.2">
      <c r="E89" s="20"/>
    </row>
    <row r="90" spans="3:6" x14ac:dyDescent="0.2">
      <c r="E90" s="7"/>
    </row>
    <row r="91" spans="3:6" s="13" customFormat="1" ht="14" x14ac:dyDescent="0.2">
      <c r="C91" s="13" t="s">
        <v>48</v>
      </c>
    </row>
    <row r="93" spans="3:6" s="134" customFormat="1" ht="13" x14ac:dyDescent="0.2">
      <c r="C93" s="137" t="s">
        <v>156</v>
      </c>
      <c r="E93" s="142" t="s">
        <v>1</v>
      </c>
    </row>
    <row r="94" spans="3:6" s="134" customFormat="1" ht="12.5" x14ac:dyDescent="0.2">
      <c r="E94" s="143" t="s">
        <v>214</v>
      </c>
    </row>
    <row r="95" spans="3:6" s="134" customFormat="1" ht="12.5" x14ac:dyDescent="0.2">
      <c r="D95" s="141" t="s">
        <v>135</v>
      </c>
    </row>
    <row r="96" spans="3:6" s="134" customFormat="1" ht="12.5" x14ac:dyDescent="0.2">
      <c r="D96" s="141" t="s">
        <v>134</v>
      </c>
    </row>
    <row r="97" spans="3:5" s="134" customFormat="1" ht="12.5" x14ac:dyDescent="0.2">
      <c r="D97" s="141" t="s">
        <v>133</v>
      </c>
    </row>
    <row r="98" spans="3:5" s="134" customFormat="1" ht="12.5" x14ac:dyDescent="0.2">
      <c r="D98" s="127"/>
    </row>
    <row r="99" spans="3:5" s="134" customFormat="1" x14ac:dyDescent="0.2"/>
    <row r="100" spans="3:5" s="134" customFormat="1" ht="13" x14ac:dyDescent="0.2">
      <c r="C100" s="137" t="s">
        <v>155</v>
      </c>
      <c r="E100" s="142" t="s">
        <v>1</v>
      </c>
    </row>
    <row r="101" spans="3:5" s="134" customFormat="1" ht="12.5" x14ac:dyDescent="0.2">
      <c r="E101" s="143" t="s">
        <v>209</v>
      </c>
    </row>
    <row r="102" spans="3:5" s="134" customFormat="1" ht="12.5" x14ac:dyDescent="0.2">
      <c r="D102" s="141" t="s">
        <v>157</v>
      </c>
    </row>
    <row r="103" spans="3:5" s="134" customFormat="1" ht="12.5" x14ac:dyDescent="0.2">
      <c r="D103" s="141" t="s">
        <v>158</v>
      </c>
    </row>
    <row r="104" spans="3:5" s="134" customFormat="1" ht="12.5" x14ac:dyDescent="0.2">
      <c r="D104" s="141" t="s">
        <v>159</v>
      </c>
    </row>
    <row r="105" spans="3:5" s="134" customFormat="1" ht="12.5" x14ac:dyDescent="0.2">
      <c r="D105" s="141" t="s">
        <v>160</v>
      </c>
    </row>
    <row r="106" spans="3:5" s="134" customFormat="1" ht="12.5" x14ac:dyDescent="0.2">
      <c r="D106" s="141" t="s">
        <v>161</v>
      </c>
    </row>
    <row r="107" spans="3:5" s="134" customFormat="1" ht="12.5" x14ac:dyDescent="0.2">
      <c r="D107" s="141" t="s">
        <v>162</v>
      </c>
    </row>
    <row r="108" spans="3:5" s="134" customFormat="1" ht="12.5" x14ac:dyDescent="0.2">
      <c r="D108" s="141" t="s">
        <v>163</v>
      </c>
    </row>
    <row r="109" spans="3:5" s="134" customFormat="1" ht="12.5" x14ac:dyDescent="0.2">
      <c r="D109" s="141" t="s">
        <v>164</v>
      </c>
    </row>
    <row r="110" spans="3:5" s="134" customFormat="1" ht="12.5" x14ac:dyDescent="0.2">
      <c r="D110" s="141" t="s">
        <v>165</v>
      </c>
    </row>
    <row r="111" spans="3:5" s="134" customFormat="1" ht="12.5" x14ac:dyDescent="0.2">
      <c r="D111" s="141" t="s">
        <v>166</v>
      </c>
    </row>
    <row r="112" spans="3:5" s="134" customFormat="1" ht="12.5" x14ac:dyDescent="0.2">
      <c r="D112" s="141" t="s">
        <v>167</v>
      </c>
    </row>
    <row r="113" spans="4:4" s="134" customFormat="1" ht="12.5" x14ac:dyDescent="0.2">
      <c r="D113" s="141" t="s">
        <v>168</v>
      </c>
    </row>
    <row r="114" spans="4:4" s="134" customFormat="1" ht="12.5" x14ac:dyDescent="0.2">
      <c r="D114" s="141" t="s">
        <v>169</v>
      </c>
    </row>
    <row r="115" spans="4:4" s="134" customFormat="1" ht="12.5" x14ac:dyDescent="0.2">
      <c r="D115" s="141" t="s">
        <v>170</v>
      </c>
    </row>
    <row r="116" spans="4:4" s="134" customFormat="1" ht="12.5" x14ac:dyDescent="0.2">
      <c r="D116" s="141" t="s">
        <v>171</v>
      </c>
    </row>
    <row r="117" spans="4:4" s="134" customFormat="1" ht="12.5" x14ac:dyDescent="0.2">
      <c r="D117" s="141" t="s">
        <v>172</v>
      </c>
    </row>
    <row r="118" spans="4:4" s="134" customFormat="1" ht="12.5" x14ac:dyDescent="0.2">
      <c r="D118" s="141" t="s">
        <v>173</v>
      </c>
    </row>
    <row r="119" spans="4:4" s="134" customFormat="1" ht="12.5" x14ac:dyDescent="0.2">
      <c r="D119" s="141" t="s">
        <v>174</v>
      </c>
    </row>
    <row r="120" spans="4:4" s="134" customFormat="1" ht="12.5" x14ac:dyDescent="0.2">
      <c r="D120" s="141" t="s">
        <v>175</v>
      </c>
    </row>
    <row r="121" spans="4:4" s="134" customFormat="1" ht="12.5" x14ac:dyDescent="0.2">
      <c r="D121" s="141" t="s">
        <v>176</v>
      </c>
    </row>
    <row r="122" spans="4:4" s="134" customFormat="1" ht="12.5" x14ac:dyDescent="0.2">
      <c r="D122" s="141" t="s">
        <v>177</v>
      </c>
    </row>
    <row r="123" spans="4:4" s="134" customFormat="1" ht="12.5" x14ac:dyDescent="0.2">
      <c r="D123" s="141" t="s">
        <v>178</v>
      </c>
    </row>
    <row r="124" spans="4:4" s="134" customFormat="1" ht="12.5" x14ac:dyDescent="0.2">
      <c r="D124" s="141" t="s">
        <v>179</v>
      </c>
    </row>
    <row r="125" spans="4:4" s="134" customFormat="1" ht="12.5" x14ac:dyDescent="0.2">
      <c r="D125" s="141" t="s">
        <v>180</v>
      </c>
    </row>
    <row r="126" spans="4:4" s="134" customFormat="1" ht="12.5" x14ac:dyDescent="0.2">
      <c r="D126" s="141" t="s">
        <v>181</v>
      </c>
    </row>
    <row r="127" spans="4:4" s="134" customFormat="1" ht="12.5" x14ac:dyDescent="0.2">
      <c r="D127" s="141" t="s">
        <v>182</v>
      </c>
    </row>
    <row r="128" spans="4:4" s="134" customFormat="1" ht="12.5" x14ac:dyDescent="0.2">
      <c r="D128" s="141" t="s">
        <v>183</v>
      </c>
    </row>
    <row r="129" spans="3:5" s="134" customFormat="1" ht="12.5" x14ac:dyDescent="0.2">
      <c r="D129" s="127"/>
    </row>
    <row r="130" spans="3:5" s="134" customFormat="1" x14ac:dyDescent="0.2"/>
    <row r="131" spans="3:5" s="134" customFormat="1" ht="13" x14ac:dyDescent="0.2">
      <c r="C131" s="137" t="s">
        <v>192</v>
      </c>
      <c r="E131" s="142" t="s">
        <v>1</v>
      </c>
    </row>
    <row r="132" spans="3:5" s="134" customFormat="1" ht="12.5" x14ac:dyDescent="0.2">
      <c r="E132" s="143" t="s">
        <v>210</v>
      </c>
    </row>
    <row r="133" spans="3:5" s="134" customFormat="1" ht="12.5" x14ac:dyDescent="0.2">
      <c r="D133" s="141" t="s">
        <v>193</v>
      </c>
    </row>
    <row r="134" spans="3:5" s="134" customFormat="1" ht="12.5" x14ac:dyDescent="0.2">
      <c r="D134" s="141" t="s">
        <v>194</v>
      </c>
    </row>
    <row r="135" spans="3:5" s="134" customFormat="1" ht="12.5" x14ac:dyDescent="0.2">
      <c r="D135" s="141" t="s">
        <v>195</v>
      </c>
    </row>
    <row r="136" spans="3:5" s="134" customFormat="1" ht="12.5" x14ac:dyDescent="0.2">
      <c r="D136" s="141" t="s">
        <v>196</v>
      </c>
    </row>
    <row r="137" spans="3:5" s="134" customFormat="1" ht="12.5" x14ac:dyDescent="0.2">
      <c r="D137" s="141" t="s">
        <v>197</v>
      </c>
    </row>
    <row r="138" spans="3:5" s="134" customFormat="1" ht="12.5" x14ac:dyDescent="0.2">
      <c r="D138" s="141" t="s">
        <v>198</v>
      </c>
    </row>
    <row r="139" spans="3:5" s="134" customFormat="1" ht="12.5" x14ac:dyDescent="0.2">
      <c r="D139" s="141" t="s">
        <v>199</v>
      </c>
    </row>
    <row r="140" spans="3:5" s="134" customFormat="1" ht="12.5" x14ac:dyDescent="0.2">
      <c r="D140" s="141" t="s">
        <v>179</v>
      </c>
    </row>
    <row r="141" spans="3:5" s="134" customFormat="1" ht="12.5" x14ac:dyDescent="0.2">
      <c r="D141" s="141" t="s">
        <v>200</v>
      </c>
    </row>
    <row r="142" spans="3:5" s="134" customFormat="1" ht="12.5" x14ac:dyDescent="0.2">
      <c r="D142" s="141" t="s">
        <v>201</v>
      </c>
    </row>
    <row r="143" spans="3:5" s="134" customFormat="1" ht="12.5" x14ac:dyDescent="0.2">
      <c r="D143" s="141" t="s">
        <v>202</v>
      </c>
    </row>
    <row r="144" spans="3:5" s="134" customFormat="1" ht="12.5" x14ac:dyDescent="0.2">
      <c r="D144" s="141" t="s">
        <v>203</v>
      </c>
    </row>
    <row r="145" spans="3:5" s="134" customFormat="1" ht="12.5" x14ac:dyDescent="0.2">
      <c r="D145" s="141" t="s">
        <v>204</v>
      </c>
    </row>
    <row r="146" spans="3:5" s="134" customFormat="1" ht="12.5" x14ac:dyDescent="0.2">
      <c r="D146" s="141" t="s">
        <v>205</v>
      </c>
    </row>
    <row r="147" spans="3:5" s="134" customFormat="1" ht="12.5" x14ac:dyDescent="0.2">
      <c r="D147" s="141" t="s">
        <v>206</v>
      </c>
    </row>
    <row r="148" spans="3:5" s="134" customFormat="1" ht="12.5" x14ac:dyDescent="0.2">
      <c r="D148" s="141" t="s">
        <v>207</v>
      </c>
    </row>
    <row r="149" spans="3:5" s="134" customFormat="1" x14ac:dyDescent="0.2"/>
    <row r="150" spans="3:5" s="134" customFormat="1" x14ac:dyDescent="0.2"/>
    <row r="151" spans="3:5" s="134" customFormat="1" ht="13" x14ac:dyDescent="0.2">
      <c r="C151" s="137" t="s">
        <v>184</v>
      </c>
      <c r="E151" s="142" t="s">
        <v>1</v>
      </c>
    </row>
    <row r="152" spans="3:5" s="134" customFormat="1" ht="12.5" x14ac:dyDescent="0.2">
      <c r="E152" s="143" t="s">
        <v>190</v>
      </c>
    </row>
    <row r="153" spans="3:5" s="134" customFormat="1" ht="12.5" x14ac:dyDescent="0.2">
      <c r="D153" s="141" t="s">
        <v>185</v>
      </c>
    </row>
    <row r="154" spans="3:5" s="134" customFormat="1" ht="12.5" x14ac:dyDescent="0.2">
      <c r="D154" s="141" t="s">
        <v>186</v>
      </c>
    </row>
    <row r="155" spans="3:5" s="134" customFormat="1" ht="12.5" x14ac:dyDescent="0.2">
      <c r="D155" s="141" t="s">
        <v>191</v>
      </c>
    </row>
    <row r="156" spans="3:5" s="134" customFormat="1" ht="12.5" x14ac:dyDescent="0.2">
      <c r="D156" s="141" t="s">
        <v>187</v>
      </c>
    </row>
    <row r="157" spans="3:5" s="134" customFormat="1" ht="12.5" x14ac:dyDescent="0.2">
      <c r="D157" s="141" t="s">
        <v>188</v>
      </c>
    </row>
    <row r="158" spans="3:5" s="134" customFormat="1" ht="12.5" x14ac:dyDescent="0.2">
      <c r="D158" s="141" t="s">
        <v>189</v>
      </c>
    </row>
    <row r="159" spans="3:5" s="134" customFormat="1" ht="12.5" x14ac:dyDescent="0.2">
      <c r="D159" s="141" t="s">
        <v>89</v>
      </c>
    </row>
    <row r="160" spans="3:5" s="7" customFormat="1" x14ac:dyDescent="0.2"/>
    <row r="161" spans="2:2" s="7" customFormat="1" x14ac:dyDescent="0.2"/>
    <row r="162" spans="2:2" s="4" customFormat="1" ht="15.5" x14ac:dyDescent="0.2">
      <c r="B162" s="4" t="s">
        <v>33</v>
      </c>
    </row>
  </sheetData>
  <conditionalFormatting sqref="B2">
    <cfRule type="cellIs" dxfId="1" priority="1" operator="notEqual">
      <formula>"No Errors Found"</formula>
    </cfRule>
  </conditionalFormatting>
  <hyperlinks>
    <hyperlink ref="B3:E3" location="TOC!A1" display="TOC!A1"/>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
  <sheetViews>
    <sheetView showGridLines="0" workbookViewId="0">
      <pane ySplit="5" topLeftCell="A6" activePane="bottomLeft" state="frozen"/>
      <selection pane="bottomLeft" activeCell="H10" sqref="H10"/>
    </sheetView>
  </sheetViews>
  <sheetFormatPr defaultRowHeight="10" x14ac:dyDescent="0.2"/>
  <cols>
    <col min="1" max="3" width="2.77734375" customWidth="1"/>
    <col min="4" max="4" width="25.77734375" customWidth="1"/>
    <col min="5" max="7" width="3.77734375" customWidth="1"/>
  </cols>
  <sheetData>
    <row r="1" spans="1:16384" ht="19" x14ac:dyDescent="0.2">
      <c r="A1" s="7"/>
      <c r="B1" s="5" t="s">
        <v>16</v>
      </c>
      <c r="C1" s="7"/>
      <c r="D1" s="7"/>
      <c r="E1" s="7"/>
      <c r="F1" s="7"/>
      <c r="G1" s="7"/>
      <c r="H1" s="7"/>
      <c r="I1" s="7"/>
    </row>
    <row r="2" spans="1:16384" s="9" customFormat="1" x14ac:dyDescent="0.2">
      <c r="A2" s="7"/>
      <c r="B2" s="18" t="str">
        <f ca="1">Title_Msg</f>
        <v>No Errors Found</v>
      </c>
      <c r="C2" s="7"/>
      <c r="D2" s="7"/>
      <c r="E2" s="7"/>
      <c r="F2" s="7"/>
      <c r="G2" s="7"/>
      <c r="H2" s="7"/>
      <c r="I2" s="7"/>
    </row>
    <row r="3" spans="1:16384" s="7" customFormat="1" x14ac:dyDescent="0.2">
      <c r="B3" s="57" t="str">
        <f>TOC!B1</f>
        <v>Table of Contents</v>
      </c>
      <c r="C3" s="51"/>
      <c r="D3" s="51"/>
      <c r="E3" s="51"/>
    </row>
    <row r="4" spans="1:16384" s="7" customFormat="1" ht="13" x14ac:dyDescent="0.2">
      <c r="B4" s="48" t="str">
        <f>Model_Name</f>
        <v>ACS Pricing Model - Power and Water Corporation</v>
      </c>
    </row>
    <row r="5" spans="1:16384" s="9" customFormat="1" x14ac:dyDescent="0.2">
      <c r="A5" s="7"/>
      <c r="B5" s="7"/>
      <c r="C5" s="7"/>
      <c r="D5" s="7"/>
      <c r="E5" s="7"/>
      <c r="F5" s="7"/>
      <c r="G5" s="7"/>
      <c r="H5" s="7"/>
      <c r="I5" s="7"/>
    </row>
    <row r="6" spans="1:16384" s="25" customFormat="1" ht="15.5" x14ac:dyDescent="0.2">
      <c r="B6" s="4" t="s">
        <v>18</v>
      </c>
    </row>
    <row r="7" spans="1:16384" s="9" customFormat="1" x14ac:dyDescent="0.2">
      <c r="A7" s="7"/>
      <c r="B7" s="7"/>
      <c r="C7" s="7"/>
      <c r="D7" s="7"/>
      <c r="E7" s="7"/>
      <c r="F7" s="7"/>
      <c r="G7" s="7"/>
      <c r="H7" s="7"/>
      <c r="I7" s="7"/>
    </row>
    <row r="8" spans="1:16384" s="9" customFormat="1" ht="12.5" x14ac:dyDescent="0.2">
      <c r="A8" s="7"/>
      <c r="D8" s="11" t="s">
        <v>17</v>
      </c>
      <c r="E8" s="7"/>
      <c r="F8" s="7"/>
      <c r="G8" s="7"/>
      <c r="H8" s="12" t="str">
        <f ca="1">IF(H21=0,"No Errors Found","Errors Found")</f>
        <v>No Errors Found</v>
      </c>
      <c r="I8" s="7"/>
    </row>
    <row r="9" spans="1:16384" s="9" customFormat="1" ht="12.5" x14ac:dyDescent="0.2">
      <c r="A9" s="7"/>
      <c r="D9" s="11" t="s">
        <v>19</v>
      </c>
      <c r="E9" s="7"/>
      <c r="F9" s="7"/>
      <c r="G9" s="7"/>
      <c r="H9" s="11"/>
      <c r="I9" s="7"/>
    </row>
    <row r="10" spans="1:16384" s="9" customFormat="1" ht="12.5" x14ac:dyDescent="0.2">
      <c r="A10" s="7"/>
      <c r="D10" s="11" t="s">
        <v>20</v>
      </c>
      <c r="E10" s="7"/>
      <c r="F10" s="7"/>
      <c r="G10" s="7"/>
      <c r="H10" s="30" t="str">
        <f ca="1">H8&amp;IF(H9="","",", " &amp;H9)</f>
        <v>No Errors Found</v>
      </c>
      <c r="I10" s="7"/>
    </row>
    <row r="11" spans="1:16384" s="9" customFormat="1" x14ac:dyDescent="0.2">
      <c r="A11" s="7"/>
      <c r="B11" s="7"/>
      <c r="C11" s="7"/>
      <c r="D11" s="7"/>
      <c r="E11" s="7"/>
      <c r="F11" s="7"/>
      <c r="G11" s="7"/>
      <c r="H11" s="7"/>
      <c r="I11" s="7"/>
    </row>
    <row r="12" spans="1:16384" s="25" customFormat="1" ht="15.5" x14ac:dyDescent="0.2">
      <c r="B12" s="4" t="s">
        <v>32</v>
      </c>
    </row>
    <row r="13" spans="1:16384" s="9" customFormat="1" x14ac:dyDescent="0.2">
      <c r="A13" s="7"/>
      <c r="B13" s="7"/>
      <c r="C13" s="7"/>
      <c r="D13" s="7"/>
      <c r="E13" s="7"/>
      <c r="F13" s="7"/>
      <c r="G13" s="7"/>
      <c r="H13" s="7"/>
      <c r="I13" s="7"/>
    </row>
    <row r="14" spans="1:16384" s="13" customFormat="1" ht="14" x14ac:dyDescent="0.2">
      <c r="C14" s="13" t="s">
        <v>12</v>
      </c>
    </row>
    <row r="15" spans="1:16384" s="25" customFormat="1" ht="15.5"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c r="XEP15" s="7"/>
      <c r="XEQ15" s="7"/>
      <c r="XER15" s="7"/>
      <c r="XES15" s="7"/>
      <c r="XET15" s="7"/>
      <c r="XEU15" s="7"/>
      <c r="XEV15" s="7"/>
      <c r="XEW15" s="7"/>
      <c r="XEX15" s="7"/>
      <c r="XEY15" s="7"/>
      <c r="XEZ15" s="7"/>
      <c r="XFA15" s="7"/>
      <c r="XFB15" s="7"/>
      <c r="XFC15" s="7"/>
      <c r="XFD15" s="7"/>
    </row>
    <row r="16" spans="1:16384" ht="12.5" x14ac:dyDescent="0.2">
      <c r="A16" s="7"/>
      <c r="D16" s="11" t="str">
        <f>Inputs_Prices!$B$1</f>
        <v>Inputs - Prices</v>
      </c>
      <c r="E16" s="7"/>
      <c r="F16" s="7"/>
      <c r="G16" s="7"/>
      <c r="H16" s="67">
        <f>Inputs_Prices!$A$1</f>
        <v>0</v>
      </c>
      <c r="I16" s="7"/>
      <c r="J16" s="9"/>
    </row>
    <row r="17" spans="1:9" s="9" customFormat="1" ht="12.5" x14ac:dyDescent="0.2">
      <c r="A17" s="7"/>
      <c r="B17" s="24"/>
      <c r="C17" s="7"/>
      <c r="D17" s="11" t="str">
        <f>Calculations_Price_Caps!$B$1</f>
        <v>Calculation - Price Caps</v>
      </c>
      <c r="E17" s="7"/>
      <c r="F17" s="7"/>
      <c r="G17" s="7"/>
      <c r="H17" s="67">
        <f>Calculations_Price_Caps!$A$1</f>
        <v>0</v>
      </c>
      <c r="I17" s="7"/>
    </row>
    <row r="18" spans="1:9" ht="12.5" x14ac:dyDescent="0.2">
      <c r="C18" s="9"/>
      <c r="D18" s="16" t="str">
        <f>Output_Compliance!$B$1</f>
        <v>Output - Compliance</v>
      </c>
      <c r="E18" s="6"/>
      <c r="F18" s="6"/>
      <c r="G18" s="6"/>
      <c r="H18" s="81">
        <f ca="1">Output_Compliance!$A$1</f>
        <v>0</v>
      </c>
    </row>
    <row r="19" spans="1:9" s="9" customFormat="1" ht="12.5" x14ac:dyDescent="0.2">
      <c r="D19" s="16" t="str">
        <f>Output_Pricing_Proposal!$B$1</f>
        <v>Output - Pricing Proposal</v>
      </c>
      <c r="E19" s="6"/>
      <c r="F19" s="6"/>
      <c r="G19" s="6"/>
      <c r="H19" s="81">
        <f>Output_Pricing_Proposal!$A$1</f>
        <v>0</v>
      </c>
    </row>
    <row r="20" spans="1:9" s="9" customFormat="1" ht="12.5" x14ac:dyDescent="0.2">
      <c r="C20" s="26"/>
      <c r="D20" s="46"/>
      <c r="H20" s="28"/>
    </row>
    <row r="21" spans="1:9" ht="13" x14ac:dyDescent="0.2">
      <c r="C21" s="14" t="s">
        <v>49</v>
      </c>
      <c r="H21" s="29">
        <f ca="1">IF(SUM($H$16:$H$19)&gt;0,1,0)</f>
        <v>0</v>
      </c>
    </row>
    <row r="23" spans="1:9" s="25" customFormat="1" ht="15.5" x14ac:dyDescent="0.2">
      <c r="B23" s="4" t="s">
        <v>33</v>
      </c>
    </row>
  </sheetData>
  <conditionalFormatting sqref="B2">
    <cfRule type="cellIs" dxfId="0" priority="3" operator="notEqual">
      <formula>"No Errors Found"</formula>
    </cfRule>
  </conditionalFormatting>
  <hyperlinks>
    <hyperlink ref="B3:E3" location="TOC!A1" display="TOC!A1"/>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476C1900038C414F9012297B45E5396B" ma:contentTypeVersion="6" ma:contentTypeDescription="Create a new document." ma:contentTypeScope="" ma:versionID="87b6d9504abcbe955e2d8d77c56f8af4">
  <xsd:schema xmlns:xsd="http://www.w3.org/2001/XMLSchema" xmlns:xs="http://www.w3.org/2001/XMLSchema" xmlns:p="http://schemas.microsoft.com/office/2006/metadata/properties" xmlns:ns2="d47eef4c-2025-4143-bb08-348a407e1d53" xmlns:ns3="4eb6023d-658b-4527-be73-24b0518f0bf9" targetNamespace="http://schemas.microsoft.com/office/2006/metadata/properties" ma:root="true" ma:fieldsID="df2659fce804e293023b5cd7ca0d4ce6" ns2:_="" ns3:_="">
    <xsd:import namespace="d47eef4c-2025-4143-bb08-348a407e1d53"/>
    <xsd:import namespace="4eb6023d-658b-4527-be73-24b0518f0bf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eef4c-2025-4143-bb08-348a407e1d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b6023d-658b-4527-be73-24b0518f0bf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0D141-EA43-4C22-B987-F759E1B563FC}">
  <ds:schemaRefs>
    <ds:schemaRef ds:uri="4eb6023d-658b-4527-be73-24b0518f0b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47eef4c-2025-4143-bb08-348a407e1d53"/>
    <ds:schemaRef ds:uri="http://www.w3.org/XML/1998/namespace"/>
    <ds:schemaRef ds:uri="http://purl.org/dc/dcmitype/"/>
  </ds:schemaRefs>
</ds:datastoreItem>
</file>

<file path=customXml/itemProps2.xml><?xml version="1.0" encoding="utf-8"?>
<ds:datastoreItem xmlns:ds="http://schemas.openxmlformats.org/officeDocument/2006/customXml" ds:itemID="{C88D96C7-4ED0-4DE7-8CDA-AE28CBF240FF}">
  <ds:schemaRefs>
    <ds:schemaRef ds:uri="http://schemas.microsoft.com/PowerBIAddIn"/>
  </ds:schemaRefs>
</ds:datastoreItem>
</file>

<file path=customXml/itemProps3.xml><?xml version="1.0" encoding="utf-8"?>
<ds:datastoreItem xmlns:ds="http://schemas.openxmlformats.org/officeDocument/2006/customXml" ds:itemID="{B04FDB81-64CF-40B7-A464-CACA6FBCAE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7eef4c-2025-4143-bb08-348a407e1d53"/>
    <ds:schemaRef ds:uri="4eb6023d-658b-4527-be73-24b0518f0b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39930B7-FF09-44B0-B2D6-7AB20BAE38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43</vt:i4>
      </vt:variant>
    </vt:vector>
  </HeadingPairs>
  <TitlesOfParts>
    <vt:vector size="52" baseType="lpstr">
      <vt:lpstr>Cover</vt:lpstr>
      <vt:lpstr>TOC</vt:lpstr>
      <vt:lpstr>Diagram</vt:lpstr>
      <vt:lpstr>Inputs_Prices</vt:lpstr>
      <vt:lpstr>Calculations_Price_Caps</vt:lpstr>
      <vt:lpstr>Output_Compliance</vt:lpstr>
      <vt:lpstr>Output_Pricing_Proposal</vt:lpstr>
      <vt:lpstr>Lookup</vt:lpstr>
      <vt:lpstr>Checks</vt:lpstr>
      <vt:lpstr>Base_Year</vt:lpstr>
      <vt:lpstr>Cents_to_Dollars</vt:lpstr>
      <vt:lpstr>Days_In_Wk</vt:lpstr>
      <vt:lpstr>Days_In_Yr</vt:lpstr>
      <vt:lpstr>Dollars</vt:lpstr>
      <vt:lpstr>Dollars_to_Thousands</vt:lpstr>
      <vt:lpstr>End_year</vt:lpstr>
      <vt:lpstr>Error</vt:lpstr>
      <vt:lpstr>Factor</vt:lpstr>
      <vt:lpstr>Half</vt:lpstr>
      <vt:lpstr>Kilometres</vt:lpstr>
      <vt:lpstr>LU_Basis</vt:lpstr>
      <vt:lpstr>LU_Fee_Based_Services</vt:lpstr>
      <vt:lpstr>LU_Metering_Services</vt:lpstr>
      <vt:lpstr>LU_Quoted_Services</vt:lpstr>
      <vt:lpstr>LU_Revenue_Input</vt:lpstr>
      <vt:lpstr>LU_Service_Categories</vt:lpstr>
      <vt:lpstr>LU_Timing</vt:lpstr>
      <vt:lpstr>LU_Timing_Value</vt:lpstr>
      <vt:lpstr>LU_Units</vt:lpstr>
      <vt:lpstr>Mid_year</vt:lpstr>
      <vt:lpstr>Millions</vt:lpstr>
      <vt:lpstr>Model_Name</vt:lpstr>
      <vt:lpstr>Model_Start_Date</vt:lpstr>
      <vt:lpstr>Mths_In_Mth</vt:lpstr>
      <vt:lpstr>Mths_In_Qtr</vt:lpstr>
      <vt:lpstr>Mths_In_Yr</vt:lpstr>
      <vt:lpstr>NA</vt:lpstr>
      <vt:lpstr>No</vt:lpstr>
      <vt:lpstr>No_Input</vt:lpstr>
      <vt:lpstr>Nominal</vt:lpstr>
      <vt:lpstr>Number</vt:lpstr>
      <vt:lpstr>Ok</vt:lpstr>
      <vt:lpstr>Percent</vt:lpstr>
      <vt:lpstr>Qtrs_In_Yr</vt:lpstr>
      <vt:lpstr>Real2018</vt:lpstr>
      <vt:lpstr>Real2019</vt:lpstr>
      <vt:lpstr>Real2020</vt:lpstr>
      <vt:lpstr>Start_year</vt:lpstr>
      <vt:lpstr>Thousands</vt:lpstr>
      <vt:lpstr>Title_Msg</vt:lpstr>
      <vt:lpstr>Yes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and Water Corporation</dc:creator>
  <cp:lastModifiedBy>Meher-Homji, Zubin</cp:lastModifiedBy>
  <cp:lastPrinted>2019-05-17T00:55:10Z</cp:lastPrinted>
  <dcterms:created xsi:type="dcterms:W3CDTF">2012-02-19T06:14:59Z</dcterms:created>
  <dcterms:modified xsi:type="dcterms:W3CDTF">2020-03-31T05:11:33Z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0x010100476C1900038C414F9012297B45E5396B</vt:lpwstr>
  </property>
</Properties>
</file>