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80" windowWidth="15225" windowHeight="7710" tabRatio="714" activeTab="2"/>
  </bookViews>
  <sheets>
    <sheet name="DUOS Ex GST" sheetId="3" r:id="rId1"/>
    <sheet name="TUOS Ex GST" sheetId="4" r:id="rId2"/>
    <sheet name="NUOS Ex GST" sheetId="1" r:id="rId3"/>
    <sheet name="PFIT TFIT ex GST" sheetId="9" r:id="rId4"/>
    <sheet name="Prescribed Ex GST" sheetId="2" r:id="rId5"/>
    <sheet name="DUOS GST" sheetId="5" r:id="rId6"/>
    <sheet name="TUOS GST" sheetId="6" r:id="rId7"/>
    <sheet name="NUOS GST" sheetId="7" r:id="rId8"/>
    <sheet name="PFIT TFIT GST" sheetId="10" r:id="rId9"/>
    <sheet name="Prescribed GST" sheetId="8" r:id="rId10"/>
    <sheet name="Pass Through (F) Ex GST" sheetId="11" r:id="rId11"/>
    <sheet name="Pass Through (F) GST" sheetId="12" r:id="rId12"/>
  </sheets>
  <definedNames>
    <definedName name="_xlnm.Print_Area" localSheetId="0">'DUOS Ex GST'!$A$1:$Q$34</definedName>
    <definedName name="_xlnm.Print_Area" localSheetId="1">'TUOS Ex GST'!$A$1:$Q$34</definedName>
  </definedNames>
  <calcPr calcId="145621"/>
</workbook>
</file>

<file path=xl/calcChain.xml><?xml version="1.0" encoding="utf-8"?>
<calcChain xmlns="http://schemas.openxmlformats.org/spreadsheetml/2006/main">
  <c r="N27" i="6" l="1"/>
  <c r="M27" i="6"/>
  <c r="N27" i="5"/>
  <c r="N27" i="7" s="1"/>
  <c r="M27" i="5"/>
  <c r="M27" i="7" s="1"/>
  <c r="N27" i="1"/>
  <c r="M27" i="1"/>
  <c r="C25" i="12" l="1"/>
  <c r="C23" i="12"/>
  <c r="C21" i="12"/>
  <c r="C19" i="12"/>
  <c r="C17" i="12"/>
  <c r="C15" i="12"/>
  <c r="C13" i="12"/>
  <c r="C11" i="12"/>
  <c r="C9" i="12"/>
  <c r="C7" i="12"/>
  <c r="C3" i="12"/>
  <c r="C25" i="11"/>
  <c r="C24" i="11"/>
  <c r="C24" i="12" s="1"/>
  <c r="C23" i="11"/>
  <c r="C22" i="11"/>
  <c r="C22" i="12" s="1"/>
  <c r="C21" i="11"/>
  <c r="C20" i="11"/>
  <c r="C20" i="12" s="1"/>
  <c r="C19" i="11"/>
  <c r="C18" i="11"/>
  <c r="C18" i="12" s="1"/>
  <c r="C17" i="11"/>
  <c r="C16" i="11"/>
  <c r="C16" i="12" s="1"/>
  <c r="C15" i="11"/>
  <c r="C14" i="11"/>
  <c r="C14" i="12" s="1"/>
  <c r="C13" i="11"/>
  <c r="C12" i="11"/>
  <c r="C12" i="12" s="1"/>
  <c r="C11" i="11"/>
  <c r="C10" i="11"/>
  <c r="C10" i="12" s="1"/>
  <c r="C9" i="11"/>
  <c r="C8" i="11"/>
  <c r="C8" i="12" s="1"/>
  <c r="C7" i="11"/>
  <c r="C4" i="11"/>
  <c r="C4" i="12" s="1"/>
  <c r="L27" i="6"/>
  <c r="K27" i="6"/>
  <c r="J27" i="6"/>
  <c r="I27" i="6"/>
  <c r="H27" i="6"/>
  <c r="G27" i="6"/>
  <c r="F27" i="6"/>
  <c r="E27" i="6"/>
  <c r="L27" i="5"/>
  <c r="L27" i="7" s="1"/>
  <c r="K27" i="5"/>
  <c r="K27" i="7" s="1"/>
  <c r="J27" i="5"/>
  <c r="J27" i="7" s="1"/>
  <c r="I27" i="5"/>
  <c r="I27" i="7" s="1"/>
  <c r="H27" i="5"/>
  <c r="H27" i="7" s="1"/>
  <c r="G27" i="5"/>
  <c r="G27" i="7" s="1"/>
  <c r="F27" i="5"/>
  <c r="F27" i="7" s="1"/>
  <c r="E27" i="5"/>
  <c r="E27" i="7" s="1"/>
  <c r="D27" i="5"/>
  <c r="D27" i="7" s="1"/>
  <c r="E10" i="1" l="1"/>
  <c r="L27" i="1"/>
  <c r="K27" i="1"/>
  <c r="J27" i="1"/>
  <c r="I27" i="1"/>
  <c r="H27" i="1"/>
  <c r="G27" i="1"/>
  <c r="F27" i="1"/>
  <c r="E27" i="1"/>
  <c r="D27" i="1"/>
  <c r="C25" i="9" l="1"/>
  <c r="C24" i="9" l="1"/>
  <c r="D26" i="6" l="1"/>
  <c r="E26" i="6"/>
  <c r="F26" i="6"/>
  <c r="G26" i="6"/>
  <c r="H26" i="6"/>
  <c r="I26" i="6"/>
  <c r="J26" i="6"/>
  <c r="K26" i="6"/>
  <c r="L26" i="6"/>
  <c r="D26" i="5"/>
  <c r="E26" i="5"/>
  <c r="F26" i="5"/>
  <c r="G26" i="5"/>
  <c r="H26" i="5"/>
  <c r="I26" i="5"/>
  <c r="J26" i="5"/>
  <c r="K26" i="5"/>
  <c r="L26" i="5"/>
  <c r="D26" i="1"/>
  <c r="E26" i="1"/>
  <c r="F26" i="1"/>
  <c r="G26" i="1"/>
  <c r="H26" i="1"/>
  <c r="I26" i="1"/>
  <c r="J26" i="1"/>
  <c r="K26" i="1"/>
  <c r="L26" i="1"/>
  <c r="L26" i="7" l="1"/>
  <c r="H26" i="7"/>
  <c r="D26" i="7"/>
  <c r="I26" i="7"/>
  <c r="E26" i="7"/>
  <c r="F26" i="7"/>
  <c r="K26" i="7"/>
  <c r="G26" i="7"/>
  <c r="J26" i="7"/>
  <c r="K25" i="6"/>
  <c r="I25" i="1"/>
  <c r="L24" i="1"/>
  <c r="J24" i="1"/>
  <c r="H24" i="1"/>
  <c r="F24" i="1"/>
  <c r="D24" i="1"/>
  <c r="K23" i="1"/>
  <c r="I23" i="1"/>
  <c r="G23" i="1"/>
  <c r="E23" i="6"/>
  <c r="L22" i="6"/>
  <c r="F22" i="1"/>
  <c r="D22" i="6"/>
  <c r="L20" i="6"/>
  <c r="H20" i="6"/>
  <c r="F20" i="6"/>
  <c r="L18" i="6"/>
  <c r="F18" i="1"/>
  <c r="D18" i="6"/>
  <c r="K17" i="6"/>
  <c r="I17" i="1"/>
  <c r="E17" i="1"/>
  <c r="L16" i="1"/>
  <c r="J16" i="1"/>
  <c r="G15" i="6"/>
  <c r="E13" i="6"/>
  <c r="L12" i="6"/>
  <c r="G11" i="6"/>
  <c r="L10" i="6"/>
  <c r="H10" i="1"/>
  <c r="I9" i="1"/>
  <c r="G9" i="6"/>
  <c r="K7" i="1"/>
  <c r="I7" i="6"/>
  <c r="E7" i="6"/>
  <c r="L6" i="1"/>
  <c r="J6" i="6"/>
  <c r="D6" i="6"/>
  <c r="K5" i="6"/>
  <c r="E5" i="1"/>
  <c r="J25" i="5"/>
  <c r="I24" i="1"/>
  <c r="G24" i="1"/>
  <c r="E24" i="1"/>
  <c r="H23" i="1"/>
  <c r="F23" i="1"/>
  <c r="I22" i="1"/>
  <c r="E22" i="5"/>
  <c r="H21" i="1"/>
  <c r="F21" i="1"/>
  <c r="G20" i="1"/>
  <c r="L19" i="1"/>
  <c r="J19" i="1"/>
  <c r="H19" i="5"/>
  <c r="D19" i="1"/>
  <c r="K18" i="1"/>
  <c r="I18" i="1"/>
  <c r="G18" i="5"/>
  <c r="H17" i="1"/>
  <c r="D17" i="5"/>
  <c r="K16" i="5"/>
  <c r="G16" i="1"/>
  <c r="L15" i="5"/>
  <c r="J15" i="1"/>
  <c r="F15" i="1"/>
  <c r="D15" i="1"/>
  <c r="E14" i="1"/>
  <c r="L13" i="5"/>
  <c r="D13" i="1"/>
  <c r="K12" i="1"/>
  <c r="I12" i="1"/>
  <c r="G12" i="1"/>
  <c r="E12" i="5"/>
  <c r="H11" i="1"/>
  <c r="F11" i="5"/>
  <c r="D11" i="5"/>
  <c r="K10" i="1"/>
  <c r="I10" i="1"/>
  <c r="G10" i="5"/>
  <c r="L9" i="5"/>
  <c r="J9" i="1"/>
  <c r="H9" i="5"/>
  <c r="F9" i="1"/>
  <c r="K8" i="5"/>
  <c r="I8" i="5"/>
  <c r="G8" i="5"/>
  <c r="F7" i="1"/>
  <c r="G6" i="5"/>
  <c r="L5" i="1"/>
  <c r="J5" i="5"/>
  <c r="H5" i="1"/>
  <c r="F5" i="5"/>
  <c r="D5" i="5"/>
  <c r="C23" i="9"/>
  <c r="C23" i="10" s="1"/>
  <c r="G9" i="1"/>
  <c r="K5" i="1"/>
  <c r="G5" i="5"/>
  <c r="L25" i="6"/>
  <c r="J25" i="6"/>
  <c r="I25" i="6"/>
  <c r="H25" i="6"/>
  <c r="F25" i="6"/>
  <c r="D25" i="6"/>
  <c r="K25" i="5"/>
  <c r="I25" i="5"/>
  <c r="G25" i="5"/>
  <c r="E25" i="5"/>
  <c r="J25" i="1"/>
  <c r="C4" i="9"/>
  <c r="C4" i="10" s="1"/>
  <c r="I10" i="6"/>
  <c r="G10" i="6"/>
  <c r="E10" i="6"/>
  <c r="J9" i="6"/>
  <c r="H9" i="6"/>
  <c r="D9" i="6"/>
  <c r="K8" i="6"/>
  <c r="I8" i="6"/>
  <c r="G8" i="6"/>
  <c r="L7" i="6"/>
  <c r="J7" i="6"/>
  <c r="H7" i="6"/>
  <c r="F7" i="6"/>
  <c r="D7" i="6"/>
  <c r="K6" i="6"/>
  <c r="I6" i="6"/>
  <c r="G6" i="6"/>
  <c r="E6" i="6"/>
  <c r="D5" i="6"/>
  <c r="K8" i="1"/>
  <c r="K17" i="5"/>
  <c r="K24" i="1"/>
  <c r="J20" i="5"/>
  <c r="I17" i="5"/>
  <c r="I5" i="5"/>
  <c r="H16" i="1"/>
  <c r="H20" i="5"/>
  <c r="G10" i="1"/>
  <c r="G17" i="5"/>
  <c r="G20" i="5"/>
  <c r="F17" i="1"/>
  <c r="E12" i="1"/>
  <c r="E13" i="5"/>
  <c r="E13" i="7" s="1"/>
  <c r="E15" i="5"/>
  <c r="E19" i="5"/>
  <c r="E23" i="5"/>
  <c r="E9" i="5"/>
  <c r="E7" i="1"/>
  <c r="E5" i="5"/>
  <c r="D22" i="1"/>
  <c r="D6" i="1"/>
  <c r="J8" i="1"/>
  <c r="E13" i="1"/>
  <c r="G15" i="1"/>
  <c r="K16" i="1"/>
  <c r="H19" i="1"/>
  <c r="L20" i="1"/>
  <c r="L22" i="1"/>
  <c r="D17" i="1"/>
  <c r="L6" i="6"/>
  <c r="J8" i="6"/>
  <c r="H10" i="6"/>
  <c r="K10" i="6"/>
  <c r="D11" i="6"/>
  <c r="F11" i="6"/>
  <c r="H11" i="6"/>
  <c r="J11" i="6"/>
  <c r="L11" i="6"/>
  <c r="E12" i="6"/>
  <c r="G12" i="6"/>
  <c r="I12" i="6"/>
  <c r="K12" i="6"/>
  <c r="D13" i="6"/>
  <c r="F13" i="6"/>
  <c r="H13" i="6"/>
  <c r="J13" i="6"/>
  <c r="L13" i="6"/>
  <c r="E14" i="6"/>
  <c r="G14" i="6"/>
  <c r="I14" i="6"/>
  <c r="K14" i="6"/>
  <c r="D15" i="6"/>
  <c r="F15" i="6"/>
  <c r="H15" i="6"/>
  <c r="J15" i="6"/>
  <c r="L15" i="6"/>
  <c r="E16" i="6"/>
  <c r="F16" i="6"/>
  <c r="G16" i="6"/>
  <c r="H16" i="6"/>
  <c r="I16" i="6"/>
  <c r="J16" i="6"/>
  <c r="K16" i="6"/>
  <c r="L16" i="6"/>
  <c r="D17" i="6"/>
  <c r="D17" i="7" s="1"/>
  <c r="E17" i="6"/>
  <c r="F17" i="6"/>
  <c r="G17" i="6"/>
  <c r="H17" i="6"/>
  <c r="I17" i="6"/>
  <c r="J17" i="6"/>
  <c r="L17" i="6"/>
  <c r="E18" i="6"/>
  <c r="F18" i="6"/>
  <c r="G18" i="6"/>
  <c r="I18" i="6"/>
  <c r="K18" i="6"/>
  <c r="D19" i="6"/>
  <c r="F19" i="6"/>
  <c r="H19" i="6"/>
  <c r="J19" i="6"/>
  <c r="L19" i="6"/>
  <c r="E20" i="6"/>
  <c r="G20" i="6"/>
  <c r="I20" i="6"/>
  <c r="K20" i="6"/>
  <c r="D21" i="6"/>
  <c r="F21" i="6"/>
  <c r="H21" i="6"/>
  <c r="J21" i="6"/>
  <c r="L21" i="6"/>
  <c r="E22" i="6"/>
  <c r="F22" i="6"/>
  <c r="G22" i="6"/>
  <c r="I22" i="6"/>
  <c r="K22" i="6"/>
  <c r="D23" i="6"/>
  <c r="F23" i="6"/>
  <c r="G23" i="6"/>
  <c r="H23" i="6"/>
  <c r="I23" i="6"/>
  <c r="J23" i="6"/>
  <c r="K23" i="6"/>
  <c r="L23" i="6"/>
  <c r="D24" i="6"/>
  <c r="E24" i="6"/>
  <c r="F24" i="6"/>
  <c r="G24" i="6"/>
  <c r="H24" i="6"/>
  <c r="I24" i="6"/>
  <c r="J24" i="6"/>
  <c r="K24" i="6"/>
  <c r="L24" i="6"/>
  <c r="J6" i="5"/>
  <c r="G7" i="5"/>
  <c r="K7" i="5"/>
  <c r="H8" i="5"/>
  <c r="J8" i="5"/>
  <c r="F9" i="5"/>
  <c r="G9" i="5"/>
  <c r="I9" i="5"/>
  <c r="J9" i="5"/>
  <c r="K9" i="5"/>
  <c r="D10" i="5"/>
  <c r="H10" i="5"/>
  <c r="I10" i="5"/>
  <c r="J10" i="5"/>
  <c r="K10" i="5"/>
  <c r="E11" i="5"/>
  <c r="G11" i="5"/>
  <c r="I11" i="5"/>
  <c r="K11" i="5"/>
  <c r="D12" i="5"/>
  <c r="H12" i="5"/>
  <c r="J12" i="5"/>
  <c r="L12" i="5"/>
  <c r="G13" i="5"/>
  <c r="I13" i="5"/>
  <c r="K13" i="5"/>
  <c r="D14" i="5"/>
  <c r="H14" i="5"/>
  <c r="J14" i="5"/>
  <c r="G15" i="5"/>
  <c r="I15" i="5"/>
  <c r="K15" i="5"/>
  <c r="L16" i="5"/>
  <c r="F17" i="5"/>
  <c r="K18" i="5"/>
  <c r="L18" i="5"/>
  <c r="D19" i="5"/>
  <c r="J19" i="5"/>
  <c r="L20" i="5"/>
  <c r="F21" i="5"/>
  <c r="L22" i="5"/>
  <c r="H23" i="5"/>
  <c r="D24" i="5"/>
  <c r="F24" i="5"/>
  <c r="H24" i="5"/>
  <c r="J24" i="5"/>
  <c r="L24" i="5"/>
  <c r="B4" i="8"/>
  <c r="C3" i="10"/>
  <c r="C18" i="9"/>
  <c r="C18" i="10" s="1"/>
  <c r="C20" i="9"/>
  <c r="C20" i="10" s="1"/>
  <c r="C14" i="9"/>
  <c r="C14" i="10" s="1"/>
  <c r="C11" i="9"/>
  <c r="C11" i="10" s="1"/>
  <c r="C8" i="9"/>
  <c r="C8" i="10" s="1"/>
  <c r="C22" i="9"/>
  <c r="C22" i="10" s="1"/>
  <c r="C21" i="9"/>
  <c r="C21" i="10" s="1"/>
  <c r="C19" i="9"/>
  <c r="C19" i="10" s="1"/>
  <c r="C16" i="9"/>
  <c r="C16" i="10" s="1"/>
  <c r="C13" i="9"/>
  <c r="C13" i="10" s="1"/>
  <c r="F12" i="5"/>
  <c r="G17" i="1"/>
  <c r="J5" i="1"/>
  <c r="L13" i="1"/>
  <c r="D11" i="1"/>
  <c r="F9" i="6"/>
  <c r="L9" i="1"/>
  <c r="L9" i="6"/>
  <c r="E8" i="6"/>
  <c r="K5" i="5"/>
  <c r="L5" i="6"/>
  <c r="J5" i="6"/>
  <c r="H5" i="6"/>
  <c r="F5" i="6"/>
  <c r="K24" i="5"/>
  <c r="G24" i="5"/>
  <c r="K23" i="5"/>
  <c r="I23" i="5"/>
  <c r="G23" i="5"/>
  <c r="J22" i="5"/>
  <c r="H22" i="5"/>
  <c r="K21" i="5"/>
  <c r="I21" i="5"/>
  <c r="G21" i="5"/>
  <c r="E21" i="5"/>
  <c r="K19" i="5"/>
  <c r="I19" i="5"/>
  <c r="G19" i="5"/>
  <c r="J18" i="5"/>
  <c r="H18" i="5"/>
  <c r="E17" i="5"/>
  <c r="J16" i="5"/>
  <c r="H16" i="5"/>
  <c r="L14" i="5"/>
  <c r="F14" i="5"/>
  <c r="I12" i="5"/>
  <c r="G12" i="5"/>
  <c r="L10" i="5"/>
  <c r="L8" i="5"/>
  <c r="E7" i="5"/>
  <c r="L6" i="5"/>
  <c r="G8" i="1"/>
  <c r="F20" i="1"/>
  <c r="F16" i="1"/>
  <c r="F13" i="1"/>
  <c r="F22" i="5"/>
  <c r="D22" i="5"/>
  <c r="F20" i="5"/>
  <c r="D20" i="5"/>
  <c r="F18" i="5"/>
  <c r="F18" i="7" s="1"/>
  <c r="D18" i="5"/>
  <c r="F16" i="5"/>
  <c r="D16" i="5"/>
  <c r="F15" i="5"/>
  <c r="D15" i="5"/>
  <c r="F13" i="5"/>
  <c r="D13" i="5"/>
  <c r="F10" i="5"/>
  <c r="F8" i="5"/>
  <c r="D8" i="5"/>
  <c r="F6" i="5"/>
  <c r="D6" i="5"/>
  <c r="C17" i="9"/>
  <c r="C17" i="10" s="1"/>
  <c r="C15" i="9"/>
  <c r="C15" i="10" s="1"/>
  <c r="C12" i="9"/>
  <c r="C12" i="10" s="1"/>
  <c r="C10" i="9"/>
  <c r="C10" i="10" s="1"/>
  <c r="C9" i="9"/>
  <c r="C9" i="10" s="1"/>
  <c r="C7" i="9"/>
  <c r="C7" i="10" s="1"/>
  <c r="I7" i="5"/>
  <c r="H6" i="5"/>
  <c r="L9" i="7" l="1"/>
  <c r="K18" i="7"/>
  <c r="K10" i="7"/>
  <c r="E23" i="7"/>
  <c r="C25" i="10"/>
  <c r="C24" i="10"/>
  <c r="D6" i="7"/>
  <c r="F15" i="7"/>
  <c r="F22" i="7"/>
  <c r="J19" i="7"/>
  <c r="I7" i="7"/>
  <c r="I12" i="7"/>
  <c r="G24" i="7"/>
  <c r="J5" i="7"/>
  <c r="H23" i="7"/>
  <c r="G23" i="7"/>
  <c r="D24" i="7"/>
  <c r="J9" i="7"/>
  <c r="G6" i="7"/>
  <c r="G9" i="7"/>
  <c r="D13" i="7"/>
  <c r="F17" i="7"/>
  <c r="L6" i="7"/>
  <c r="L22" i="7"/>
  <c r="E12" i="7"/>
  <c r="K16" i="7"/>
  <c r="J25" i="7"/>
  <c r="J6" i="7"/>
  <c r="L10" i="7"/>
  <c r="G15" i="7"/>
  <c r="D11" i="7"/>
  <c r="F16" i="7"/>
  <c r="F20" i="7"/>
  <c r="K24" i="7"/>
  <c r="D19" i="7"/>
  <c r="I10" i="7"/>
  <c r="F9" i="7"/>
  <c r="G17" i="7"/>
  <c r="F11" i="7"/>
  <c r="K5" i="7"/>
  <c r="H24" i="7"/>
  <c r="E17" i="7"/>
  <c r="K17" i="7"/>
  <c r="L16" i="7"/>
  <c r="I17" i="7"/>
  <c r="G10" i="7"/>
  <c r="J8" i="7"/>
  <c r="L15" i="7"/>
  <c r="H16" i="7"/>
  <c r="F24" i="7"/>
  <c r="F21" i="7"/>
  <c r="I25" i="7"/>
  <c r="G8" i="7"/>
  <c r="H9" i="7"/>
  <c r="G18" i="7"/>
  <c r="H19" i="7"/>
  <c r="F13" i="7"/>
  <c r="K23" i="7"/>
  <c r="L12" i="7"/>
  <c r="G20" i="7"/>
  <c r="I8" i="7"/>
  <c r="D15" i="7"/>
  <c r="D18" i="7"/>
  <c r="D22" i="7"/>
  <c r="L13" i="7"/>
  <c r="E22" i="7"/>
  <c r="F5" i="7"/>
  <c r="D5" i="7"/>
  <c r="K25" i="7"/>
  <c r="H10" i="7"/>
  <c r="L18" i="7"/>
  <c r="H20" i="7"/>
  <c r="J24" i="7"/>
  <c r="G12" i="7"/>
  <c r="D5" i="1"/>
  <c r="H5" i="5"/>
  <c r="H5" i="7" s="1"/>
  <c r="L24" i="7"/>
  <c r="F7" i="5"/>
  <c r="F7" i="7" s="1"/>
  <c r="E6" i="1"/>
  <c r="E6" i="5"/>
  <c r="E6" i="7" s="1"/>
  <c r="I6" i="5"/>
  <c r="I6" i="7" s="1"/>
  <c r="I6" i="1"/>
  <c r="D7" i="1"/>
  <c r="D7" i="5"/>
  <c r="D7" i="7" s="1"/>
  <c r="H7" i="5"/>
  <c r="H7" i="7" s="1"/>
  <c r="H7" i="1"/>
  <c r="L7" i="1"/>
  <c r="L7" i="5"/>
  <c r="L7" i="7" s="1"/>
  <c r="K8" i="7"/>
  <c r="E10" i="5"/>
  <c r="E10" i="7" s="1"/>
  <c r="L11" i="5"/>
  <c r="L11" i="7" s="1"/>
  <c r="L11" i="1"/>
  <c r="J13" i="1"/>
  <c r="J13" i="5"/>
  <c r="J13" i="7" s="1"/>
  <c r="I14" i="1"/>
  <c r="I14" i="5"/>
  <c r="I14" i="7" s="1"/>
  <c r="H15" i="5"/>
  <c r="H15" i="7" s="1"/>
  <c r="H15" i="1"/>
  <c r="J17" i="1"/>
  <c r="J17" i="5"/>
  <c r="J17" i="7" s="1"/>
  <c r="E18" i="5"/>
  <c r="E18" i="7" s="1"/>
  <c r="E18" i="1"/>
  <c r="K20" i="1"/>
  <c r="K20" i="5"/>
  <c r="K20" i="7" s="1"/>
  <c r="J21" i="5"/>
  <c r="J21" i="7" s="1"/>
  <c r="J21" i="1"/>
  <c r="D23" i="1"/>
  <c r="D23" i="5"/>
  <c r="D23" i="7" s="1"/>
  <c r="L23" i="1"/>
  <c r="L23" i="5"/>
  <c r="L23" i="7" s="1"/>
  <c r="F25" i="5"/>
  <c r="F25" i="7" s="1"/>
  <c r="F25" i="1"/>
  <c r="I5" i="1"/>
  <c r="I5" i="6"/>
  <c r="I5" i="7" s="1"/>
  <c r="H6" i="1"/>
  <c r="H6" i="6"/>
  <c r="H6" i="7" s="1"/>
  <c r="G7" i="1"/>
  <c r="G7" i="6"/>
  <c r="G7" i="7" s="1"/>
  <c r="F8" i="1"/>
  <c r="F8" i="6"/>
  <c r="F8" i="7" s="1"/>
  <c r="E9" i="1"/>
  <c r="E9" i="6"/>
  <c r="E9" i="7" s="1"/>
  <c r="D10" i="6"/>
  <c r="D10" i="7" s="1"/>
  <c r="D10" i="1"/>
  <c r="K11" i="6"/>
  <c r="K11" i="7" s="1"/>
  <c r="K11" i="1"/>
  <c r="F12" i="1"/>
  <c r="F12" i="6"/>
  <c r="F12" i="7" s="1"/>
  <c r="J12" i="1"/>
  <c r="J12" i="6"/>
  <c r="J12" i="7" s="1"/>
  <c r="I13" i="6"/>
  <c r="I13" i="7" s="1"/>
  <c r="I13" i="1"/>
  <c r="D14" i="1"/>
  <c r="D14" i="6"/>
  <c r="D14" i="7" s="1"/>
  <c r="H14" i="6"/>
  <c r="H14" i="7" s="1"/>
  <c r="H14" i="1"/>
  <c r="L14" i="6"/>
  <c r="L14" i="7" s="1"/>
  <c r="L14" i="1"/>
  <c r="K15" i="1"/>
  <c r="K15" i="6"/>
  <c r="K15" i="7" s="1"/>
  <c r="H18" i="6"/>
  <c r="H18" i="7" s="1"/>
  <c r="H18" i="1"/>
  <c r="G19" i="6"/>
  <c r="G19" i="7" s="1"/>
  <c r="G19" i="1"/>
  <c r="K19" i="6"/>
  <c r="K19" i="7" s="1"/>
  <c r="K19" i="1"/>
  <c r="J20" i="6"/>
  <c r="J20" i="7" s="1"/>
  <c r="J20" i="1"/>
  <c r="E21" i="6"/>
  <c r="E21" i="7" s="1"/>
  <c r="E21" i="1"/>
  <c r="I21" i="6"/>
  <c r="I21" i="7" s="1"/>
  <c r="I21" i="1"/>
  <c r="H22" i="1"/>
  <c r="H22" i="6"/>
  <c r="H22" i="7" s="1"/>
  <c r="E25" i="1"/>
  <c r="E25" i="6"/>
  <c r="E7" i="7"/>
  <c r="J16" i="7"/>
  <c r="I23" i="7"/>
  <c r="I24" i="5"/>
  <c r="I24" i="7" s="1"/>
  <c r="G6" i="1"/>
  <c r="F11" i="1"/>
  <c r="F23" i="5"/>
  <c r="F23" i="7" s="1"/>
  <c r="H21" i="5"/>
  <c r="H21" i="7" s="1"/>
  <c r="L19" i="5"/>
  <c r="L19" i="7" s="1"/>
  <c r="H17" i="5"/>
  <c r="H17" i="7" s="1"/>
  <c r="G16" i="5"/>
  <c r="G16" i="7" s="1"/>
  <c r="G11" i="7"/>
  <c r="K7" i="6"/>
  <c r="K7" i="7" s="1"/>
  <c r="H20" i="1"/>
  <c r="L15" i="1"/>
  <c r="G11" i="1"/>
  <c r="D18" i="1"/>
  <c r="J15" i="5"/>
  <c r="J15" i="7" s="1"/>
  <c r="L12" i="1"/>
  <c r="E25" i="7"/>
  <c r="I7" i="1"/>
  <c r="K6" i="1"/>
  <c r="K6" i="5"/>
  <c r="K6" i="7" s="1"/>
  <c r="J7" i="5"/>
  <c r="J7" i="7" s="1"/>
  <c r="J7" i="1"/>
  <c r="E8" i="5"/>
  <c r="E8" i="7" s="1"/>
  <c r="E8" i="1"/>
  <c r="D9" i="1"/>
  <c r="D9" i="5"/>
  <c r="D9" i="7" s="1"/>
  <c r="J11" i="1"/>
  <c r="J11" i="5"/>
  <c r="J11" i="7" s="1"/>
  <c r="H13" i="1"/>
  <c r="H13" i="5"/>
  <c r="H13" i="7" s="1"/>
  <c r="G14" i="1"/>
  <c r="G14" i="5"/>
  <c r="G14" i="7" s="1"/>
  <c r="K14" i="1"/>
  <c r="K14" i="5"/>
  <c r="K14" i="7" s="1"/>
  <c r="E16" i="5"/>
  <c r="E16" i="7" s="1"/>
  <c r="E16" i="1"/>
  <c r="I16" i="1"/>
  <c r="I16" i="5"/>
  <c r="I16" i="7" s="1"/>
  <c r="L17" i="5"/>
  <c r="L17" i="7" s="1"/>
  <c r="L17" i="1"/>
  <c r="F19" i="1"/>
  <c r="F19" i="5"/>
  <c r="F19" i="7" s="1"/>
  <c r="E20" i="5"/>
  <c r="E20" i="7" s="1"/>
  <c r="E20" i="1"/>
  <c r="I20" i="1"/>
  <c r="I20" i="5"/>
  <c r="I20" i="7" s="1"/>
  <c r="D21" i="5"/>
  <c r="D21" i="7" s="1"/>
  <c r="D21" i="1"/>
  <c r="L21" i="1"/>
  <c r="L21" i="5"/>
  <c r="L21" i="7" s="1"/>
  <c r="G22" i="1"/>
  <c r="G22" i="5"/>
  <c r="G22" i="7" s="1"/>
  <c r="K22" i="1"/>
  <c r="K22" i="5"/>
  <c r="K22" i="7" s="1"/>
  <c r="J23" i="1"/>
  <c r="J23" i="5"/>
  <c r="J23" i="7" s="1"/>
  <c r="D25" i="1"/>
  <c r="D25" i="5"/>
  <c r="D25" i="7" s="1"/>
  <c r="H25" i="1"/>
  <c r="H25" i="5"/>
  <c r="H25" i="7" s="1"/>
  <c r="L25" i="1"/>
  <c r="L25" i="5"/>
  <c r="L25" i="7" s="1"/>
  <c r="G5" i="6"/>
  <c r="G5" i="7" s="1"/>
  <c r="G5" i="1"/>
  <c r="F6" i="6"/>
  <c r="F6" i="7" s="1"/>
  <c r="F6" i="1"/>
  <c r="D8" i="6"/>
  <c r="D8" i="7" s="1"/>
  <c r="D8" i="1"/>
  <c r="H8" i="1"/>
  <c r="H8" i="6"/>
  <c r="H8" i="7" s="1"/>
  <c r="L8" i="1"/>
  <c r="L8" i="6"/>
  <c r="L8" i="7" s="1"/>
  <c r="K9" i="1"/>
  <c r="K9" i="6"/>
  <c r="K9" i="7" s="1"/>
  <c r="F10" i="6"/>
  <c r="F10" i="7" s="1"/>
  <c r="F10" i="1"/>
  <c r="J10" i="1"/>
  <c r="J10" i="6"/>
  <c r="J10" i="7" s="1"/>
  <c r="E11" i="1"/>
  <c r="E11" i="6"/>
  <c r="E11" i="7" s="1"/>
  <c r="I11" i="6"/>
  <c r="I11" i="7" s="1"/>
  <c r="I11" i="1"/>
  <c r="D12" i="6"/>
  <c r="D12" i="7" s="1"/>
  <c r="D12" i="1"/>
  <c r="H12" i="6"/>
  <c r="H12" i="7" s="1"/>
  <c r="H12" i="1"/>
  <c r="G13" i="1"/>
  <c r="G13" i="6"/>
  <c r="G13" i="7" s="1"/>
  <c r="K13" i="1"/>
  <c r="K13" i="6"/>
  <c r="K13" i="7" s="1"/>
  <c r="F14" i="1"/>
  <c r="F14" i="6"/>
  <c r="F14" i="7" s="1"/>
  <c r="J14" i="6"/>
  <c r="J14" i="7" s="1"/>
  <c r="J14" i="1"/>
  <c r="E15" i="1"/>
  <c r="E15" i="6"/>
  <c r="E15" i="7" s="1"/>
  <c r="I15" i="1"/>
  <c r="I15" i="6"/>
  <c r="I15" i="7" s="1"/>
  <c r="D16" i="1"/>
  <c r="D16" i="6"/>
  <c r="D16" i="7" s="1"/>
  <c r="J18" i="6"/>
  <c r="J18" i="7" s="1"/>
  <c r="J18" i="1"/>
  <c r="E19" i="6"/>
  <c r="E19" i="7" s="1"/>
  <c r="E19" i="1"/>
  <c r="I19" i="1"/>
  <c r="I19" i="6"/>
  <c r="I19" i="7" s="1"/>
  <c r="D20" i="1"/>
  <c r="D20" i="6"/>
  <c r="D20" i="7" s="1"/>
  <c r="G21" i="1"/>
  <c r="G21" i="6"/>
  <c r="G21" i="7" s="1"/>
  <c r="K21" i="6"/>
  <c r="K21" i="7" s="1"/>
  <c r="K21" i="1"/>
  <c r="J22" i="6"/>
  <c r="J22" i="7" s="1"/>
  <c r="J22" i="1"/>
  <c r="G25" i="6"/>
  <c r="G25" i="7" s="1"/>
  <c r="G25" i="1"/>
  <c r="G18" i="1"/>
  <c r="H11" i="5"/>
  <c r="H11" i="7" s="1"/>
  <c r="K12" i="5"/>
  <c r="K12" i="7" s="1"/>
  <c r="E24" i="5"/>
  <c r="E24" i="7" s="1"/>
  <c r="L18" i="1"/>
  <c r="F5" i="1"/>
  <c r="E23" i="1"/>
  <c r="L5" i="5"/>
  <c r="L5" i="7" s="1"/>
  <c r="E5" i="6"/>
  <c r="E5" i="7" s="1"/>
  <c r="I22" i="5"/>
  <c r="I22" i="7" s="1"/>
  <c r="L20" i="7"/>
  <c r="I18" i="5"/>
  <c r="I18" i="7" s="1"/>
  <c r="E14" i="5"/>
  <c r="E14" i="7" s="1"/>
  <c r="I9" i="6"/>
  <c r="I9" i="7" s="1"/>
  <c r="E22" i="1"/>
  <c r="K17" i="1"/>
  <c r="J6" i="1"/>
  <c r="H9" i="1"/>
  <c r="I8" i="1"/>
  <c r="K25" i="1"/>
  <c r="L10" i="1"/>
</calcChain>
</file>

<file path=xl/sharedStrings.xml><?xml version="1.0" encoding="utf-8"?>
<sst xmlns="http://schemas.openxmlformats.org/spreadsheetml/2006/main" count="806" uniqueCount="106">
  <si>
    <t>Network Tariff Component</t>
  </si>
  <si>
    <t>Minimum Chargeable Rolling Demand</t>
  </si>
  <si>
    <t>Description</t>
  </si>
  <si>
    <t>Tariff Code</t>
  </si>
  <si>
    <t>Summer Peak Energy (c/kWh)</t>
  </si>
  <si>
    <t>Non Summer Peak Energy Block 1 (c/kWh)</t>
  </si>
  <si>
    <t>Non Summer Peak Energy Block 2 (c/kWh)</t>
  </si>
  <si>
    <t>Off Peak Energy (c/kWh)</t>
  </si>
  <si>
    <t>Rolling Peak Demand c/kVA/day</t>
  </si>
  <si>
    <t>Summer Demand Incentive Charge c/kW/day or c/kVA/day</t>
  </si>
  <si>
    <t>kVA</t>
  </si>
  <si>
    <t>MWh pa</t>
  </si>
  <si>
    <t>Residential Customer</t>
  </si>
  <si>
    <t>LVS2R*</t>
  </si>
  <si>
    <t>UnMet</t>
  </si>
  <si>
    <t>&lt;20</t>
  </si>
  <si>
    <t>Low voltage KW time of use - HOT</t>
  </si>
  <si>
    <t>LVL1R*</t>
  </si>
  <si>
    <t>LVL2R*</t>
  </si>
  <si>
    <t>LVkVATOU</t>
  </si>
  <si>
    <t>&gt;150</t>
  </si>
  <si>
    <t>&gt;400</t>
  </si>
  <si>
    <t>HVkVATOU</t>
  </si>
  <si>
    <t>Metering Data Services (Unmetered Supplies)</t>
  </si>
  <si>
    <t>$/light/annum</t>
  </si>
  <si>
    <t>Per light</t>
  </si>
  <si>
    <t>Low voltage small 2 rate*</t>
  </si>
  <si>
    <t>Unmetered supplies</t>
  </si>
  <si>
    <t>Low voltage medium 2 rate 5 day*</t>
  </si>
  <si>
    <t>Low voltage medium 2 rate 7 day*</t>
  </si>
  <si>
    <t>Low voltage large 1 rate*</t>
  </si>
  <si>
    <t>Low voltage large 2 rate*</t>
  </si>
  <si>
    <t>Low voltage large KVA time of use</t>
  </si>
  <si>
    <t>High voltage KVA time of use</t>
  </si>
  <si>
    <t>Subtransmission KVA time of use*</t>
  </si>
  <si>
    <t>Eligibility (consumption/   category)</t>
  </si>
  <si>
    <t>Eligibility (consumption/ category)</t>
  </si>
  <si>
    <t>Standing Charge (c/day)</t>
  </si>
  <si>
    <t>LVkWTOU*</t>
  </si>
  <si>
    <t>Low voltage KW time of use*</t>
  </si>
  <si>
    <t>LVM2R5D*</t>
  </si>
  <si>
    <t>LVM2R7D*</t>
  </si>
  <si>
    <t>TOD</t>
  </si>
  <si>
    <t>TOU</t>
  </si>
  <si>
    <t>Time of Day</t>
  </si>
  <si>
    <t>Time of Use</t>
  </si>
  <si>
    <t>Summer Shoulder Energy (c/kWh)</t>
  </si>
  <si>
    <t>Non Summer Shoulder Energy (c/kWh)</t>
  </si>
  <si>
    <t>Dedicated circuit**</t>
  </si>
  <si>
    <t>LVDed**</t>
  </si>
  <si>
    <t>Winter Energy Tariff*</t>
  </si>
  <si>
    <t>WET2Step*</t>
  </si>
  <si>
    <t>Reverse cycle airconditioning time of use*</t>
  </si>
  <si>
    <t>RCACkWTOU*</t>
  </si>
  <si>
    <t>Low voltage large KVA time of use - HOT*</t>
  </si>
  <si>
    <t>LVkVATOUH*</t>
  </si>
  <si>
    <t>HVkVATOUH*</t>
  </si>
  <si>
    <t>SubTkVATOU*</t>
  </si>
  <si>
    <t>&gt;20 &amp; &lt;400</t>
  </si>
  <si>
    <t>LVkWTOUH*</t>
  </si>
  <si>
    <t>High voltage KVA time of use - HOT*</t>
  </si>
  <si>
    <t>Low voltage small 1 rate</t>
  </si>
  <si>
    <t>Dedicated circuit</t>
  </si>
  <si>
    <t>Low voltage medium 1 rate</t>
  </si>
  <si>
    <t>LVS1R</t>
  </si>
  <si>
    <t>LVM1R</t>
  </si>
  <si>
    <t>UED Network Tariff Description</t>
  </si>
  <si>
    <t>UED Tariff Code</t>
  </si>
  <si>
    <t>PFIT (F)
TFIT (T)</t>
  </si>
  <si>
    <t>F,T</t>
  </si>
  <si>
    <t>TOD9</t>
  </si>
  <si>
    <t>Time of Day 9pm off-peak</t>
  </si>
  <si>
    <t>* Tariff closed to premises not already taking supply under this tariff and new connections.</t>
  </si>
  <si>
    <t>LVDed</t>
  </si>
  <si>
    <r>
      <t xml:space="preserve">PFIT (Premium Feed-In Tariff) is defined by an “F” added to the </t>
    </r>
    <r>
      <rPr>
        <sz val="10"/>
        <rFont val="Arial"/>
        <family val="2"/>
      </rPr>
      <t xml:space="preserve">front of an existing distribution tariff ie. FTOD. The PFIT tariffs are closed to new connections. </t>
    </r>
  </si>
  <si>
    <t xml:space="preserve">TFIT (Transitional Feed-In Tariff) is defined by an “T” added to the front of an existing distribution tariff ie. TTOD. The TFIT tariffs are open to new connections that meet the solar criteria. </t>
  </si>
  <si>
    <t>Time of Day Flexible</t>
  </si>
  <si>
    <t>TODFLEX</t>
  </si>
  <si>
    <t>F, T</t>
  </si>
  <si>
    <t>NA</t>
  </si>
  <si>
    <t>&lt;20 (on LVS1R)</t>
  </si>
  <si>
    <t>PFIT/TFIT Pass Through Charge (c/cust/day)</t>
  </si>
  <si>
    <t xml:space="preserve"> Pass Through Charge (c/cust/day)</t>
  </si>
  <si>
    <t>Schedule of Distribution Use of System (DUOS) Tariffs: 1 January 2015 (GST Exclusive)</t>
  </si>
  <si>
    <t>UED PFIT/TFIT pass through charge: 1 January 2015 (GST Exclusive)</t>
  </si>
  <si>
    <t>2015 Prescribed Metering Service Charges (GST Exclusive)</t>
  </si>
  <si>
    <t>Schedule of Distribution Use of System (DUOS) Tariffs: 1 January 2015 (GST Inclusive)</t>
  </si>
  <si>
    <t>Schedule of Transmission Use of System (TUOS) Tariffs: 1 January 2015 (GST Inclusive)</t>
  </si>
  <si>
    <t>Schedule of Network Use of System (NUOS) Tariffs: 1 January 2015 (GST Inclusive)</t>
  </si>
  <si>
    <t>UED PFIT/TFIT pass through charge: 1 January 2015 (GST Inclusive)</t>
  </si>
  <si>
    <t>2015 Prescribed Metering Service Charges (GST Inclusive)</t>
  </si>
  <si>
    <t>UED 'F' (fire) factor pass through charge: 1 January 2015 (GST Exclusive)</t>
  </si>
  <si>
    <t>Summer Demand Max KW  c/KW/day</t>
  </si>
  <si>
    <t>Non-summer Demand Max KW  c/KW/day</t>
  </si>
  <si>
    <t>Minimum Chargeable Demand</t>
  </si>
  <si>
    <t>KW</t>
  </si>
  <si>
    <t>Schedule of Distribution Use of System (TUOS) Tariffs: 1 January 2015 (GST Exclusive)</t>
  </si>
  <si>
    <t>Sesonal Demand TOU RES</t>
  </si>
  <si>
    <t>LVKWTOURES</t>
  </si>
  <si>
    <t>Summer peak energy rates apply for period 1st November to 31st March (except TODFLEX which follows daylight savings periods) &amp; LVKWTOURES which apply 1st December to 31st March.</t>
  </si>
  <si>
    <t>Non-summer peak energy rates apply for period 1st April to 31st October (except TODFLEX which follows non daylight savings periods) &amp; LVKWTOURES which apply from 1st April to 30th November</t>
  </si>
  <si>
    <t>UED 'F' (fire) factor pass through charge: 1 January 2015 (GST Inclusive)</t>
  </si>
  <si>
    <t>Schedule of Distribution Use of System (NUOS) Tariffs: 1 January 2015 (GST Exclusive)</t>
  </si>
  <si>
    <t>LVKWTOURES**</t>
  </si>
  <si>
    <t>Sesonal Demand TOU RES**</t>
  </si>
  <si>
    <t>** LVKWTOURES available from 1st July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</si>
</sst>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164" formatCode="0.000"/>
    <numFmt numFmtId="165" formatCode="&quot;$&quot;#,##0.000"/>
  </numFmts>
  <fonts count="12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/>
    <xf numFmtId="0" fontId="0" fillId="0" borderId="1" xfId="0" applyBorder="1"/>
    <xf numFmtId="164" fontId="0" fillId="0" borderId="2" xfId="0" applyNumberFormat="1" applyBorder="1"/>
    <xf numFmtId="3" fontId="0" fillId="0" borderId="3" xfId="0" applyNumberFormat="1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4" fillId="0" borderId="0" xfId="0" applyFont="1" applyBorder="1"/>
    <xf numFmtId="0" fontId="6" fillId="0" borderId="0" xfId="0" applyFont="1"/>
    <xf numFmtId="0" fontId="5" fillId="0" borderId="8" xfId="2" applyFont="1" applyBorder="1"/>
    <xf numFmtId="165" fontId="5" fillId="0" borderId="8" xfId="1" applyNumberFormat="1" applyFont="1" applyFill="1" applyBorder="1"/>
    <xf numFmtId="0" fontId="2" fillId="0" borderId="0" xfId="0" applyFont="1"/>
    <xf numFmtId="0" fontId="7" fillId="2" borderId="9" xfId="2" applyFont="1" applyFill="1" applyBorder="1"/>
    <xf numFmtId="165" fontId="7" fillId="2" borderId="9" xfId="1" applyNumberFormat="1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wrapText="1"/>
    </xf>
    <xf numFmtId="0" fontId="8" fillId="0" borderId="0" xfId="0" applyFont="1" applyFill="1"/>
    <xf numFmtId="0" fontId="0" fillId="0" borderId="16" xfId="0" applyBorder="1" applyAlignment="1">
      <alignment wrapText="1"/>
    </xf>
    <xf numFmtId="164" fontId="0" fillId="0" borderId="17" xfId="0" applyNumberFormat="1" applyBorder="1"/>
    <xf numFmtId="164" fontId="0" fillId="0" borderId="18" xfId="0" applyNumberFormat="1" applyBorder="1"/>
    <xf numFmtId="164" fontId="0" fillId="0" borderId="9" xfId="0" applyNumberFormat="1" applyBorder="1"/>
    <xf numFmtId="0" fontId="0" fillId="0" borderId="10" xfId="0" applyBorder="1" applyAlignment="1">
      <alignment wrapText="1"/>
    </xf>
    <xf numFmtId="0" fontId="0" fillId="0" borderId="11" xfId="0" applyBorder="1"/>
    <xf numFmtId="3" fontId="0" fillId="0" borderId="20" xfId="0" applyNumberFormat="1" applyBorder="1"/>
    <xf numFmtId="0" fontId="5" fillId="0" borderId="9" xfId="2" applyFont="1" applyBorder="1"/>
    <xf numFmtId="165" fontId="5" fillId="0" borderId="9" xfId="1" applyNumberFormat="1" applyFont="1" applyFill="1" applyBorder="1"/>
    <xf numFmtId="0" fontId="5" fillId="0" borderId="14" xfId="0" applyFont="1" applyBorder="1" applyAlignment="1"/>
    <xf numFmtId="0" fontId="5" fillId="0" borderId="21" xfId="0" applyFont="1" applyBorder="1" applyAlignment="1"/>
    <xf numFmtId="0" fontId="5" fillId="0" borderId="15" xfId="0" applyFont="1" applyBorder="1" applyAlignment="1"/>
    <xf numFmtId="0" fontId="7" fillId="2" borderId="12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7" xfId="0" applyFill="1" applyBorder="1"/>
    <xf numFmtId="0" fontId="0" fillId="3" borderId="20" xfId="0" applyFill="1" applyBorder="1"/>
    <xf numFmtId="0" fontId="0" fillId="3" borderId="0" xfId="0" applyFill="1" applyBorder="1"/>
    <xf numFmtId="0" fontId="0" fillId="3" borderId="6" xfId="0" applyFill="1" applyBorder="1"/>
    <xf numFmtId="0" fontId="7" fillId="2" borderId="14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0" fillId="0" borderId="17" xfId="0" applyBorder="1"/>
    <xf numFmtId="0" fontId="0" fillId="0" borderId="19" xfId="0" applyBorder="1"/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10" fontId="0" fillId="0" borderId="0" xfId="3" applyNumberFormat="1" applyFont="1"/>
    <xf numFmtId="0" fontId="7" fillId="2" borderId="12" xfId="0" applyFont="1" applyFill="1" applyBorder="1" applyAlignment="1">
      <alignment horizontal="center" wrapText="1"/>
    </xf>
    <xf numFmtId="0" fontId="7" fillId="2" borderId="28" xfId="0" applyFont="1" applyFill="1" applyBorder="1"/>
    <xf numFmtId="0" fontId="7" fillId="2" borderId="5" xfId="0" applyFont="1" applyFill="1" applyBorder="1"/>
    <xf numFmtId="0" fontId="7" fillId="2" borderId="13" xfId="0" applyFont="1" applyFill="1" applyBorder="1" applyAlignment="1">
      <alignment horizontal="center" vertical="center" wrapText="1"/>
    </xf>
    <xf numFmtId="0" fontId="0" fillId="0" borderId="20" xfId="0" applyBorder="1" applyAlignment="1"/>
    <xf numFmtId="0" fontId="0" fillId="0" borderId="14" xfId="0" applyBorder="1"/>
    <xf numFmtId="0" fontId="0" fillId="0" borderId="21" xfId="0" applyBorder="1"/>
    <xf numFmtId="0" fontId="0" fillId="0" borderId="15" xfId="0" applyBorder="1"/>
    <xf numFmtId="0" fontId="0" fillId="0" borderId="29" xfId="0" applyBorder="1" applyAlignment="1">
      <alignment wrapText="1"/>
    </xf>
    <xf numFmtId="0" fontId="0" fillId="0" borderId="30" xfId="0" applyBorder="1"/>
    <xf numFmtId="0" fontId="0" fillId="0" borderId="29" xfId="0" applyBorder="1" applyAlignment="1">
      <alignment horizontal="center"/>
    </xf>
    <xf numFmtId="164" fontId="0" fillId="0" borderId="27" xfId="0" applyNumberFormat="1" applyBorder="1"/>
    <xf numFmtId="3" fontId="0" fillId="0" borderId="29" xfId="0" applyNumberFormat="1" applyBorder="1"/>
    <xf numFmtId="0" fontId="0" fillId="0" borderId="20" xfId="0" applyBorder="1"/>
    <xf numFmtId="164" fontId="0" fillId="0" borderId="32" xfId="0" applyNumberFormat="1" applyBorder="1"/>
    <xf numFmtId="164" fontId="0" fillId="0" borderId="33" xfId="0" applyNumberFormat="1" applyBorder="1"/>
    <xf numFmtId="164" fontId="0" fillId="0" borderId="34" xfId="0" applyNumberFormat="1" applyBorder="1"/>
    <xf numFmtId="0" fontId="7" fillId="2" borderId="35" xfId="0" applyFont="1" applyFill="1" applyBorder="1" applyAlignment="1">
      <alignment horizontal="center" wrapText="1"/>
    </xf>
    <xf numFmtId="0" fontId="7" fillId="2" borderId="36" xfId="0" applyFont="1" applyFill="1" applyBorder="1" applyAlignment="1">
      <alignment horizontal="center" wrapText="1"/>
    </xf>
    <xf numFmtId="0" fontId="7" fillId="2" borderId="37" xfId="0" applyFont="1" applyFill="1" applyBorder="1" applyAlignment="1">
      <alignment horizontal="center" wrapText="1"/>
    </xf>
    <xf numFmtId="0" fontId="7" fillId="2" borderId="36" xfId="0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164" fontId="0" fillId="0" borderId="39" xfId="0" applyNumberFormat="1" applyBorder="1"/>
    <xf numFmtId="3" fontId="0" fillId="0" borderId="31" xfId="0" applyNumberFormat="1" applyBorder="1"/>
    <xf numFmtId="0" fontId="0" fillId="0" borderId="39" xfId="0" applyBorder="1" applyAlignment="1">
      <alignment wrapText="1"/>
    </xf>
    <xf numFmtId="0" fontId="0" fillId="0" borderId="27" xfId="0" applyBorder="1"/>
    <xf numFmtId="3" fontId="0" fillId="0" borderId="10" xfId="0" applyNumberFormat="1" applyBorder="1"/>
    <xf numFmtId="3" fontId="0" fillId="0" borderId="16" xfId="0" applyNumberFormat="1" applyBorder="1"/>
    <xf numFmtId="0" fontId="0" fillId="0" borderId="16" xfId="0" applyBorder="1"/>
    <xf numFmtId="164" fontId="0" fillId="0" borderId="27" xfId="0" applyNumberFormat="1" applyFill="1" applyBorder="1"/>
    <xf numFmtId="164" fontId="0" fillId="0" borderId="7" xfId="0" applyNumberFormat="1" applyFill="1" applyBorder="1"/>
    <xf numFmtId="4" fontId="0" fillId="0" borderId="26" xfId="0" applyNumberFormat="1" applyBorder="1"/>
    <xf numFmtId="4" fontId="0" fillId="0" borderId="31" xfId="0" applyNumberFormat="1" applyBorder="1"/>
    <xf numFmtId="164" fontId="0" fillId="0" borderId="40" xfId="0" applyNumberFormat="1" applyBorder="1"/>
    <xf numFmtId="164" fontId="0" fillId="0" borderId="16" xfId="0" applyNumberFormat="1" applyBorder="1"/>
    <xf numFmtId="164" fontId="0" fillId="0" borderId="41" xfId="0" applyNumberFormat="1" applyBorder="1"/>
    <xf numFmtId="0" fontId="0" fillId="0" borderId="22" xfId="0" applyBorder="1" applyAlignment="1">
      <alignment wrapText="1"/>
    </xf>
    <xf numFmtId="0" fontId="0" fillId="0" borderId="23" xfId="0" applyBorder="1"/>
    <xf numFmtId="164" fontId="0" fillId="0" borderId="13" xfId="0" applyNumberFormat="1" applyBorder="1"/>
    <xf numFmtId="164" fontId="0" fillId="0" borderId="10" xfId="0" applyNumberFormat="1" applyBorder="1"/>
    <xf numFmtId="164" fontId="0" fillId="0" borderId="26" xfId="0" applyNumberFormat="1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7" xfId="0" applyBorder="1" applyAlignment="1"/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0" fillId="0" borderId="0" xfId="0" applyFont="1" applyBorder="1" applyAlignment="1"/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5" fillId="0" borderId="21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</cellXfs>
  <cellStyles count="4">
    <cellStyle name="Currency" xfId="1" builtinId="4"/>
    <cellStyle name="Normal" xfId="0" builtinId="0"/>
    <cellStyle name="Normal_United Energy Financial Model Draft Decision (Original)" xfId="2"/>
    <cellStyle name="Percent" xfId="3" builtinId="5"/>
  </cellStyles>
  <dxfs count="0"/>
  <tableStyles count="0" defaultTableStyle="TableStyleMedium2" defaultPivotStyle="PivotStyleLight16"/>
  <colors>
    <mruColors>
      <color rgb="FF5277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showGridLines="0" showZeros="0" topLeftCell="A16" zoomScale="90" zoomScaleNormal="90" workbookViewId="0">
      <selection activeCell="J7" sqref="J7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5" width="11.140625" customWidth="1"/>
    <col min="6" max="6" width="13.5703125" customWidth="1"/>
    <col min="7" max="15" width="11.140625" customWidth="1"/>
    <col min="16" max="16" width="14.42578125" bestFit="1" customWidth="1"/>
    <col min="17" max="18" width="11.28515625" customWidth="1"/>
    <col min="19" max="19" width="9.5703125" customWidth="1"/>
  </cols>
  <sheetData>
    <row r="1" spans="1:18" s="1" customFormat="1" ht="18" x14ac:dyDescent="0.25">
      <c r="A1" s="92" t="s">
        <v>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53"/>
    </row>
    <row r="2" spans="1:18" ht="13.5" thickBo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</row>
    <row r="3" spans="1:18" s="23" customFormat="1" ht="54" customHeight="1" thickBot="1" x14ac:dyDescent="0.25">
      <c r="A3" s="50"/>
      <c r="B3" s="51"/>
      <c r="C3" s="51"/>
      <c r="D3" s="96" t="s">
        <v>0</v>
      </c>
      <c r="E3" s="97"/>
      <c r="F3" s="97"/>
      <c r="G3" s="97"/>
      <c r="H3" s="97"/>
      <c r="I3" s="97"/>
      <c r="J3" s="97"/>
      <c r="K3" s="97"/>
      <c r="L3" s="97"/>
      <c r="M3" s="97"/>
      <c r="N3" s="98"/>
      <c r="O3" s="94" t="s">
        <v>35</v>
      </c>
      <c r="P3" s="95"/>
      <c r="Q3" s="52" t="s">
        <v>1</v>
      </c>
      <c r="R3" s="52" t="s">
        <v>94</v>
      </c>
    </row>
    <row r="4" spans="1:18" s="23" customFormat="1" ht="92.25" customHeight="1" thickBot="1" x14ac:dyDescent="0.25">
      <c r="A4" s="20" t="s">
        <v>2</v>
      </c>
      <c r="B4" s="21" t="s">
        <v>3</v>
      </c>
      <c r="C4" s="42" t="s">
        <v>68</v>
      </c>
      <c r="D4" s="67" t="s">
        <v>37</v>
      </c>
      <c r="E4" s="68" t="s">
        <v>4</v>
      </c>
      <c r="F4" s="68" t="s">
        <v>5</v>
      </c>
      <c r="G4" s="68" t="s">
        <v>6</v>
      </c>
      <c r="H4" s="68" t="s">
        <v>46</v>
      </c>
      <c r="I4" s="68" t="s">
        <v>47</v>
      </c>
      <c r="J4" s="68" t="s">
        <v>7</v>
      </c>
      <c r="K4" s="68" t="s">
        <v>8</v>
      </c>
      <c r="L4" s="66" t="s">
        <v>9</v>
      </c>
      <c r="M4" s="66" t="s">
        <v>92</v>
      </c>
      <c r="N4" s="66" t="s">
        <v>93</v>
      </c>
      <c r="O4" s="69" t="s">
        <v>10</v>
      </c>
      <c r="P4" s="70" t="s">
        <v>11</v>
      </c>
      <c r="Q4" s="49" t="s">
        <v>10</v>
      </c>
      <c r="R4" s="22" t="s">
        <v>95</v>
      </c>
    </row>
    <row r="5" spans="1:18" ht="25.5" customHeight="1" x14ac:dyDescent="0.2">
      <c r="A5" s="28" t="s">
        <v>61</v>
      </c>
      <c r="B5" s="29" t="s">
        <v>64</v>
      </c>
      <c r="C5" s="46" t="s">
        <v>69</v>
      </c>
      <c r="D5" s="25">
        <v>6.6820000000000004</v>
      </c>
      <c r="E5" s="26">
        <v>8.24</v>
      </c>
      <c r="F5" s="26">
        <v>5.3040000000000003</v>
      </c>
      <c r="G5" s="26">
        <v>0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63">
        <v>0</v>
      </c>
      <c r="O5" s="44" t="s">
        <v>79</v>
      </c>
      <c r="P5" s="45" t="s">
        <v>15</v>
      </c>
      <c r="Q5" s="75"/>
      <c r="R5" s="30"/>
    </row>
    <row r="6" spans="1:18" ht="25.5" customHeight="1" x14ac:dyDescent="0.2">
      <c r="A6" s="24" t="s">
        <v>26</v>
      </c>
      <c r="B6" s="2" t="s">
        <v>13</v>
      </c>
      <c r="C6" s="47"/>
      <c r="D6" s="3">
        <v>13.831</v>
      </c>
      <c r="E6" s="27">
        <v>9.9260000000000002</v>
      </c>
      <c r="F6" s="27">
        <v>7.5289999999999999</v>
      </c>
      <c r="G6" s="27">
        <v>0</v>
      </c>
      <c r="H6" s="27">
        <v>0</v>
      </c>
      <c r="I6" s="27">
        <v>0</v>
      </c>
      <c r="J6" s="27">
        <v>1.7210000000000001</v>
      </c>
      <c r="K6" s="27">
        <v>0</v>
      </c>
      <c r="L6" s="64">
        <v>0</v>
      </c>
      <c r="M6" s="27">
        <v>0</v>
      </c>
      <c r="N6" s="64">
        <v>0</v>
      </c>
      <c r="O6" s="5"/>
      <c r="P6" s="6"/>
      <c r="Q6" s="76"/>
      <c r="R6" s="4"/>
    </row>
    <row r="7" spans="1:18" ht="25.5" customHeight="1" x14ac:dyDescent="0.2">
      <c r="A7" s="24" t="s">
        <v>62</v>
      </c>
      <c r="B7" s="2" t="s">
        <v>73</v>
      </c>
      <c r="C7" s="47"/>
      <c r="D7" s="3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1.593</v>
      </c>
      <c r="K7" s="27">
        <v>0</v>
      </c>
      <c r="L7" s="64">
        <v>0</v>
      </c>
      <c r="M7" s="27">
        <v>0</v>
      </c>
      <c r="N7" s="64">
        <v>0</v>
      </c>
      <c r="O7" s="5" t="s">
        <v>79</v>
      </c>
      <c r="P7" s="6" t="s">
        <v>80</v>
      </c>
      <c r="Q7" s="77"/>
      <c r="R7" s="7"/>
    </row>
    <row r="8" spans="1:18" ht="25.5" customHeight="1" x14ac:dyDescent="0.2">
      <c r="A8" s="24" t="s">
        <v>27</v>
      </c>
      <c r="B8" s="2" t="s">
        <v>14</v>
      </c>
      <c r="C8" s="47"/>
      <c r="D8" s="3">
        <v>0</v>
      </c>
      <c r="E8" s="27">
        <v>8.3439999999999994</v>
      </c>
      <c r="F8" s="27">
        <v>6.1040000000000001</v>
      </c>
      <c r="G8" s="27">
        <v>0</v>
      </c>
      <c r="H8" s="27">
        <v>0</v>
      </c>
      <c r="I8" s="27">
        <v>0</v>
      </c>
      <c r="J8" s="27">
        <v>1.5049999999999999</v>
      </c>
      <c r="K8" s="27">
        <v>0</v>
      </c>
      <c r="L8" s="64">
        <v>0</v>
      </c>
      <c r="M8" s="27">
        <v>0</v>
      </c>
      <c r="N8" s="64">
        <v>0</v>
      </c>
      <c r="O8" s="5"/>
      <c r="P8" s="6"/>
      <c r="Q8" s="77"/>
      <c r="R8" s="7"/>
    </row>
    <row r="9" spans="1:18" ht="25.5" customHeight="1" x14ac:dyDescent="0.2">
      <c r="A9" s="24" t="s">
        <v>50</v>
      </c>
      <c r="B9" s="2" t="s">
        <v>51</v>
      </c>
      <c r="C9" s="47"/>
      <c r="D9" s="3">
        <v>8.7210000000000001</v>
      </c>
      <c r="E9" s="27">
        <v>6.5039999999999996</v>
      </c>
      <c r="F9" s="27">
        <v>4.819</v>
      </c>
      <c r="G9" s="27">
        <v>1.806</v>
      </c>
      <c r="H9" s="27">
        <v>0</v>
      </c>
      <c r="I9" s="27">
        <v>0</v>
      </c>
      <c r="J9" s="27">
        <v>0</v>
      </c>
      <c r="K9" s="27">
        <v>0</v>
      </c>
      <c r="L9" s="64">
        <v>0</v>
      </c>
      <c r="M9" s="27">
        <v>0</v>
      </c>
      <c r="N9" s="64">
        <v>0</v>
      </c>
      <c r="O9" s="5"/>
      <c r="P9" s="6"/>
      <c r="Q9" s="76"/>
      <c r="R9" s="4"/>
    </row>
    <row r="10" spans="1:18" ht="25.5" customHeight="1" x14ac:dyDescent="0.2">
      <c r="A10" s="24" t="s">
        <v>52</v>
      </c>
      <c r="B10" s="2" t="s">
        <v>53</v>
      </c>
      <c r="C10" s="47"/>
      <c r="D10" s="3">
        <v>0</v>
      </c>
      <c r="E10" s="27">
        <v>5.6520000000000001</v>
      </c>
      <c r="F10" s="27">
        <v>1.421</v>
      </c>
      <c r="G10" s="27">
        <v>0</v>
      </c>
      <c r="H10" s="27">
        <v>0</v>
      </c>
      <c r="I10" s="27">
        <v>0</v>
      </c>
      <c r="J10" s="27">
        <v>1.3959999999999999</v>
      </c>
      <c r="K10" s="27">
        <v>0</v>
      </c>
      <c r="L10" s="64">
        <v>71.021000000000001</v>
      </c>
      <c r="M10" s="27">
        <v>0</v>
      </c>
      <c r="N10" s="64">
        <v>0</v>
      </c>
      <c r="O10" s="5"/>
      <c r="P10" s="6"/>
      <c r="Q10" s="76"/>
      <c r="R10" s="4"/>
    </row>
    <row r="11" spans="1:18" ht="25.5" customHeight="1" x14ac:dyDescent="0.2">
      <c r="A11" s="24" t="s">
        <v>63</v>
      </c>
      <c r="B11" s="2" t="s">
        <v>65</v>
      </c>
      <c r="C11" s="47" t="s">
        <v>69</v>
      </c>
      <c r="D11" s="3">
        <v>12.945</v>
      </c>
      <c r="E11" s="27">
        <v>11.379</v>
      </c>
      <c r="F11" s="27">
        <v>7.0990000000000002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64">
        <v>0</v>
      </c>
      <c r="M11" s="27">
        <v>0</v>
      </c>
      <c r="N11" s="64">
        <v>0</v>
      </c>
      <c r="O11" s="5" t="s">
        <v>79</v>
      </c>
      <c r="P11" s="6" t="s">
        <v>58</v>
      </c>
      <c r="Q11" s="76"/>
      <c r="R11" s="4"/>
    </row>
    <row r="12" spans="1:18" ht="25.5" customHeight="1" x14ac:dyDescent="0.2">
      <c r="A12" s="24" t="s">
        <v>28</v>
      </c>
      <c r="B12" s="2" t="s">
        <v>40</v>
      </c>
      <c r="C12" s="47"/>
      <c r="D12" s="3">
        <v>18.587</v>
      </c>
      <c r="E12" s="27">
        <v>9.0259999999999998</v>
      </c>
      <c r="F12" s="27">
        <v>6.7640000000000002</v>
      </c>
      <c r="G12" s="27">
        <v>0</v>
      </c>
      <c r="H12" s="27">
        <v>0</v>
      </c>
      <c r="I12" s="27">
        <v>0</v>
      </c>
      <c r="J12" s="27">
        <v>1.6850000000000001</v>
      </c>
      <c r="K12" s="27">
        <v>0</v>
      </c>
      <c r="L12" s="64">
        <v>0</v>
      </c>
      <c r="M12" s="27">
        <v>0</v>
      </c>
      <c r="N12" s="64">
        <v>0</v>
      </c>
      <c r="O12" s="5"/>
      <c r="P12" s="6"/>
      <c r="Q12" s="76"/>
      <c r="R12" s="4"/>
    </row>
    <row r="13" spans="1:18" ht="25.5" customHeight="1" x14ac:dyDescent="0.2">
      <c r="A13" s="24" t="s">
        <v>29</v>
      </c>
      <c r="B13" s="2" t="s">
        <v>41</v>
      </c>
      <c r="C13" s="47"/>
      <c r="D13" s="3">
        <v>19.963000000000001</v>
      </c>
      <c r="E13" s="27">
        <v>8.6669999999999998</v>
      </c>
      <c r="F13" s="27">
        <v>6.7110000000000003</v>
      </c>
      <c r="G13" s="27">
        <v>0</v>
      </c>
      <c r="H13" s="27">
        <v>0</v>
      </c>
      <c r="I13" s="27">
        <v>0</v>
      </c>
      <c r="J13" s="27">
        <v>1.581</v>
      </c>
      <c r="K13" s="27">
        <v>0</v>
      </c>
      <c r="L13" s="64">
        <v>0</v>
      </c>
      <c r="M13" s="27">
        <v>0</v>
      </c>
      <c r="N13" s="64">
        <v>0</v>
      </c>
      <c r="O13" s="5"/>
      <c r="P13" s="6"/>
      <c r="Q13" s="76"/>
      <c r="R13" s="4"/>
    </row>
    <row r="14" spans="1:18" ht="25.5" customHeight="1" x14ac:dyDescent="0.2">
      <c r="A14" s="24" t="s">
        <v>39</v>
      </c>
      <c r="B14" s="2" t="s">
        <v>38</v>
      </c>
      <c r="C14" s="47"/>
      <c r="D14" s="3">
        <v>0</v>
      </c>
      <c r="E14" s="27">
        <v>8.3179999999999996</v>
      </c>
      <c r="F14" s="27">
        <v>4.8739999999999997</v>
      </c>
      <c r="G14" s="27">
        <v>0</v>
      </c>
      <c r="H14" s="27">
        <v>0</v>
      </c>
      <c r="I14" s="27">
        <v>0</v>
      </c>
      <c r="J14" s="27">
        <v>1.9370000000000001</v>
      </c>
      <c r="K14" s="27">
        <v>0</v>
      </c>
      <c r="L14" s="64">
        <v>39.829000000000001</v>
      </c>
      <c r="M14" s="27">
        <v>0</v>
      </c>
      <c r="N14" s="64">
        <v>0</v>
      </c>
      <c r="O14" s="5"/>
      <c r="P14" s="6"/>
      <c r="Q14" s="76"/>
      <c r="R14" s="4"/>
    </row>
    <row r="15" spans="1:18" ht="25.5" customHeight="1" x14ac:dyDescent="0.2">
      <c r="A15" s="24" t="s">
        <v>16</v>
      </c>
      <c r="B15" s="2" t="s">
        <v>59</v>
      </c>
      <c r="C15" s="47"/>
      <c r="D15" s="3">
        <v>0</v>
      </c>
      <c r="E15" s="27">
        <v>7.4480000000000004</v>
      </c>
      <c r="F15" s="27">
        <v>5.726</v>
      </c>
      <c r="G15" s="27">
        <v>0</v>
      </c>
      <c r="H15" s="27">
        <v>0</v>
      </c>
      <c r="I15" s="27">
        <v>0</v>
      </c>
      <c r="J15" s="27">
        <v>1.6830000000000001</v>
      </c>
      <c r="K15" s="27">
        <v>0</v>
      </c>
      <c r="L15" s="64">
        <v>65.545000000000002</v>
      </c>
      <c r="M15" s="27">
        <v>0</v>
      </c>
      <c r="N15" s="64">
        <v>0</v>
      </c>
      <c r="O15" s="5"/>
      <c r="P15" s="6"/>
      <c r="Q15" s="76"/>
      <c r="R15" s="4"/>
    </row>
    <row r="16" spans="1:18" ht="25.5" customHeight="1" x14ac:dyDescent="0.2">
      <c r="A16" s="24" t="s">
        <v>30</v>
      </c>
      <c r="B16" s="2" t="s">
        <v>17</v>
      </c>
      <c r="C16" s="47"/>
      <c r="D16" s="3">
        <v>12.884</v>
      </c>
      <c r="E16" s="27">
        <v>5.9</v>
      </c>
      <c r="F16" s="27">
        <v>4.6550000000000002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64">
        <v>0</v>
      </c>
      <c r="M16" s="27">
        <v>0</v>
      </c>
      <c r="N16" s="64">
        <v>0</v>
      </c>
      <c r="O16" s="5"/>
      <c r="P16" s="6"/>
      <c r="Q16" s="76"/>
      <c r="R16" s="4"/>
    </row>
    <row r="17" spans="1:18" ht="25.5" customHeight="1" x14ac:dyDescent="0.2">
      <c r="A17" s="24" t="s">
        <v>31</v>
      </c>
      <c r="B17" s="2" t="s">
        <v>18</v>
      </c>
      <c r="C17" s="47"/>
      <c r="D17" s="3">
        <v>18.584</v>
      </c>
      <c r="E17" s="27">
        <v>9.2360000000000007</v>
      </c>
      <c r="F17" s="27">
        <v>7.343</v>
      </c>
      <c r="G17" s="27">
        <v>0</v>
      </c>
      <c r="H17" s="27">
        <v>0</v>
      </c>
      <c r="I17" s="27">
        <v>0</v>
      </c>
      <c r="J17" s="27">
        <v>1.758</v>
      </c>
      <c r="K17" s="27">
        <v>0</v>
      </c>
      <c r="L17" s="64">
        <v>0</v>
      </c>
      <c r="M17" s="27">
        <v>0</v>
      </c>
      <c r="N17" s="64">
        <v>0</v>
      </c>
      <c r="O17" s="5"/>
      <c r="P17" s="6"/>
      <c r="Q17" s="76"/>
      <c r="R17" s="4"/>
    </row>
    <row r="18" spans="1:18" ht="25.5" customHeight="1" x14ac:dyDescent="0.2">
      <c r="A18" s="24" t="s">
        <v>32</v>
      </c>
      <c r="B18" s="2" t="s">
        <v>19</v>
      </c>
      <c r="C18" s="47"/>
      <c r="D18" s="3">
        <v>0</v>
      </c>
      <c r="E18" s="27">
        <v>1.329</v>
      </c>
      <c r="F18" s="27">
        <v>1.1259999999999999</v>
      </c>
      <c r="G18" s="27">
        <v>0</v>
      </c>
      <c r="H18" s="27">
        <v>0</v>
      </c>
      <c r="I18" s="27">
        <v>0</v>
      </c>
      <c r="J18" s="27">
        <v>1.1140000000000001</v>
      </c>
      <c r="K18" s="27">
        <v>13.407999999999999</v>
      </c>
      <c r="L18" s="64">
        <v>20.001000000000001</v>
      </c>
      <c r="M18" s="27">
        <v>0</v>
      </c>
      <c r="N18" s="64">
        <v>0</v>
      </c>
      <c r="O18" s="5" t="s">
        <v>20</v>
      </c>
      <c r="P18" s="6" t="s">
        <v>21</v>
      </c>
      <c r="Q18" s="76">
        <v>150</v>
      </c>
      <c r="R18" s="4"/>
    </row>
    <row r="19" spans="1:18" ht="25.5" customHeight="1" x14ac:dyDescent="0.2">
      <c r="A19" s="24" t="s">
        <v>54</v>
      </c>
      <c r="B19" s="2" t="s">
        <v>55</v>
      </c>
      <c r="C19" s="47"/>
      <c r="D19" s="3">
        <v>0</v>
      </c>
      <c r="E19" s="27">
        <v>1.159</v>
      </c>
      <c r="F19" s="27">
        <v>0.95899999999999996</v>
      </c>
      <c r="G19" s="27">
        <v>0</v>
      </c>
      <c r="H19" s="27">
        <v>0</v>
      </c>
      <c r="I19" s="27">
        <v>0</v>
      </c>
      <c r="J19" s="27">
        <v>0.95199999999999996</v>
      </c>
      <c r="K19" s="27">
        <v>13.340999999999999</v>
      </c>
      <c r="L19" s="64">
        <v>31.47</v>
      </c>
      <c r="M19" s="27">
        <v>0</v>
      </c>
      <c r="N19" s="64">
        <v>0</v>
      </c>
      <c r="O19" s="5"/>
      <c r="P19" s="6"/>
      <c r="Q19" s="76">
        <v>150</v>
      </c>
      <c r="R19" s="4"/>
    </row>
    <row r="20" spans="1:18" ht="25.5" customHeight="1" x14ac:dyDescent="0.2">
      <c r="A20" s="24" t="s">
        <v>33</v>
      </c>
      <c r="B20" s="2" t="s">
        <v>22</v>
      </c>
      <c r="C20" s="47"/>
      <c r="D20" s="3">
        <v>0</v>
      </c>
      <c r="E20" s="27">
        <v>0.8</v>
      </c>
      <c r="F20" s="27">
        <v>0.70699999999999996</v>
      </c>
      <c r="G20" s="27">
        <v>0</v>
      </c>
      <c r="H20" s="27">
        <v>0</v>
      </c>
      <c r="I20" s="27">
        <v>0</v>
      </c>
      <c r="J20" s="27">
        <v>0.69499999999999995</v>
      </c>
      <c r="K20" s="27">
        <v>8.1560000000000006</v>
      </c>
      <c r="L20" s="64">
        <v>11.2</v>
      </c>
      <c r="M20" s="27">
        <v>0</v>
      </c>
      <c r="N20" s="64">
        <v>0</v>
      </c>
      <c r="O20" s="5" t="s">
        <v>20</v>
      </c>
      <c r="P20" s="6" t="s">
        <v>21</v>
      </c>
      <c r="Q20" s="76">
        <v>1150</v>
      </c>
      <c r="R20" s="4"/>
    </row>
    <row r="21" spans="1:18" ht="25.5" customHeight="1" x14ac:dyDescent="0.2">
      <c r="A21" s="24" t="s">
        <v>60</v>
      </c>
      <c r="B21" s="2" t="s">
        <v>56</v>
      </c>
      <c r="C21" s="47"/>
      <c r="D21" s="3">
        <v>0</v>
      </c>
      <c r="E21" s="27">
        <v>0.82799999999999996</v>
      </c>
      <c r="F21" s="27">
        <v>0.68500000000000005</v>
      </c>
      <c r="G21" s="27">
        <v>0</v>
      </c>
      <c r="H21" s="27">
        <v>0</v>
      </c>
      <c r="I21" s="27">
        <v>0</v>
      </c>
      <c r="J21" s="27">
        <v>0.67700000000000005</v>
      </c>
      <c r="K21" s="27">
        <v>9.4060000000000006</v>
      </c>
      <c r="L21" s="64">
        <v>22.777000000000001</v>
      </c>
      <c r="M21" s="27">
        <v>0</v>
      </c>
      <c r="N21" s="64">
        <v>0</v>
      </c>
      <c r="O21" s="5"/>
      <c r="P21" s="6"/>
      <c r="Q21" s="76">
        <v>1150</v>
      </c>
      <c r="R21" s="4"/>
    </row>
    <row r="22" spans="1:18" ht="25.5" customHeight="1" x14ac:dyDescent="0.2">
      <c r="A22" s="24" t="s">
        <v>34</v>
      </c>
      <c r="B22" s="2" t="s">
        <v>57</v>
      </c>
      <c r="C22" s="47"/>
      <c r="D22" s="3">
        <v>0</v>
      </c>
      <c r="E22" s="27">
        <v>0.45600000000000002</v>
      </c>
      <c r="F22" s="27">
        <v>0.35499999999999998</v>
      </c>
      <c r="G22" s="27">
        <v>0</v>
      </c>
      <c r="H22" s="27">
        <v>0</v>
      </c>
      <c r="I22" s="27">
        <v>0</v>
      </c>
      <c r="J22" s="27">
        <v>0.308</v>
      </c>
      <c r="K22" s="27">
        <v>0.79800000000000004</v>
      </c>
      <c r="L22" s="64">
        <v>1.17</v>
      </c>
      <c r="M22" s="27">
        <v>0</v>
      </c>
      <c r="N22" s="64">
        <v>0</v>
      </c>
      <c r="O22" s="5"/>
      <c r="P22" s="6"/>
      <c r="Q22" s="76">
        <v>11100</v>
      </c>
      <c r="R22" s="4"/>
    </row>
    <row r="23" spans="1:18" ht="25.5" customHeight="1" x14ac:dyDescent="0.2">
      <c r="A23" s="24" t="s">
        <v>44</v>
      </c>
      <c r="B23" s="2" t="s">
        <v>42</v>
      </c>
      <c r="C23" s="47" t="s">
        <v>69</v>
      </c>
      <c r="D23" s="3">
        <v>6.4420000000000002</v>
      </c>
      <c r="E23" s="27">
        <v>15.484999999999999</v>
      </c>
      <c r="F23" s="27">
        <v>9.1259999999999994</v>
      </c>
      <c r="G23" s="27">
        <v>0</v>
      </c>
      <c r="H23" s="27">
        <v>4.3639999999999999</v>
      </c>
      <c r="I23" s="27">
        <v>3.2149999999999999</v>
      </c>
      <c r="J23" s="27">
        <v>2.9860000000000002</v>
      </c>
      <c r="K23" s="27">
        <v>0</v>
      </c>
      <c r="L23" s="64">
        <v>0</v>
      </c>
      <c r="M23" s="27">
        <v>0</v>
      </c>
      <c r="N23" s="64">
        <v>0</v>
      </c>
      <c r="O23" s="5" t="s">
        <v>79</v>
      </c>
      <c r="P23" s="6" t="s">
        <v>15</v>
      </c>
      <c r="Q23" s="76"/>
      <c r="R23" s="4"/>
    </row>
    <row r="24" spans="1:18" ht="25.5" customHeight="1" x14ac:dyDescent="0.2">
      <c r="A24" s="24" t="s">
        <v>45</v>
      </c>
      <c r="B24" s="2" t="s">
        <v>43</v>
      </c>
      <c r="C24" s="47" t="s">
        <v>69</v>
      </c>
      <c r="D24" s="3">
        <v>0</v>
      </c>
      <c r="E24" s="27">
        <v>8.5380000000000003</v>
      </c>
      <c r="F24" s="27">
        <v>5.1870000000000003</v>
      </c>
      <c r="G24" s="27">
        <v>0</v>
      </c>
      <c r="H24" s="27">
        <v>0</v>
      </c>
      <c r="I24" s="27">
        <v>0</v>
      </c>
      <c r="J24" s="27">
        <v>2.5049999999999999</v>
      </c>
      <c r="K24" s="27">
        <v>0</v>
      </c>
      <c r="L24" s="64">
        <v>37.076999999999998</v>
      </c>
      <c r="M24" s="27">
        <v>0</v>
      </c>
      <c r="N24" s="64">
        <v>0</v>
      </c>
      <c r="O24" s="5" t="s">
        <v>79</v>
      </c>
      <c r="P24" s="6" t="s">
        <v>58</v>
      </c>
      <c r="Q24" s="76"/>
      <c r="R24" s="4"/>
    </row>
    <row r="25" spans="1:18" ht="25.5" customHeight="1" x14ac:dyDescent="0.2">
      <c r="A25" s="24" t="s">
        <v>71</v>
      </c>
      <c r="B25" s="2" t="s">
        <v>70</v>
      </c>
      <c r="C25" s="47" t="s">
        <v>78</v>
      </c>
      <c r="D25" s="3">
        <v>6.6820000000000004</v>
      </c>
      <c r="E25" s="27">
        <v>17.46</v>
      </c>
      <c r="F25" s="27">
        <v>10.851000000000001</v>
      </c>
      <c r="G25" s="27">
        <v>0</v>
      </c>
      <c r="H25" s="27">
        <v>5.4119999999999999</v>
      </c>
      <c r="I25" s="27">
        <v>4.3479999999999999</v>
      </c>
      <c r="J25" s="27">
        <v>4.1360000000000001</v>
      </c>
      <c r="K25" s="27">
        <v>0</v>
      </c>
      <c r="L25" s="64">
        <v>0</v>
      </c>
      <c r="M25" s="27">
        <v>0</v>
      </c>
      <c r="N25" s="64">
        <v>0</v>
      </c>
      <c r="O25" s="5" t="s">
        <v>79</v>
      </c>
      <c r="P25" s="6" t="s">
        <v>15</v>
      </c>
      <c r="Q25" s="76"/>
      <c r="R25" s="4"/>
    </row>
    <row r="26" spans="1:18" ht="25.5" customHeight="1" x14ac:dyDescent="0.2">
      <c r="A26" s="57" t="s">
        <v>76</v>
      </c>
      <c r="B26" s="58" t="s">
        <v>77</v>
      </c>
      <c r="C26" s="59" t="s">
        <v>69</v>
      </c>
      <c r="D26" s="71">
        <v>6.6820000000000004</v>
      </c>
      <c r="E26" s="60">
        <v>15.948</v>
      </c>
      <c r="F26" s="60">
        <v>9.1549999999999994</v>
      </c>
      <c r="G26" s="60">
        <v>0</v>
      </c>
      <c r="H26" s="60">
        <v>4.3310000000000004</v>
      </c>
      <c r="I26" s="60">
        <v>4.3310000000000004</v>
      </c>
      <c r="J26" s="60">
        <v>3.6720000000000002</v>
      </c>
      <c r="K26" s="60">
        <v>0</v>
      </c>
      <c r="L26" s="65">
        <v>0</v>
      </c>
      <c r="M26" s="60">
        <v>0</v>
      </c>
      <c r="N26" s="65">
        <v>0</v>
      </c>
      <c r="O26" s="90" t="s">
        <v>12</v>
      </c>
      <c r="P26" s="91"/>
      <c r="Q26" s="61"/>
      <c r="R26" s="72"/>
    </row>
    <row r="27" spans="1:18" ht="25.5" customHeight="1" thickBot="1" x14ac:dyDescent="0.25">
      <c r="A27" s="73" t="s">
        <v>104</v>
      </c>
      <c r="B27" s="74" t="s">
        <v>103</v>
      </c>
      <c r="C27" s="59" t="s">
        <v>69</v>
      </c>
      <c r="D27" s="60">
        <v>0</v>
      </c>
      <c r="E27" s="60">
        <v>2.5</v>
      </c>
      <c r="F27" s="60">
        <v>2.5</v>
      </c>
      <c r="G27" s="60">
        <v>0</v>
      </c>
      <c r="H27" s="60">
        <v>2.5</v>
      </c>
      <c r="I27" s="60">
        <v>2.5</v>
      </c>
      <c r="J27" s="60">
        <v>2.5</v>
      </c>
      <c r="K27" s="60">
        <v>0</v>
      </c>
      <c r="L27" s="60">
        <v>0</v>
      </c>
      <c r="M27" s="78">
        <v>23.34</v>
      </c>
      <c r="N27" s="78">
        <v>9.2100000000000009</v>
      </c>
      <c r="O27" s="99" t="s">
        <v>12</v>
      </c>
      <c r="P27" s="100"/>
      <c r="Q27" s="80">
        <v>1.5</v>
      </c>
      <c r="R27" s="81">
        <v>1.5</v>
      </c>
    </row>
    <row r="28" spans="1:18" x14ac:dyDescent="0.2">
      <c r="A28" s="29"/>
      <c r="B28" s="11"/>
      <c r="C28" s="11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11"/>
      <c r="P28" s="11"/>
      <c r="Q28" s="11"/>
      <c r="R28" s="62"/>
    </row>
    <row r="29" spans="1:18" x14ac:dyDescent="0.2">
      <c r="A29" s="8" t="s">
        <v>72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x14ac:dyDescent="0.2">
      <c r="A30" s="8" t="s">
        <v>105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x14ac:dyDescent="0.2">
      <c r="A31" s="8" t="s">
        <v>99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x14ac:dyDescent="0.2">
      <c r="A32" s="8" t="s">
        <v>100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x14ac:dyDescent="0.2">
      <c r="A33" s="43" t="s">
        <v>74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</row>
    <row r="34" spans="1:18" ht="13.5" thickBot="1" x14ac:dyDescent="0.25">
      <c r="A34" s="33" t="s">
        <v>75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5"/>
    </row>
    <row r="35" spans="1:18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x14ac:dyDescent="0.2"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</row>
    <row r="38" spans="1:18" x14ac:dyDescent="0.2"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</row>
    <row r="39" spans="1:18" x14ac:dyDescent="0.2"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18" x14ac:dyDescent="0.2"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</row>
  </sheetData>
  <mergeCells count="5">
    <mergeCell ref="O26:P26"/>
    <mergeCell ref="A1:Q1"/>
    <mergeCell ref="O3:P3"/>
    <mergeCell ref="D3:N3"/>
    <mergeCell ref="O27:P27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7"/>
  <sheetViews>
    <sheetView showGridLines="0" showZeros="0" topLeftCell="A4" zoomScaleNormal="75" workbookViewId="0">
      <selection activeCell="A30" sqref="A30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6" width="11.140625" customWidth="1"/>
    <col min="17" max="18" width="11.28515625" customWidth="1"/>
    <col min="19" max="19" width="8.85546875" customWidth="1"/>
  </cols>
  <sheetData>
    <row r="1" spans="1:18" s="1" customFormat="1" ht="18" x14ac:dyDescent="0.25">
      <c r="A1" s="92" t="s">
        <v>96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53"/>
    </row>
    <row r="2" spans="1:18" ht="13.5" thickBo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</row>
    <row r="3" spans="1:18" ht="54" customHeight="1" thickBot="1" x14ac:dyDescent="0.25">
      <c r="A3" s="50"/>
      <c r="B3" s="51"/>
      <c r="C3" s="51"/>
      <c r="D3" s="96" t="s">
        <v>0</v>
      </c>
      <c r="E3" s="97"/>
      <c r="F3" s="97"/>
      <c r="G3" s="97"/>
      <c r="H3" s="97"/>
      <c r="I3" s="97"/>
      <c r="J3" s="97"/>
      <c r="K3" s="97"/>
      <c r="L3" s="97"/>
      <c r="M3" s="97"/>
      <c r="N3" s="98"/>
      <c r="O3" s="94" t="s">
        <v>35</v>
      </c>
      <c r="P3" s="95"/>
      <c r="Q3" s="52" t="s">
        <v>1</v>
      </c>
      <c r="R3" s="52" t="s">
        <v>94</v>
      </c>
    </row>
    <row r="4" spans="1:18" ht="92.25" customHeight="1" thickBot="1" x14ac:dyDescent="0.25">
      <c r="A4" s="20" t="s">
        <v>2</v>
      </c>
      <c r="B4" s="21" t="s">
        <v>3</v>
      </c>
      <c r="C4" s="42" t="s">
        <v>68</v>
      </c>
      <c r="D4" s="67" t="s">
        <v>37</v>
      </c>
      <c r="E4" s="68" t="s">
        <v>4</v>
      </c>
      <c r="F4" s="68" t="s">
        <v>5</v>
      </c>
      <c r="G4" s="68" t="s">
        <v>6</v>
      </c>
      <c r="H4" s="68" t="s">
        <v>46</v>
      </c>
      <c r="I4" s="68" t="s">
        <v>47</v>
      </c>
      <c r="J4" s="68" t="s">
        <v>7</v>
      </c>
      <c r="K4" s="68" t="s">
        <v>8</v>
      </c>
      <c r="L4" s="66" t="s">
        <v>9</v>
      </c>
      <c r="M4" s="66" t="s">
        <v>92</v>
      </c>
      <c r="N4" s="66" t="s">
        <v>93</v>
      </c>
      <c r="O4" s="69" t="s">
        <v>10</v>
      </c>
      <c r="P4" s="70" t="s">
        <v>11</v>
      </c>
      <c r="Q4" s="49" t="s">
        <v>10</v>
      </c>
      <c r="R4" s="22" t="s">
        <v>95</v>
      </c>
    </row>
    <row r="5" spans="1:18" ht="25.5" customHeight="1" x14ac:dyDescent="0.2">
      <c r="A5" s="28" t="s">
        <v>61</v>
      </c>
      <c r="B5" s="29" t="s">
        <v>64</v>
      </c>
      <c r="C5" s="46" t="s">
        <v>69</v>
      </c>
      <c r="D5" s="25">
        <v>0</v>
      </c>
      <c r="E5" s="26">
        <v>2.1319999999999997</v>
      </c>
      <c r="F5" s="26">
        <v>1.782</v>
      </c>
      <c r="G5" s="26">
        <v>0</v>
      </c>
      <c r="H5" s="26">
        <v>0</v>
      </c>
      <c r="I5" s="26">
        <v>0</v>
      </c>
      <c r="J5" s="26">
        <v>0</v>
      </c>
      <c r="K5" s="26">
        <v>0</v>
      </c>
      <c r="L5" s="63">
        <v>0</v>
      </c>
      <c r="M5" s="26">
        <v>0</v>
      </c>
      <c r="N5" s="63">
        <v>0</v>
      </c>
      <c r="O5" s="44" t="s">
        <v>79</v>
      </c>
      <c r="P5" s="45" t="s">
        <v>15</v>
      </c>
      <c r="Q5" s="75"/>
      <c r="R5" s="30"/>
    </row>
    <row r="6" spans="1:18" ht="25.5" customHeight="1" x14ac:dyDescent="0.2">
      <c r="A6" s="24" t="s">
        <v>26</v>
      </c>
      <c r="B6" s="2" t="s">
        <v>13</v>
      </c>
      <c r="C6" s="47"/>
      <c r="D6" s="3">
        <v>0</v>
      </c>
      <c r="E6" s="27">
        <v>3.58</v>
      </c>
      <c r="F6" s="27">
        <v>2.8650000000000002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64">
        <v>0</v>
      </c>
      <c r="M6" s="27">
        <v>0</v>
      </c>
      <c r="N6" s="64">
        <v>0</v>
      </c>
      <c r="O6" s="5"/>
      <c r="P6" s="6"/>
      <c r="Q6" s="76"/>
      <c r="R6" s="4"/>
    </row>
    <row r="7" spans="1:18" ht="25.5" customHeight="1" x14ac:dyDescent="0.2">
      <c r="A7" s="24" t="s">
        <v>62</v>
      </c>
      <c r="B7" s="2" t="s">
        <v>73</v>
      </c>
      <c r="C7" s="47"/>
      <c r="D7" s="3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64">
        <v>0</v>
      </c>
      <c r="M7" s="27">
        <v>0</v>
      </c>
      <c r="N7" s="64">
        <v>0</v>
      </c>
      <c r="O7" s="5" t="s">
        <v>79</v>
      </c>
      <c r="P7" s="6" t="s">
        <v>80</v>
      </c>
      <c r="Q7" s="77"/>
      <c r="R7" s="7"/>
    </row>
    <row r="8" spans="1:18" ht="25.5" customHeight="1" x14ac:dyDescent="0.2">
      <c r="A8" s="24" t="s">
        <v>27</v>
      </c>
      <c r="B8" s="2" t="s">
        <v>14</v>
      </c>
      <c r="C8" s="47"/>
      <c r="D8" s="3">
        <v>0</v>
      </c>
      <c r="E8" s="27">
        <v>3.355</v>
      </c>
      <c r="F8" s="27">
        <v>2.681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64">
        <v>0</v>
      </c>
      <c r="M8" s="27">
        <v>0</v>
      </c>
      <c r="N8" s="64">
        <v>0</v>
      </c>
      <c r="O8" s="5"/>
      <c r="P8" s="6"/>
      <c r="Q8" s="77"/>
      <c r="R8" s="7"/>
    </row>
    <row r="9" spans="1:18" ht="25.5" customHeight="1" x14ac:dyDescent="0.2">
      <c r="A9" s="24" t="s">
        <v>50</v>
      </c>
      <c r="B9" s="2" t="s">
        <v>51</v>
      </c>
      <c r="C9" s="47"/>
      <c r="D9" s="3">
        <v>0</v>
      </c>
      <c r="E9" s="27">
        <v>2.3849999999999998</v>
      </c>
      <c r="F9" s="27">
        <v>1.9079999999999999</v>
      </c>
      <c r="G9" s="27">
        <v>1.9079999999999999</v>
      </c>
      <c r="H9" s="27">
        <v>0</v>
      </c>
      <c r="I9" s="27">
        <v>0</v>
      </c>
      <c r="J9" s="27">
        <v>0</v>
      </c>
      <c r="K9" s="27">
        <v>0</v>
      </c>
      <c r="L9" s="64">
        <v>0</v>
      </c>
      <c r="M9" s="27">
        <v>0</v>
      </c>
      <c r="N9" s="64">
        <v>0</v>
      </c>
      <c r="O9" s="5"/>
      <c r="P9" s="6"/>
      <c r="Q9" s="76"/>
      <c r="R9" s="4"/>
    </row>
    <row r="10" spans="1:18" ht="25.5" customHeight="1" x14ac:dyDescent="0.2">
      <c r="A10" s="24" t="s">
        <v>52</v>
      </c>
      <c r="B10" s="2" t="s">
        <v>53</v>
      </c>
      <c r="C10" s="47"/>
      <c r="D10" s="3">
        <v>0</v>
      </c>
      <c r="E10" s="27">
        <v>16.163</v>
      </c>
      <c r="F10" s="27">
        <v>3.5990000000000002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64">
        <v>10.249000000000001</v>
      </c>
      <c r="M10" s="27">
        <v>0</v>
      </c>
      <c r="N10" s="64">
        <v>0</v>
      </c>
      <c r="O10" s="5"/>
      <c r="P10" s="6"/>
      <c r="Q10" s="76"/>
      <c r="R10" s="4"/>
    </row>
    <row r="11" spans="1:18" ht="25.5" customHeight="1" x14ac:dyDescent="0.2">
      <c r="A11" s="24" t="s">
        <v>63</v>
      </c>
      <c r="B11" s="2" t="s">
        <v>65</v>
      </c>
      <c r="C11" s="47" t="s">
        <v>69</v>
      </c>
      <c r="D11" s="3">
        <v>0</v>
      </c>
      <c r="E11" s="27">
        <v>2.5300000000000002</v>
      </c>
      <c r="F11" s="27">
        <v>2.0209999999999999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64">
        <v>0</v>
      </c>
      <c r="M11" s="27">
        <v>0</v>
      </c>
      <c r="N11" s="64">
        <v>0</v>
      </c>
      <c r="O11" s="5" t="s">
        <v>79</v>
      </c>
      <c r="P11" s="6" t="s">
        <v>58</v>
      </c>
      <c r="Q11" s="76"/>
      <c r="R11" s="4"/>
    </row>
    <row r="12" spans="1:18" ht="25.5" customHeight="1" x14ac:dyDescent="0.2">
      <c r="A12" s="24" t="s">
        <v>28</v>
      </c>
      <c r="B12" s="2" t="s">
        <v>40</v>
      </c>
      <c r="C12" s="47"/>
      <c r="D12" s="3">
        <v>0</v>
      </c>
      <c r="E12" s="27">
        <v>1.8859999999999999</v>
      </c>
      <c r="F12" s="27">
        <v>1.508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64">
        <v>0</v>
      </c>
      <c r="M12" s="27">
        <v>0</v>
      </c>
      <c r="N12" s="64">
        <v>0</v>
      </c>
      <c r="O12" s="5"/>
      <c r="P12" s="6"/>
      <c r="Q12" s="76"/>
      <c r="R12" s="4"/>
    </row>
    <row r="13" spans="1:18" ht="25.5" customHeight="1" x14ac:dyDescent="0.2">
      <c r="A13" s="24" t="s">
        <v>29</v>
      </c>
      <c r="B13" s="2" t="s">
        <v>41</v>
      </c>
      <c r="C13" s="47"/>
      <c r="D13" s="3">
        <v>0</v>
      </c>
      <c r="E13" s="27">
        <v>2.5059999999999998</v>
      </c>
      <c r="F13" s="27">
        <v>2.0070000000000001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64">
        <v>0</v>
      </c>
      <c r="M13" s="27">
        <v>0</v>
      </c>
      <c r="N13" s="64">
        <v>0</v>
      </c>
      <c r="O13" s="5"/>
      <c r="P13" s="6"/>
      <c r="Q13" s="76"/>
      <c r="R13" s="4"/>
    </row>
    <row r="14" spans="1:18" ht="25.5" customHeight="1" x14ac:dyDescent="0.2">
      <c r="A14" s="24" t="s">
        <v>39</v>
      </c>
      <c r="B14" s="2" t="s">
        <v>38</v>
      </c>
      <c r="C14" s="47"/>
      <c r="D14" s="3">
        <v>0</v>
      </c>
      <c r="E14" s="27">
        <v>1.7470000000000001</v>
      </c>
      <c r="F14" s="27">
        <v>1.397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64">
        <v>8.1489999999999991</v>
      </c>
      <c r="M14" s="27">
        <v>0</v>
      </c>
      <c r="N14" s="64">
        <v>0</v>
      </c>
      <c r="O14" s="5"/>
      <c r="P14" s="6"/>
      <c r="Q14" s="76"/>
      <c r="R14" s="4"/>
    </row>
    <row r="15" spans="1:18" ht="25.5" customHeight="1" x14ac:dyDescent="0.2">
      <c r="A15" s="24" t="s">
        <v>16</v>
      </c>
      <c r="B15" s="2" t="s">
        <v>59</v>
      </c>
      <c r="C15" s="47"/>
      <c r="D15" s="3">
        <v>0</v>
      </c>
      <c r="E15" s="27">
        <v>1.099</v>
      </c>
      <c r="F15" s="27">
        <v>0.878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64">
        <v>9.8490000000000002</v>
      </c>
      <c r="M15" s="27">
        <v>0</v>
      </c>
      <c r="N15" s="64">
        <v>0</v>
      </c>
      <c r="O15" s="5"/>
      <c r="P15" s="6"/>
      <c r="Q15" s="76"/>
      <c r="R15" s="4"/>
    </row>
    <row r="16" spans="1:18" ht="25.5" customHeight="1" x14ac:dyDescent="0.2">
      <c r="A16" s="24" t="s">
        <v>30</v>
      </c>
      <c r="B16" s="2" t="s">
        <v>17</v>
      </c>
      <c r="C16" s="47"/>
      <c r="D16" s="3">
        <v>0</v>
      </c>
      <c r="E16" s="27">
        <v>2.4980000000000002</v>
      </c>
      <c r="F16" s="27">
        <v>1.996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64">
        <v>0</v>
      </c>
      <c r="M16" s="27">
        <v>0</v>
      </c>
      <c r="N16" s="64">
        <v>0</v>
      </c>
      <c r="O16" s="5"/>
      <c r="P16" s="6"/>
      <c r="Q16" s="76"/>
      <c r="R16" s="4"/>
    </row>
    <row r="17" spans="1:18" ht="25.5" customHeight="1" x14ac:dyDescent="0.2">
      <c r="A17" s="24" t="s">
        <v>31</v>
      </c>
      <c r="B17" s="2" t="s">
        <v>18</v>
      </c>
      <c r="C17" s="47"/>
      <c r="D17" s="3">
        <v>0</v>
      </c>
      <c r="E17" s="27">
        <v>1.92</v>
      </c>
      <c r="F17" s="27">
        <v>1.538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64">
        <v>0</v>
      </c>
      <c r="M17" s="27">
        <v>0</v>
      </c>
      <c r="N17" s="64">
        <v>0</v>
      </c>
      <c r="O17" s="5"/>
      <c r="P17" s="6"/>
      <c r="Q17" s="76"/>
      <c r="R17" s="4"/>
    </row>
    <row r="18" spans="1:18" ht="25.5" customHeight="1" x14ac:dyDescent="0.2">
      <c r="A18" s="24" t="s">
        <v>32</v>
      </c>
      <c r="B18" s="2" t="s">
        <v>19</v>
      </c>
      <c r="C18" s="47"/>
      <c r="D18" s="3">
        <v>0</v>
      </c>
      <c r="E18" s="27">
        <v>1.0940000000000001</v>
      </c>
      <c r="F18" s="27">
        <v>0.878</v>
      </c>
      <c r="G18" s="27">
        <v>0</v>
      </c>
      <c r="H18" s="27">
        <v>0</v>
      </c>
      <c r="I18" s="27">
        <v>0</v>
      </c>
      <c r="J18" s="27">
        <v>0</v>
      </c>
      <c r="K18" s="27">
        <v>4.4690000000000003</v>
      </c>
      <c r="L18" s="64">
        <v>6.1079999999999997</v>
      </c>
      <c r="M18" s="27">
        <v>0</v>
      </c>
      <c r="N18" s="64">
        <v>0</v>
      </c>
      <c r="O18" s="5" t="s">
        <v>20</v>
      </c>
      <c r="P18" s="6" t="s">
        <v>21</v>
      </c>
      <c r="Q18" s="76">
        <v>150</v>
      </c>
      <c r="R18" s="4"/>
    </row>
    <row r="19" spans="1:18" ht="25.5" customHeight="1" x14ac:dyDescent="0.2">
      <c r="A19" s="24" t="s">
        <v>54</v>
      </c>
      <c r="B19" s="2" t="s">
        <v>55</v>
      </c>
      <c r="C19" s="47"/>
      <c r="D19" s="3">
        <v>0</v>
      </c>
      <c r="E19" s="27">
        <v>0.69099999999999995</v>
      </c>
      <c r="F19" s="27">
        <v>0.55400000000000005</v>
      </c>
      <c r="G19" s="27">
        <v>0</v>
      </c>
      <c r="H19" s="27">
        <v>0</v>
      </c>
      <c r="I19" s="27">
        <v>0</v>
      </c>
      <c r="J19" s="27">
        <v>0</v>
      </c>
      <c r="K19" s="27">
        <v>2.82</v>
      </c>
      <c r="L19" s="64">
        <v>7.415</v>
      </c>
      <c r="M19" s="27">
        <v>0</v>
      </c>
      <c r="N19" s="64">
        <v>0</v>
      </c>
      <c r="O19" s="5"/>
      <c r="P19" s="6"/>
      <c r="Q19" s="76">
        <v>150</v>
      </c>
      <c r="R19" s="4"/>
    </row>
    <row r="20" spans="1:18" ht="25.5" customHeight="1" x14ac:dyDescent="0.2">
      <c r="A20" s="24" t="s">
        <v>33</v>
      </c>
      <c r="B20" s="2" t="s">
        <v>22</v>
      </c>
      <c r="C20" s="47"/>
      <c r="D20" s="3">
        <v>0</v>
      </c>
      <c r="E20" s="27">
        <v>0.76900000000000002</v>
      </c>
      <c r="F20" s="27">
        <v>0.61599999999999999</v>
      </c>
      <c r="G20" s="27">
        <v>0</v>
      </c>
      <c r="H20" s="27">
        <v>0</v>
      </c>
      <c r="I20" s="27">
        <v>0</v>
      </c>
      <c r="J20" s="27">
        <v>0</v>
      </c>
      <c r="K20" s="27">
        <v>5.117</v>
      </c>
      <c r="L20" s="64">
        <v>5.3719999999999999</v>
      </c>
      <c r="M20" s="27">
        <v>0</v>
      </c>
      <c r="N20" s="64">
        <v>0</v>
      </c>
      <c r="O20" s="5" t="s">
        <v>20</v>
      </c>
      <c r="P20" s="6" t="s">
        <v>21</v>
      </c>
      <c r="Q20" s="76">
        <v>1150</v>
      </c>
      <c r="R20" s="4"/>
    </row>
    <row r="21" spans="1:18" ht="25.5" customHeight="1" x14ac:dyDescent="0.2">
      <c r="A21" s="24" t="s">
        <v>60</v>
      </c>
      <c r="B21" s="2" t="s">
        <v>56</v>
      </c>
      <c r="C21" s="47"/>
      <c r="D21" s="3">
        <v>0</v>
      </c>
      <c r="E21" s="27">
        <v>0.442</v>
      </c>
      <c r="F21" s="27">
        <v>0.35199999999999998</v>
      </c>
      <c r="G21" s="27">
        <v>0</v>
      </c>
      <c r="H21" s="27">
        <v>0</v>
      </c>
      <c r="I21" s="27">
        <v>0</v>
      </c>
      <c r="J21" s="27">
        <v>0</v>
      </c>
      <c r="K21" s="27">
        <v>2.9340000000000002</v>
      </c>
      <c r="L21" s="64">
        <v>5.923</v>
      </c>
      <c r="M21" s="27">
        <v>0</v>
      </c>
      <c r="N21" s="64">
        <v>0</v>
      </c>
      <c r="O21" s="5"/>
      <c r="P21" s="6"/>
      <c r="Q21" s="76">
        <v>1150</v>
      </c>
      <c r="R21" s="4"/>
    </row>
    <row r="22" spans="1:18" ht="25.5" customHeight="1" x14ac:dyDescent="0.2">
      <c r="A22" s="24" t="s">
        <v>34</v>
      </c>
      <c r="B22" s="2" t="s">
        <v>57</v>
      </c>
      <c r="C22" s="47"/>
      <c r="D22" s="3">
        <v>0</v>
      </c>
      <c r="E22" s="27">
        <v>0.51900000000000002</v>
      </c>
      <c r="F22" s="27">
        <v>0.41799999999999998</v>
      </c>
      <c r="G22" s="27">
        <v>0</v>
      </c>
      <c r="H22" s="27">
        <v>0</v>
      </c>
      <c r="I22" s="27">
        <v>0</v>
      </c>
      <c r="J22" s="27">
        <v>0</v>
      </c>
      <c r="K22" s="27">
        <v>3.6789999999999998</v>
      </c>
      <c r="L22" s="64">
        <v>4.4630000000000001</v>
      </c>
      <c r="M22" s="27">
        <v>0</v>
      </c>
      <c r="N22" s="64">
        <v>0</v>
      </c>
      <c r="O22" s="5"/>
      <c r="P22" s="6"/>
      <c r="Q22" s="76">
        <v>11100</v>
      </c>
      <c r="R22" s="4"/>
    </row>
    <row r="23" spans="1:18" ht="25.5" customHeight="1" x14ac:dyDescent="0.2">
      <c r="A23" s="24" t="s">
        <v>44</v>
      </c>
      <c r="B23" s="2" t="s">
        <v>42</v>
      </c>
      <c r="C23" s="47" t="s">
        <v>69</v>
      </c>
      <c r="D23" s="3">
        <v>0</v>
      </c>
      <c r="E23" s="27">
        <v>2.1930000000000001</v>
      </c>
      <c r="F23" s="27">
        <v>1.8620000000000001</v>
      </c>
      <c r="G23" s="27">
        <v>0</v>
      </c>
      <c r="H23" s="27">
        <v>1.8620000000000001</v>
      </c>
      <c r="I23" s="27">
        <v>1.6439999999999999</v>
      </c>
      <c r="J23" s="27">
        <v>0</v>
      </c>
      <c r="K23" s="27">
        <v>0</v>
      </c>
      <c r="L23" s="64">
        <v>0</v>
      </c>
      <c r="M23" s="27">
        <v>0</v>
      </c>
      <c r="N23" s="64">
        <v>0</v>
      </c>
      <c r="O23" s="5" t="s">
        <v>79</v>
      </c>
      <c r="P23" s="6" t="s">
        <v>15</v>
      </c>
      <c r="Q23" s="76"/>
      <c r="R23" s="4"/>
    </row>
    <row r="24" spans="1:18" ht="25.5" customHeight="1" x14ac:dyDescent="0.2">
      <c r="A24" s="24" t="s">
        <v>45</v>
      </c>
      <c r="B24" s="2" t="s">
        <v>43</v>
      </c>
      <c r="C24" s="47" t="s">
        <v>69</v>
      </c>
      <c r="D24" s="3">
        <v>0</v>
      </c>
      <c r="E24" s="27">
        <v>2.2309999999999999</v>
      </c>
      <c r="F24" s="27">
        <v>1.0249999999999999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64">
        <v>5.8449999999999998</v>
      </c>
      <c r="M24" s="27">
        <v>0</v>
      </c>
      <c r="N24" s="64">
        <v>0</v>
      </c>
      <c r="O24" s="5" t="s">
        <v>79</v>
      </c>
      <c r="P24" s="6" t="s">
        <v>58</v>
      </c>
      <c r="Q24" s="76"/>
      <c r="R24" s="4"/>
    </row>
    <row r="25" spans="1:18" ht="25.5" customHeight="1" x14ac:dyDescent="0.2">
      <c r="A25" s="24" t="s">
        <v>71</v>
      </c>
      <c r="B25" s="2" t="s">
        <v>70</v>
      </c>
      <c r="C25" s="47" t="s">
        <v>78</v>
      </c>
      <c r="D25" s="3">
        <v>0</v>
      </c>
      <c r="E25" s="27">
        <v>4.6340000000000003</v>
      </c>
      <c r="F25" s="27">
        <v>4.3079999999999998</v>
      </c>
      <c r="G25" s="27">
        <v>0</v>
      </c>
      <c r="H25" s="27">
        <v>4.3079999999999998</v>
      </c>
      <c r="I25" s="27">
        <v>4.0940000000000003</v>
      </c>
      <c r="J25" s="27">
        <v>0</v>
      </c>
      <c r="K25" s="27">
        <v>0</v>
      </c>
      <c r="L25" s="64">
        <v>0</v>
      </c>
      <c r="M25" s="27">
        <v>0</v>
      </c>
      <c r="N25" s="64">
        <v>0</v>
      </c>
      <c r="O25" s="5" t="s">
        <v>79</v>
      </c>
      <c r="P25" s="6" t="s">
        <v>15</v>
      </c>
      <c r="Q25" s="76"/>
      <c r="R25" s="4"/>
    </row>
    <row r="26" spans="1:18" ht="25.5" customHeight="1" x14ac:dyDescent="0.2">
      <c r="A26" s="57" t="s">
        <v>76</v>
      </c>
      <c r="B26" s="58" t="s">
        <v>77</v>
      </c>
      <c r="C26" s="59" t="s">
        <v>69</v>
      </c>
      <c r="D26" s="71">
        <v>0</v>
      </c>
      <c r="E26" s="60">
        <v>3.9180000000000001</v>
      </c>
      <c r="F26" s="60">
        <v>3.6549999999999998</v>
      </c>
      <c r="G26" s="60">
        <v>0</v>
      </c>
      <c r="H26" s="60">
        <v>1.958</v>
      </c>
      <c r="I26" s="60">
        <v>1.728</v>
      </c>
      <c r="J26" s="60">
        <v>0</v>
      </c>
      <c r="K26" s="60">
        <v>0</v>
      </c>
      <c r="L26" s="65">
        <v>0</v>
      </c>
      <c r="M26" s="60">
        <v>0</v>
      </c>
      <c r="N26" s="65">
        <v>0</v>
      </c>
      <c r="O26" s="90" t="s">
        <v>12</v>
      </c>
      <c r="P26" s="91"/>
      <c r="Q26" s="61"/>
      <c r="R26" s="72"/>
    </row>
    <row r="27" spans="1:18" ht="25.5" customHeight="1" thickBot="1" x14ac:dyDescent="0.25">
      <c r="A27" s="73" t="s">
        <v>104</v>
      </c>
      <c r="B27" s="74" t="s">
        <v>98</v>
      </c>
      <c r="C27" s="59" t="s">
        <v>69</v>
      </c>
      <c r="D27" s="60">
        <v>0</v>
      </c>
      <c r="E27" s="60">
        <v>1.5</v>
      </c>
      <c r="F27" s="60">
        <v>1.5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0">
        <v>7.0821495947087856</v>
      </c>
      <c r="N27" s="65">
        <v>7.0380000000000003</v>
      </c>
      <c r="O27" s="99" t="s">
        <v>12</v>
      </c>
      <c r="P27" s="100"/>
      <c r="Q27" s="80">
        <v>1.5</v>
      </c>
      <c r="R27" s="81">
        <v>1.5</v>
      </c>
    </row>
    <row r="28" spans="1:18" ht="25.5" customHeight="1" x14ac:dyDescent="0.2">
      <c r="A28" s="29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62"/>
    </row>
    <row r="29" spans="1:18" x14ac:dyDescent="0.2">
      <c r="A29" s="8" t="s">
        <v>72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x14ac:dyDescent="0.2">
      <c r="A30" s="8" t="s">
        <v>105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x14ac:dyDescent="0.2">
      <c r="A31" s="8" t="s">
        <v>99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x14ac:dyDescent="0.2">
      <c r="A32" s="8" t="s">
        <v>100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x14ac:dyDescent="0.2">
      <c r="A33" s="43" t="s">
        <v>74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</row>
    <row r="34" spans="1:18" ht="13.5" thickBot="1" x14ac:dyDescent="0.25">
      <c r="A34" s="33" t="s">
        <v>75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5"/>
    </row>
    <row r="35" spans="1:18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x14ac:dyDescent="0.2"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</sheetData>
  <mergeCells count="5">
    <mergeCell ref="O26:P26"/>
    <mergeCell ref="A1:Q1"/>
    <mergeCell ref="O3:P3"/>
    <mergeCell ref="D3:N3"/>
    <mergeCell ref="O27:P27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7"/>
  <sheetViews>
    <sheetView showGridLines="0" showZeros="0" tabSelected="1" zoomScaleNormal="75" workbookViewId="0">
      <selection activeCell="J7" sqref="J7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6" width="11.140625" customWidth="1"/>
    <col min="17" max="17" width="13.28515625" customWidth="1"/>
    <col min="18" max="18" width="13.85546875" customWidth="1"/>
  </cols>
  <sheetData>
    <row r="1" spans="1:18" s="1" customFormat="1" ht="18" x14ac:dyDescent="0.25">
      <c r="A1" s="92" t="s">
        <v>102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53"/>
    </row>
    <row r="2" spans="1:18" ht="13.5" thickBo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</row>
    <row r="3" spans="1:18" ht="69" customHeight="1" thickBot="1" x14ac:dyDescent="0.25">
      <c r="A3" s="50"/>
      <c r="B3" s="51"/>
      <c r="C3" s="51"/>
      <c r="D3" s="96" t="s">
        <v>0</v>
      </c>
      <c r="E3" s="97"/>
      <c r="F3" s="97"/>
      <c r="G3" s="97"/>
      <c r="H3" s="97"/>
      <c r="I3" s="97"/>
      <c r="J3" s="97"/>
      <c r="K3" s="97"/>
      <c r="L3" s="97"/>
      <c r="M3" s="97"/>
      <c r="N3" s="98"/>
      <c r="O3" s="94" t="s">
        <v>35</v>
      </c>
      <c r="P3" s="95"/>
      <c r="Q3" s="52" t="s">
        <v>1</v>
      </c>
      <c r="R3" s="52" t="s">
        <v>94</v>
      </c>
    </row>
    <row r="4" spans="1:18" ht="92.25" customHeight="1" thickBot="1" x14ac:dyDescent="0.25">
      <c r="A4" s="20" t="s">
        <v>2</v>
      </c>
      <c r="B4" s="21" t="s">
        <v>3</v>
      </c>
      <c r="C4" s="42" t="s">
        <v>68</v>
      </c>
      <c r="D4" s="67" t="s">
        <v>37</v>
      </c>
      <c r="E4" s="68" t="s">
        <v>4</v>
      </c>
      <c r="F4" s="68" t="s">
        <v>5</v>
      </c>
      <c r="G4" s="68" t="s">
        <v>6</v>
      </c>
      <c r="H4" s="68" t="s">
        <v>46</v>
      </c>
      <c r="I4" s="68" t="s">
        <v>47</v>
      </c>
      <c r="J4" s="68" t="s">
        <v>7</v>
      </c>
      <c r="K4" s="68" t="s">
        <v>8</v>
      </c>
      <c r="L4" s="66" t="s">
        <v>9</v>
      </c>
      <c r="M4" s="66" t="s">
        <v>92</v>
      </c>
      <c r="N4" s="66" t="s">
        <v>93</v>
      </c>
      <c r="O4" s="69" t="s">
        <v>10</v>
      </c>
      <c r="P4" s="70" t="s">
        <v>11</v>
      </c>
      <c r="Q4" s="49" t="s">
        <v>10</v>
      </c>
      <c r="R4" s="22" t="s">
        <v>95</v>
      </c>
    </row>
    <row r="5" spans="1:18" ht="25.5" customHeight="1" x14ac:dyDescent="0.2">
      <c r="A5" s="28" t="s">
        <v>61</v>
      </c>
      <c r="B5" s="29" t="s">
        <v>64</v>
      </c>
      <c r="C5" s="46" t="s">
        <v>69</v>
      </c>
      <c r="D5" s="25">
        <f>ROUND(+'DUOS Ex GST'!D5+'TUOS Ex GST'!D5,3)</f>
        <v>6.6820000000000004</v>
      </c>
      <c r="E5" s="26">
        <f>ROUND(+'DUOS Ex GST'!E5+'TUOS Ex GST'!E5,3)</f>
        <v>10.372</v>
      </c>
      <c r="F5" s="26">
        <f>ROUND(+'DUOS Ex GST'!F5+'TUOS Ex GST'!F5,3)</f>
        <v>7.0860000000000003</v>
      </c>
      <c r="G5" s="26">
        <f>ROUND(+'DUOS Ex GST'!G5+'TUOS Ex GST'!G5,3)</f>
        <v>0</v>
      </c>
      <c r="H5" s="26">
        <f>ROUND(+'DUOS Ex GST'!H5+'TUOS Ex GST'!H5,3)</f>
        <v>0</v>
      </c>
      <c r="I5" s="26">
        <f>ROUND(+'DUOS Ex GST'!I5+'TUOS Ex GST'!I5,3)</f>
        <v>0</v>
      </c>
      <c r="J5" s="26">
        <f>ROUND(+'DUOS Ex GST'!J5+'TUOS Ex GST'!J5,3)</f>
        <v>0</v>
      </c>
      <c r="K5" s="26">
        <f>ROUND(+'DUOS Ex GST'!K5+'TUOS Ex GST'!K5,3)</f>
        <v>0</v>
      </c>
      <c r="L5" s="63">
        <f>ROUND(+'DUOS Ex GST'!L5+'TUOS Ex GST'!L5,3)</f>
        <v>0</v>
      </c>
      <c r="M5" s="26"/>
      <c r="N5" s="63"/>
      <c r="O5" s="44" t="s">
        <v>79</v>
      </c>
      <c r="P5" s="45" t="s">
        <v>15</v>
      </c>
      <c r="Q5" s="75"/>
      <c r="R5" s="30"/>
    </row>
    <row r="6" spans="1:18" ht="25.5" customHeight="1" x14ac:dyDescent="0.2">
      <c r="A6" s="24" t="s">
        <v>26</v>
      </c>
      <c r="B6" s="2" t="s">
        <v>13</v>
      </c>
      <c r="C6" s="47"/>
      <c r="D6" s="3">
        <f>ROUND(+'DUOS Ex GST'!D6+'TUOS Ex GST'!D6,3)</f>
        <v>13.831</v>
      </c>
      <c r="E6" s="27">
        <f>ROUND(+'DUOS Ex GST'!E6+'TUOS Ex GST'!E6,3)</f>
        <v>13.506</v>
      </c>
      <c r="F6" s="27">
        <f>ROUND(+'DUOS Ex GST'!F6+'TUOS Ex GST'!F6,3)</f>
        <v>10.394</v>
      </c>
      <c r="G6" s="27">
        <f>ROUND(+'DUOS Ex GST'!G6+'TUOS Ex GST'!G6,3)</f>
        <v>0</v>
      </c>
      <c r="H6" s="27">
        <f>ROUND(+'DUOS Ex GST'!H6+'TUOS Ex GST'!H6,3)</f>
        <v>0</v>
      </c>
      <c r="I6" s="27">
        <f>ROUND(+'DUOS Ex GST'!I6+'TUOS Ex GST'!I6,3)</f>
        <v>0</v>
      </c>
      <c r="J6" s="27">
        <f>ROUND(+'DUOS Ex GST'!J6+'TUOS Ex GST'!J6,3)</f>
        <v>1.7210000000000001</v>
      </c>
      <c r="K6" s="27">
        <f>ROUND(+'DUOS Ex GST'!K6+'TUOS Ex GST'!K6,3)</f>
        <v>0</v>
      </c>
      <c r="L6" s="64">
        <f>ROUND(+'DUOS Ex GST'!L6+'TUOS Ex GST'!L6,3)</f>
        <v>0</v>
      </c>
      <c r="M6" s="27"/>
      <c r="N6" s="64"/>
      <c r="O6" s="5"/>
      <c r="P6" s="6"/>
      <c r="Q6" s="76"/>
      <c r="R6" s="4"/>
    </row>
    <row r="7" spans="1:18" ht="25.5" customHeight="1" x14ac:dyDescent="0.2">
      <c r="A7" s="24" t="s">
        <v>62</v>
      </c>
      <c r="B7" s="2" t="s">
        <v>73</v>
      </c>
      <c r="C7" s="47"/>
      <c r="D7" s="3">
        <f>ROUND(+'DUOS Ex GST'!D7+'TUOS Ex GST'!D7,3)</f>
        <v>0</v>
      </c>
      <c r="E7" s="27">
        <f>ROUND(+'DUOS Ex GST'!E7+'TUOS Ex GST'!E7,3)</f>
        <v>0</v>
      </c>
      <c r="F7" s="27">
        <f>ROUND(+'DUOS Ex GST'!F7+'TUOS Ex GST'!F7,3)</f>
        <v>0</v>
      </c>
      <c r="G7" s="27">
        <f>ROUND(+'DUOS Ex GST'!G7+'TUOS Ex GST'!G7,3)</f>
        <v>0</v>
      </c>
      <c r="H7" s="27">
        <f>ROUND(+'DUOS Ex GST'!H7+'TUOS Ex GST'!H7,3)</f>
        <v>0</v>
      </c>
      <c r="I7" s="27">
        <f>ROUND(+'DUOS Ex GST'!I7+'TUOS Ex GST'!I7,3)</f>
        <v>0</v>
      </c>
      <c r="J7" s="27">
        <f>ROUND(+'DUOS Ex GST'!J7+'TUOS Ex GST'!J7,3)</f>
        <v>1.593</v>
      </c>
      <c r="K7" s="27">
        <f>ROUND(+'DUOS Ex GST'!K7+'TUOS Ex GST'!K7,3)</f>
        <v>0</v>
      </c>
      <c r="L7" s="64">
        <f>ROUND(+'DUOS Ex GST'!L7+'TUOS Ex GST'!L7,3)</f>
        <v>0</v>
      </c>
      <c r="M7" s="27"/>
      <c r="N7" s="64"/>
      <c r="O7" s="5" t="s">
        <v>79</v>
      </c>
      <c r="P7" s="6" t="s">
        <v>80</v>
      </c>
      <c r="Q7" s="77"/>
      <c r="R7" s="7"/>
    </row>
    <row r="8" spans="1:18" ht="25.5" customHeight="1" x14ac:dyDescent="0.2">
      <c r="A8" s="24" t="s">
        <v>27</v>
      </c>
      <c r="B8" s="2" t="s">
        <v>14</v>
      </c>
      <c r="C8" s="47"/>
      <c r="D8" s="3">
        <f>ROUND(+'DUOS Ex GST'!D8+'TUOS Ex GST'!D8,3)</f>
        <v>0</v>
      </c>
      <c r="E8" s="27">
        <f>ROUND(+'DUOS Ex GST'!E8+'TUOS Ex GST'!E8,3)</f>
        <v>11.699</v>
      </c>
      <c r="F8" s="27">
        <f>ROUND(+'DUOS Ex GST'!F8+'TUOS Ex GST'!F8,3)</f>
        <v>8.7850000000000001</v>
      </c>
      <c r="G8" s="27">
        <f>ROUND(+'DUOS Ex GST'!G8+'TUOS Ex GST'!G8,3)</f>
        <v>0</v>
      </c>
      <c r="H8" s="27">
        <f>ROUND(+'DUOS Ex GST'!H8+'TUOS Ex GST'!H8,3)</f>
        <v>0</v>
      </c>
      <c r="I8" s="27">
        <f>ROUND(+'DUOS Ex GST'!I8+'TUOS Ex GST'!I8,3)</f>
        <v>0</v>
      </c>
      <c r="J8" s="27">
        <f>ROUND(+'DUOS Ex GST'!J8+'TUOS Ex GST'!J8,3)</f>
        <v>1.5049999999999999</v>
      </c>
      <c r="K8" s="27">
        <f>ROUND(+'DUOS Ex GST'!K8+'TUOS Ex GST'!K8,3)</f>
        <v>0</v>
      </c>
      <c r="L8" s="64">
        <f>ROUND(+'DUOS Ex GST'!L8+'TUOS Ex GST'!L8,3)</f>
        <v>0</v>
      </c>
      <c r="M8" s="27"/>
      <c r="N8" s="64"/>
      <c r="O8" s="5"/>
      <c r="P8" s="6"/>
      <c r="Q8" s="77"/>
      <c r="R8" s="7"/>
    </row>
    <row r="9" spans="1:18" ht="25.5" customHeight="1" x14ac:dyDescent="0.2">
      <c r="A9" s="24" t="s">
        <v>50</v>
      </c>
      <c r="B9" s="2" t="s">
        <v>51</v>
      </c>
      <c r="C9" s="47"/>
      <c r="D9" s="3">
        <f>ROUND(+'DUOS Ex GST'!D9+'TUOS Ex GST'!D9,3)</f>
        <v>8.7210000000000001</v>
      </c>
      <c r="E9" s="27">
        <f>ROUND(+'DUOS Ex GST'!E9+'TUOS Ex GST'!E9,3)</f>
        <v>8.8889999999999993</v>
      </c>
      <c r="F9" s="27">
        <f>ROUND(+'DUOS Ex GST'!F9+'TUOS Ex GST'!F9,3)</f>
        <v>6.7270000000000003</v>
      </c>
      <c r="G9" s="27">
        <f>ROUND(+'DUOS Ex GST'!G9+'TUOS Ex GST'!G9,3)</f>
        <v>3.714</v>
      </c>
      <c r="H9" s="27">
        <f>ROUND(+'DUOS Ex GST'!H9+'TUOS Ex GST'!H9,3)</f>
        <v>0</v>
      </c>
      <c r="I9" s="27">
        <f>ROUND(+'DUOS Ex GST'!I9+'TUOS Ex GST'!I9,3)</f>
        <v>0</v>
      </c>
      <c r="J9" s="27">
        <f>ROUND(+'DUOS Ex GST'!J9+'TUOS Ex GST'!J9,3)</f>
        <v>0</v>
      </c>
      <c r="K9" s="27">
        <f>ROUND(+'DUOS Ex GST'!K9+'TUOS Ex GST'!K9,3)</f>
        <v>0</v>
      </c>
      <c r="L9" s="64">
        <f>ROUND(+'DUOS Ex GST'!L9+'TUOS Ex GST'!L9,3)</f>
        <v>0</v>
      </c>
      <c r="M9" s="27"/>
      <c r="N9" s="64"/>
      <c r="O9" s="5"/>
      <c r="P9" s="6"/>
      <c r="Q9" s="76"/>
      <c r="R9" s="4"/>
    </row>
    <row r="10" spans="1:18" ht="25.5" customHeight="1" x14ac:dyDescent="0.2">
      <c r="A10" s="24" t="s">
        <v>52</v>
      </c>
      <c r="B10" s="2" t="s">
        <v>53</v>
      </c>
      <c r="C10" s="47"/>
      <c r="D10" s="3">
        <f>ROUND(+'DUOS Ex GST'!D10+'TUOS Ex GST'!D10,3)</f>
        <v>0</v>
      </c>
      <c r="E10" s="27">
        <f>ROUND(+'DUOS Ex GST'!E10+'TUOS Ex GST'!E10,3)</f>
        <v>21.815000000000001</v>
      </c>
      <c r="F10" s="27">
        <f>ROUND(+'DUOS Ex GST'!F10+'TUOS Ex GST'!F10,3)</f>
        <v>5.0199999999999996</v>
      </c>
      <c r="G10" s="27">
        <f>ROUND(+'DUOS Ex GST'!G10+'TUOS Ex GST'!G10,3)</f>
        <v>0</v>
      </c>
      <c r="H10" s="27">
        <f>ROUND(+'DUOS Ex GST'!H10+'TUOS Ex GST'!H10,3)</f>
        <v>0</v>
      </c>
      <c r="I10" s="27">
        <f>ROUND(+'DUOS Ex GST'!I10+'TUOS Ex GST'!I10,3)</f>
        <v>0</v>
      </c>
      <c r="J10" s="27">
        <f>ROUND(+'DUOS Ex GST'!J10+'TUOS Ex GST'!J10,3)</f>
        <v>1.3959999999999999</v>
      </c>
      <c r="K10" s="27">
        <f>ROUND(+'DUOS Ex GST'!K10+'TUOS Ex GST'!K10,3)</f>
        <v>0</v>
      </c>
      <c r="L10" s="64">
        <f>ROUND(+'DUOS Ex GST'!L10+'TUOS Ex GST'!L10,3)</f>
        <v>81.27</v>
      </c>
      <c r="M10" s="27"/>
      <c r="N10" s="64"/>
      <c r="O10" s="5"/>
      <c r="P10" s="6"/>
      <c r="Q10" s="76"/>
      <c r="R10" s="4"/>
    </row>
    <row r="11" spans="1:18" ht="25.5" customHeight="1" x14ac:dyDescent="0.2">
      <c r="A11" s="24" t="s">
        <v>63</v>
      </c>
      <c r="B11" s="2" t="s">
        <v>65</v>
      </c>
      <c r="C11" s="47" t="s">
        <v>69</v>
      </c>
      <c r="D11" s="3">
        <f>ROUND(+'DUOS Ex GST'!D11+'TUOS Ex GST'!D11,3)</f>
        <v>12.945</v>
      </c>
      <c r="E11" s="27">
        <f>ROUND(+'DUOS Ex GST'!E11+'TUOS Ex GST'!E11,3)</f>
        <v>13.909000000000001</v>
      </c>
      <c r="F11" s="27">
        <f>ROUND(+'DUOS Ex GST'!F11+'TUOS Ex GST'!F11,3)</f>
        <v>9.1199999999999992</v>
      </c>
      <c r="G11" s="27">
        <f>ROUND(+'DUOS Ex GST'!G11+'TUOS Ex GST'!G11,3)</f>
        <v>0</v>
      </c>
      <c r="H11" s="27">
        <f>ROUND(+'DUOS Ex GST'!H11+'TUOS Ex GST'!H11,3)</f>
        <v>0</v>
      </c>
      <c r="I11" s="27">
        <f>ROUND(+'DUOS Ex GST'!I11+'TUOS Ex GST'!I11,3)</f>
        <v>0</v>
      </c>
      <c r="J11" s="27">
        <f>ROUND(+'DUOS Ex GST'!J11+'TUOS Ex GST'!J11,3)</f>
        <v>0</v>
      </c>
      <c r="K11" s="27">
        <f>ROUND(+'DUOS Ex GST'!K11+'TUOS Ex GST'!K11,3)</f>
        <v>0</v>
      </c>
      <c r="L11" s="64">
        <f>ROUND(+'DUOS Ex GST'!L11+'TUOS Ex GST'!L11,3)</f>
        <v>0</v>
      </c>
      <c r="M11" s="27"/>
      <c r="N11" s="64"/>
      <c r="O11" s="5" t="s">
        <v>79</v>
      </c>
      <c r="P11" s="6" t="s">
        <v>58</v>
      </c>
      <c r="Q11" s="76"/>
      <c r="R11" s="4"/>
    </row>
    <row r="12" spans="1:18" ht="25.5" customHeight="1" x14ac:dyDescent="0.2">
      <c r="A12" s="24" t="s">
        <v>28</v>
      </c>
      <c r="B12" s="2" t="s">
        <v>40</v>
      </c>
      <c r="C12" s="47"/>
      <c r="D12" s="3">
        <f>ROUND(+'DUOS Ex GST'!D12+'TUOS Ex GST'!D12,3)</f>
        <v>18.587</v>
      </c>
      <c r="E12" s="27">
        <f>ROUND(+'DUOS Ex GST'!E12+'TUOS Ex GST'!E12,3)</f>
        <v>10.912000000000001</v>
      </c>
      <c r="F12" s="27">
        <f>ROUND(+'DUOS Ex GST'!F12+'TUOS Ex GST'!F12,3)</f>
        <v>8.2720000000000002</v>
      </c>
      <c r="G12" s="27">
        <f>ROUND(+'DUOS Ex GST'!G12+'TUOS Ex GST'!G12,3)</f>
        <v>0</v>
      </c>
      <c r="H12" s="27">
        <f>ROUND(+'DUOS Ex GST'!H12+'TUOS Ex GST'!H12,3)</f>
        <v>0</v>
      </c>
      <c r="I12" s="27">
        <f>ROUND(+'DUOS Ex GST'!I12+'TUOS Ex GST'!I12,3)</f>
        <v>0</v>
      </c>
      <c r="J12" s="27">
        <f>ROUND(+'DUOS Ex GST'!J12+'TUOS Ex GST'!J12,3)</f>
        <v>1.6850000000000001</v>
      </c>
      <c r="K12" s="27">
        <f>ROUND(+'DUOS Ex GST'!K12+'TUOS Ex GST'!K12,3)</f>
        <v>0</v>
      </c>
      <c r="L12" s="64">
        <f>ROUND(+'DUOS Ex GST'!L12+'TUOS Ex GST'!L12,3)</f>
        <v>0</v>
      </c>
      <c r="M12" s="27"/>
      <c r="N12" s="64"/>
      <c r="O12" s="5"/>
      <c r="P12" s="6"/>
      <c r="Q12" s="76"/>
      <c r="R12" s="4"/>
    </row>
    <row r="13" spans="1:18" ht="25.5" customHeight="1" x14ac:dyDescent="0.2">
      <c r="A13" s="24" t="s">
        <v>29</v>
      </c>
      <c r="B13" s="2" t="s">
        <v>41</v>
      </c>
      <c r="C13" s="47"/>
      <c r="D13" s="3">
        <f>ROUND(+'DUOS Ex GST'!D13+'TUOS Ex GST'!D13,3)</f>
        <v>19.963000000000001</v>
      </c>
      <c r="E13" s="27">
        <f>ROUND(+'DUOS Ex GST'!E13+'TUOS Ex GST'!E13,3)</f>
        <v>11.173</v>
      </c>
      <c r="F13" s="27">
        <f>ROUND(+'DUOS Ex GST'!F13+'TUOS Ex GST'!F13,3)</f>
        <v>8.718</v>
      </c>
      <c r="G13" s="27">
        <f>ROUND(+'DUOS Ex GST'!G13+'TUOS Ex GST'!G13,3)</f>
        <v>0</v>
      </c>
      <c r="H13" s="27">
        <f>ROUND(+'DUOS Ex GST'!H13+'TUOS Ex GST'!H13,3)</f>
        <v>0</v>
      </c>
      <c r="I13" s="27">
        <f>ROUND(+'DUOS Ex GST'!I13+'TUOS Ex GST'!I13,3)</f>
        <v>0</v>
      </c>
      <c r="J13" s="27">
        <f>ROUND(+'DUOS Ex GST'!J13+'TUOS Ex GST'!J13,3)</f>
        <v>1.581</v>
      </c>
      <c r="K13" s="27">
        <f>ROUND(+'DUOS Ex GST'!K13+'TUOS Ex GST'!K13,3)</f>
        <v>0</v>
      </c>
      <c r="L13" s="64">
        <f>ROUND(+'DUOS Ex GST'!L13+'TUOS Ex GST'!L13,3)</f>
        <v>0</v>
      </c>
      <c r="M13" s="27"/>
      <c r="N13" s="64"/>
      <c r="O13" s="5"/>
      <c r="P13" s="6"/>
      <c r="Q13" s="76"/>
      <c r="R13" s="4"/>
    </row>
    <row r="14" spans="1:18" ht="25.5" customHeight="1" x14ac:dyDescent="0.2">
      <c r="A14" s="24" t="s">
        <v>39</v>
      </c>
      <c r="B14" s="2" t="s">
        <v>38</v>
      </c>
      <c r="C14" s="47"/>
      <c r="D14" s="3">
        <f>ROUND(+'DUOS Ex GST'!D14+'TUOS Ex GST'!D14,3)</f>
        <v>0</v>
      </c>
      <c r="E14" s="27">
        <f>ROUND(+'DUOS Ex GST'!E14+'TUOS Ex GST'!E14,3)</f>
        <v>10.065</v>
      </c>
      <c r="F14" s="27">
        <f>ROUND(+'DUOS Ex GST'!F14+'TUOS Ex GST'!F14,3)</f>
        <v>6.2709999999999999</v>
      </c>
      <c r="G14" s="27">
        <f>ROUND(+'DUOS Ex GST'!G14+'TUOS Ex GST'!G14,3)</f>
        <v>0</v>
      </c>
      <c r="H14" s="27">
        <f>ROUND(+'DUOS Ex GST'!H14+'TUOS Ex GST'!H14,3)</f>
        <v>0</v>
      </c>
      <c r="I14" s="27">
        <f>ROUND(+'DUOS Ex GST'!I14+'TUOS Ex GST'!I14,3)</f>
        <v>0</v>
      </c>
      <c r="J14" s="27">
        <f>ROUND(+'DUOS Ex GST'!J14+'TUOS Ex GST'!J14,3)</f>
        <v>1.9370000000000001</v>
      </c>
      <c r="K14" s="27">
        <f>ROUND(+'DUOS Ex GST'!K14+'TUOS Ex GST'!K14,3)</f>
        <v>0</v>
      </c>
      <c r="L14" s="64">
        <f>ROUND(+'DUOS Ex GST'!L14+'TUOS Ex GST'!L14,3)</f>
        <v>47.978000000000002</v>
      </c>
      <c r="M14" s="27"/>
      <c r="N14" s="64"/>
      <c r="O14" s="5"/>
      <c r="P14" s="6"/>
      <c r="Q14" s="76"/>
      <c r="R14" s="4"/>
    </row>
    <row r="15" spans="1:18" ht="25.5" customHeight="1" x14ac:dyDescent="0.2">
      <c r="A15" s="24" t="s">
        <v>16</v>
      </c>
      <c r="B15" s="2" t="s">
        <v>59</v>
      </c>
      <c r="C15" s="47"/>
      <c r="D15" s="3">
        <f>ROUND(+'DUOS Ex GST'!D15+'TUOS Ex GST'!D15,3)</f>
        <v>0</v>
      </c>
      <c r="E15" s="27">
        <f>ROUND(+'DUOS Ex GST'!E15+'TUOS Ex GST'!E15,3)</f>
        <v>8.5470000000000006</v>
      </c>
      <c r="F15" s="27">
        <f>ROUND(+'DUOS Ex GST'!F15+'TUOS Ex GST'!F15,3)</f>
        <v>6.6040000000000001</v>
      </c>
      <c r="G15" s="27">
        <f>ROUND(+'DUOS Ex GST'!G15+'TUOS Ex GST'!G15,3)</f>
        <v>0</v>
      </c>
      <c r="H15" s="27">
        <f>ROUND(+'DUOS Ex GST'!H15+'TUOS Ex GST'!H15,3)</f>
        <v>0</v>
      </c>
      <c r="I15" s="27">
        <f>ROUND(+'DUOS Ex GST'!I15+'TUOS Ex GST'!I15,3)</f>
        <v>0</v>
      </c>
      <c r="J15" s="27">
        <f>ROUND(+'DUOS Ex GST'!J15+'TUOS Ex GST'!J15,3)</f>
        <v>1.6830000000000001</v>
      </c>
      <c r="K15" s="27">
        <f>ROUND(+'DUOS Ex GST'!K15+'TUOS Ex GST'!K15,3)</f>
        <v>0</v>
      </c>
      <c r="L15" s="64">
        <f>ROUND(+'DUOS Ex GST'!L15+'TUOS Ex GST'!L15,3)</f>
        <v>75.394000000000005</v>
      </c>
      <c r="M15" s="27"/>
      <c r="N15" s="64"/>
      <c r="O15" s="5"/>
      <c r="P15" s="6"/>
      <c r="Q15" s="76"/>
      <c r="R15" s="4"/>
    </row>
    <row r="16" spans="1:18" ht="25.5" customHeight="1" x14ac:dyDescent="0.2">
      <c r="A16" s="24" t="s">
        <v>30</v>
      </c>
      <c r="B16" s="2" t="s">
        <v>17</v>
      </c>
      <c r="C16" s="47"/>
      <c r="D16" s="3">
        <f>ROUND(+'DUOS Ex GST'!D16+'TUOS Ex GST'!D16,3)</f>
        <v>12.884</v>
      </c>
      <c r="E16" s="27">
        <f>ROUND(+'DUOS Ex GST'!E16+'TUOS Ex GST'!E16,3)</f>
        <v>8.3979999999999997</v>
      </c>
      <c r="F16" s="27">
        <f>ROUND(+'DUOS Ex GST'!F16+'TUOS Ex GST'!F16,3)</f>
        <v>6.6509999999999998</v>
      </c>
      <c r="G16" s="27">
        <f>ROUND(+'DUOS Ex GST'!G16+'TUOS Ex GST'!G16,3)</f>
        <v>0</v>
      </c>
      <c r="H16" s="27">
        <f>ROUND(+'DUOS Ex GST'!H16+'TUOS Ex GST'!H16,3)</f>
        <v>0</v>
      </c>
      <c r="I16" s="27">
        <f>ROUND(+'DUOS Ex GST'!I16+'TUOS Ex GST'!I16,3)</f>
        <v>0</v>
      </c>
      <c r="J16" s="27">
        <f>ROUND(+'DUOS Ex GST'!J16+'TUOS Ex GST'!J16,3)</f>
        <v>0</v>
      </c>
      <c r="K16" s="27">
        <f>ROUND(+'DUOS Ex GST'!K16+'TUOS Ex GST'!K16,3)</f>
        <v>0</v>
      </c>
      <c r="L16" s="64">
        <f>ROUND(+'DUOS Ex GST'!L16+'TUOS Ex GST'!L16,3)</f>
        <v>0</v>
      </c>
      <c r="M16" s="27"/>
      <c r="N16" s="64"/>
      <c r="O16" s="5"/>
      <c r="P16" s="6"/>
      <c r="Q16" s="76"/>
      <c r="R16" s="4"/>
    </row>
    <row r="17" spans="1:18" ht="25.5" customHeight="1" x14ac:dyDescent="0.2">
      <c r="A17" s="24" t="s">
        <v>31</v>
      </c>
      <c r="B17" s="2" t="s">
        <v>18</v>
      </c>
      <c r="C17" s="47"/>
      <c r="D17" s="3">
        <f>ROUND(+'DUOS Ex GST'!D17+'TUOS Ex GST'!D17,3)</f>
        <v>18.584</v>
      </c>
      <c r="E17" s="27">
        <f>ROUND(+'DUOS Ex GST'!E17+'TUOS Ex GST'!E17,3)</f>
        <v>11.156000000000001</v>
      </c>
      <c r="F17" s="27">
        <f>ROUND(+'DUOS Ex GST'!F17+'TUOS Ex GST'!F17,3)</f>
        <v>8.8810000000000002</v>
      </c>
      <c r="G17" s="27">
        <f>ROUND(+'DUOS Ex GST'!G17+'TUOS Ex GST'!G17,3)</f>
        <v>0</v>
      </c>
      <c r="H17" s="27">
        <f>ROUND(+'DUOS Ex GST'!H17+'TUOS Ex GST'!H17,3)</f>
        <v>0</v>
      </c>
      <c r="I17" s="27">
        <f>ROUND(+'DUOS Ex GST'!I17+'TUOS Ex GST'!I17,3)</f>
        <v>0</v>
      </c>
      <c r="J17" s="27">
        <f>ROUND(+'DUOS Ex GST'!J17+'TUOS Ex GST'!J17,3)</f>
        <v>1.758</v>
      </c>
      <c r="K17" s="27">
        <f>ROUND(+'DUOS Ex GST'!K17+'TUOS Ex GST'!K17,3)</f>
        <v>0</v>
      </c>
      <c r="L17" s="64">
        <f>ROUND(+'DUOS Ex GST'!L17+'TUOS Ex GST'!L17,3)</f>
        <v>0</v>
      </c>
      <c r="M17" s="27"/>
      <c r="N17" s="64"/>
      <c r="O17" s="5"/>
      <c r="P17" s="6"/>
      <c r="Q17" s="76"/>
      <c r="R17" s="4"/>
    </row>
    <row r="18" spans="1:18" ht="25.5" customHeight="1" x14ac:dyDescent="0.2">
      <c r="A18" s="24" t="s">
        <v>32</v>
      </c>
      <c r="B18" s="2" t="s">
        <v>19</v>
      </c>
      <c r="C18" s="47"/>
      <c r="D18" s="3">
        <f>ROUND(+'DUOS Ex GST'!D18+'TUOS Ex GST'!D18,3)</f>
        <v>0</v>
      </c>
      <c r="E18" s="27">
        <f>ROUND(+'DUOS Ex GST'!E18+'TUOS Ex GST'!E18,3)</f>
        <v>2.423</v>
      </c>
      <c r="F18" s="27">
        <f>ROUND(+'DUOS Ex GST'!F18+'TUOS Ex GST'!F18,3)</f>
        <v>2.004</v>
      </c>
      <c r="G18" s="27">
        <f>ROUND(+'DUOS Ex GST'!G18+'TUOS Ex GST'!G18,3)</f>
        <v>0</v>
      </c>
      <c r="H18" s="27">
        <f>ROUND(+'DUOS Ex GST'!H18+'TUOS Ex GST'!H18,3)</f>
        <v>0</v>
      </c>
      <c r="I18" s="27">
        <f>ROUND(+'DUOS Ex GST'!I18+'TUOS Ex GST'!I18,3)</f>
        <v>0</v>
      </c>
      <c r="J18" s="27">
        <f>ROUND(+'DUOS Ex GST'!J18+'TUOS Ex GST'!J18,3)</f>
        <v>1.1140000000000001</v>
      </c>
      <c r="K18" s="27">
        <f>ROUND(+'DUOS Ex GST'!K18+'TUOS Ex GST'!K18,3)</f>
        <v>17.876999999999999</v>
      </c>
      <c r="L18" s="64">
        <f>ROUND(+'DUOS Ex GST'!L18+'TUOS Ex GST'!L18,3)</f>
        <v>26.109000000000002</v>
      </c>
      <c r="M18" s="27"/>
      <c r="N18" s="64"/>
      <c r="O18" s="5" t="s">
        <v>20</v>
      </c>
      <c r="P18" s="6" t="s">
        <v>21</v>
      </c>
      <c r="Q18" s="76">
        <v>150</v>
      </c>
      <c r="R18" s="4"/>
    </row>
    <row r="19" spans="1:18" ht="25.5" customHeight="1" x14ac:dyDescent="0.2">
      <c r="A19" s="24" t="s">
        <v>54</v>
      </c>
      <c r="B19" s="2" t="s">
        <v>55</v>
      </c>
      <c r="C19" s="47"/>
      <c r="D19" s="3">
        <f>ROUND(+'DUOS Ex GST'!D19+'TUOS Ex GST'!D19,3)</f>
        <v>0</v>
      </c>
      <c r="E19" s="27">
        <f>ROUND(+'DUOS Ex GST'!E19+'TUOS Ex GST'!E19,3)</f>
        <v>1.85</v>
      </c>
      <c r="F19" s="27">
        <f>ROUND(+'DUOS Ex GST'!F19+'TUOS Ex GST'!F19,3)</f>
        <v>1.5129999999999999</v>
      </c>
      <c r="G19" s="27">
        <f>ROUND(+'DUOS Ex GST'!G19+'TUOS Ex GST'!G19,3)</f>
        <v>0</v>
      </c>
      <c r="H19" s="27">
        <f>ROUND(+'DUOS Ex GST'!H19+'TUOS Ex GST'!H19,3)</f>
        <v>0</v>
      </c>
      <c r="I19" s="27">
        <f>ROUND(+'DUOS Ex GST'!I19+'TUOS Ex GST'!I19,3)</f>
        <v>0</v>
      </c>
      <c r="J19" s="27">
        <f>ROUND(+'DUOS Ex GST'!J19+'TUOS Ex GST'!J19,3)</f>
        <v>0.95199999999999996</v>
      </c>
      <c r="K19" s="27">
        <f>ROUND(+'DUOS Ex GST'!K19+'TUOS Ex GST'!K19,3)</f>
        <v>16.161000000000001</v>
      </c>
      <c r="L19" s="64">
        <f>ROUND(+'DUOS Ex GST'!L19+'TUOS Ex GST'!L19,3)</f>
        <v>38.884999999999998</v>
      </c>
      <c r="M19" s="27"/>
      <c r="N19" s="64"/>
      <c r="O19" s="5"/>
      <c r="P19" s="6"/>
      <c r="Q19" s="76">
        <v>150</v>
      </c>
      <c r="R19" s="4"/>
    </row>
    <row r="20" spans="1:18" ht="25.5" customHeight="1" x14ac:dyDescent="0.2">
      <c r="A20" s="24" t="s">
        <v>33</v>
      </c>
      <c r="B20" s="2" t="s">
        <v>22</v>
      </c>
      <c r="C20" s="47"/>
      <c r="D20" s="3">
        <f>ROUND(+'DUOS Ex GST'!D20+'TUOS Ex GST'!D20,3)</f>
        <v>0</v>
      </c>
      <c r="E20" s="27">
        <f>ROUND(+'DUOS Ex GST'!E20+'TUOS Ex GST'!E20,3)</f>
        <v>1.569</v>
      </c>
      <c r="F20" s="27">
        <f>ROUND(+'DUOS Ex GST'!F20+'TUOS Ex GST'!F20,3)</f>
        <v>1.323</v>
      </c>
      <c r="G20" s="27">
        <f>ROUND(+'DUOS Ex GST'!G20+'TUOS Ex GST'!G20,3)</f>
        <v>0</v>
      </c>
      <c r="H20" s="27">
        <f>ROUND(+'DUOS Ex GST'!H20+'TUOS Ex GST'!H20,3)</f>
        <v>0</v>
      </c>
      <c r="I20" s="27">
        <f>ROUND(+'DUOS Ex GST'!I20+'TUOS Ex GST'!I20,3)</f>
        <v>0</v>
      </c>
      <c r="J20" s="27">
        <f>ROUND(+'DUOS Ex GST'!J20+'TUOS Ex GST'!J20,3)</f>
        <v>0.69499999999999995</v>
      </c>
      <c r="K20" s="27">
        <f>ROUND(+'DUOS Ex GST'!K20+'TUOS Ex GST'!K20,3)</f>
        <v>13.273</v>
      </c>
      <c r="L20" s="64">
        <f>ROUND(+'DUOS Ex GST'!L20+'TUOS Ex GST'!L20,3)</f>
        <v>16.571999999999999</v>
      </c>
      <c r="M20" s="27"/>
      <c r="N20" s="64"/>
      <c r="O20" s="5" t="s">
        <v>20</v>
      </c>
      <c r="P20" s="6" t="s">
        <v>21</v>
      </c>
      <c r="Q20" s="76">
        <v>1150</v>
      </c>
      <c r="R20" s="4"/>
    </row>
    <row r="21" spans="1:18" ht="25.5" customHeight="1" x14ac:dyDescent="0.2">
      <c r="A21" s="24" t="s">
        <v>60</v>
      </c>
      <c r="B21" s="2" t="s">
        <v>56</v>
      </c>
      <c r="C21" s="47"/>
      <c r="D21" s="3">
        <f>ROUND(+'DUOS Ex GST'!D21+'TUOS Ex GST'!D21,3)</f>
        <v>0</v>
      </c>
      <c r="E21" s="27">
        <f>ROUND(+'DUOS Ex GST'!E21+'TUOS Ex GST'!E21,3)</f>
        <v>1.27</v>
      </c>
      <c r="F21" s="27">
        <f>ROUND(+'DUOS Ex GST'!F21+'TUOS Ex GST'!F21,3)</f>
        <v>1.0369999999999999</v>
      </c>
      <c r="G21" s="27">
        <f>ROUND(+'DUOS Ex GST'!G21+'TUOS Ex GST'!G21,3)</f>
        <v>0</v>
      </c>
      <c r="H21" s="27">
        <f>ROUND(+'DUOS Ex GST'!H21+'TUOS Ex GST'!H21,3)</f>
        <v>0</v>
      </c>
      <c r="I21" s="27">
        <f>ROUND(+'DUOS Ex GST'!I21+'TUOS Ex GST'!I21,3)</f>
        <v>0</v>
      </c>
      <c r="J21" s="27">
        <f>ROUND(+'DUOS Ex GST'!J21+'TUOS Ex GST'!J21,3)</f>
        <v>0.67700000000000005</v>
      </c>
      <c r="K21" s="27">
        <f>ROUND(+'DUOS Ex GST'!K21+'TUOS Ex GST'!K21,3)</f>
        <v>12.34</v>
      </c>
      <c r="L21" s="64">
        <f>ROUND(+'DUOS Ex GST'!L21+'TUOS Ex GST'!L21,3)</f>
        <v>28.7</v>
      </c>
      <c r="M21" s="27"/>
      <c r="N21" s="64"/>
      <c r="O21" s="5"/>
      <c r="P21" s="6"/>
      <c r="Q21" s="76">
        <v>1150</v>
      </c>
      <c r="R21" s="4"/>
    </row>
    <row r="22" spans="1:18" ht="25.5" customHeight="1" x14ac:dyDescent="0.2">
      <c r="A22" s="24" t="s">
        <v>34</v>
      </c>
      <c r="B22" s="2" t="s">
        <v>57</v>
      </c>
      <c r="C22" s="47"/>
      <c r="D22" s="3">
        <f>ROUND(+'DUOS Ex GST'!D22+'TUOS Ex GST'!D22,3)</f>
        <v>0</v>
      </c>
      <c r="E22" s="27">
        <f>ROUND(+'DUOS Ex GST'!E22+'TUOS Ex GST'!E22,3)</f>
        <v>0.97499999999999998</v>
      </c>
      <c r="F22" s="27">
        <f>ROUND(+'DUOS Ex GST'!F22+'TUOS Ex GST'!F22,3)</f>
        <v>0.77300000000000002</v>
      </c>
      <c r="G22" s="27">
        <f>ROUND(+'DUOS Ex GST'!G22+'TUOS Ex GST'!G22,3)</f>
        <v>0</v>
      </c>
      <c r="H22" s="27">
        <f>ROUND(+'DUOS Ex GST'!H22+'TUOS Ex GST'!H22,3)</f>
        <v>0</v>
      </c>
      <c r="I22" s="27">
        <f>ROUND(+'DUOS Ex GST'!I22+'TUOS Ex GST'!I22,3)</f>
        <v>0</v>
      </c>
      <c r="J22" s="27">
        <f>ROUND(+'DUOS Ex GST'!J22+'TUOS Ex GST'!J22,3)</f>
        <v>0.308</v>
      </c>
      <c r="K22" s="27">
        <f>ROUND(+'DUOS Ex GST'!K22+'TUOS Ex GST'!K22,3)</f>
        <v>4.4770000000000003</v>
      </c>
      <c r="L22" s="64">
        <f>ROUND(+'DUOS Ex GST'!L22+'TUOS Ex GST'!L22,3)</f>
        <v>5.633</v>
      </c>
      <c r="M22" s="27"/>
      <c r="N22" s="64"/>
      <c r="O22" s="5"/>
      <c r="P22" s="6"/>
      <c r="Q22" s="76">
        <v>11100</v>
      </c>
      <c r="R22" s="4"/>
    </row>
    <row r="23" spans="1:18" ht="25.5" customHeight="1" x14ac:dyDescent="0.2">
      <c r="A23" s="24" t="s">
        <v>44</v>
      </c>
      <c r="B23" s="2" t="s">
        <v>42</v>
      </c>
      <c r="C23" s="47" t="s">
        <v>69</v>
      </c>
      <c r="D23" s="3">
        <f>ROUND(+'DUOS Ex GST'!D23+'TUOS Ex GST'!D23,3)</f>
        <v>6.4420000000000002</v>
      </c>
      <c r="E23" s="27">
        <f>ROUND(+'DUOS Ex GST'!E23+'TUOS Ex GST'!E23,3)</f>
        <v>17.678000000000001</v>
      </c>
      <c r="F23" s="27">
        <f>ROUND(+'DUOS Ex GST'!F23+'TUOS Ex GST'!F23,3)</f>
        <v>10.988</v>
      </c>
      <c r="G23" s="27">
        <f>ROUND(+'DUOS Ex GST'!G23+'TUOS Ex GST'!G23,3)</f>
        <v>0</v>
      </c>
      <c r="H23" s="27">
        <f>ROUND(+'DUOS Ex GST'!H23+'TUOS Ex GST'!H23,3)</f>
        <v>6.226</v>
      </c>
      <c r="I23" s="27">
        <f>ROUND(+'DUOS Ex GST'!I23+'TUOS Ex GST'!I23,3)</f>
        <v>4.859</v>
      </c>
      <c r="J23" s="27">
        <f>ROUND(+'DUOS Ex GST'!J23+'TUOS Ex GST'!J23,3)</f>
        <v>2.9860000000000002</v>
      </c>
      <c r="K23" s="27">
        <f>ROUND(+'DUOS Ex GST'!K23+'TUOS Ex GST'!K23,3)</f>
        <v>0</v>
      </c>
      <c r="L23" s="64">
        <f>ROUND(+'DUOS Ex GST'!L23+'TUOS Ex GST'!L23,3)</f>
        <v>0</v>
      </c>
      <c r="M23" s="27"/>
      <c r="N23" s="64"/>
      <c r="O23" s="5" t="s">
        <v>79</v>
      </c>
      <c r="P23" s="6" t="s">
        <v>15</v>
      </c>
      <c r="Q23" s="76"/>
      <c r="R23" s="4"/>
    </row>
    <row r="24" spans="1:18" ht="25.5" customHeight="1" x14ac:dyDescent="0.2">
      <c r="A24" s="24" t="s">
        <v>45</v>
      </c>
      <c r="B24" s="2" t="s">
        <v>43</v>
      </c>
      <c r="C24" s="47" t="s">
        <v>69</v>
      </c>
      <c r="D24" s="3">
        <f>ROUND(+'DUOS Ex GST'!D24+'TUOS Ex GST'!D24,3)</f>
        <v>0</v>
      </c>
      <c r="E24" s="27">
        <f>ROUND(+'DUOS Ex GST'!E24+'TUOS Ex GST'!E24,3)</f>
        <v>10.769</v>
      </c>
      <c r="F24" s="27">
        <f>ROUND(+'DUOS Ex GST'!F24+'TUOS Ex GST'!F24,3)</f>
        <v>6.2119999999999997</v>
      </c>
      <c r="G24" s="27">
        <f>ROUND(+'DUOS Ex GST'!G24+'TUOS Ex GST'!G24,3)</f>
        <v>0</v>
      </c>
      <c r="H24" s="27">
        <f>ROUND(+'DUOS Ex GST'!H24+'TUOS Ex GST'!H24,3)</f>
        <v>0</v>
      </c>
      <c r="I24" s="27">
        <f>ROUND(+'DUOS Ex GST'!I24+'TUOS Ex GST'!I24,3)</f>
        <v>0</v>
      </c>
      <c r="J24" s="27">
        <f>ROUND(+'DUOS Ex GST'!J24+'TUOS Ex GST'!J24,3)</f>
        <v>2.5049999999999999</v>
      </c>
      <c r="K24" s="27">
        <f>ROUND(+'DUOS Ex GST'!K24+'TUOS Ex GST'!K24,3)</f>
        <v>0</v>
      </c>
      <c r="L24" s="64">
        <f>ROUND(+'DUOS Ex GST'!L24+'TUOS Ex GST'!L24,3)</f>
        <v>42.921999999999997</v>
      </c>
      <c r="M24" s="27"/>
      <c r="N24" s="64"/>
      <c r="O24" s="5" t="s">
        <v>79</v>
      </c>
      <c r="P24" s="6" t="s">
        <v>58</v>
      </c>
      <c r="Q24" s="76"/>
      <c r="R24" s="4"/>
    </row>
    <row r="25" spans="1:18" ht="25.5" customHeight="1" x14ac:dyDescent="0.2">
      <c r="A25" s="24" t="s">
        <v>71</v>
      </c>
      <c r="B25" s="2" t="s">
        <v>70</v>
      </c>
      <c r="C25" s="47" t="s">
        <v>78</v>
      </c>
      <c r="D25" s="3">
        <f>ROUND(+'DUOS Ex GST'!D25+'TUOS Ex GST'!D25,3)</f>
        <v>6.6820000000000004</v>
      </c>
      <c r="E25" s="27">
        <f>ROUND(+'DUOS Ex GST'!E25+'TUOS Ex GST'!E25,3)</f>
        <v>22.094000000000001</v>
      </c>
      <c r="F25" s="27">
        <f>ROUND(+'DUOS Ex GST'!F25+'TUOS Ex GST'!F25,3)</f>
        <v>15.159000000000001</v>
      </c>
      <c r="G25" s="27">
        <f>ROUND(+'DUOS Ex GST'!G25+'TUOS Ex GST'!G25,3)</f>
        <v>0</v>
      </c>
      <c r="H25" s="27">
        <f>ROUND(+'DUOS Ex GST'!H25+'TUOS Ex GST'!H25,3)</f>
        <v>9.7200000000000006</v>
      </c>
      <c r="I25" s="27">
        <f>ROUND(+'DUOS Ex GST'!I25+'TUOS Ex GST'!I25,3)</f>
        <v>8.4420000000000002</v>
      </c>
      <c r="J25" s="27">
        <f>ROUND(+'DUOS Ex GST'!J25+'TUOS Ex GST'!J25,3)</f>
        <v>4.1360000000000001</v>
      </c>
      <c r="K25" s="27">
        <f>ROUND(+'DUOS Ex GST'!K25+'TUOS Ex GST'!K25,3)</f>
        <v>0</v>
      </c>
      <c r="L25" s="64">
        <f>ROUND(+'DUOS Ex GST'!L25+'TUOS Ex GST'!L25,3)</f>
        <v>0</v>
      </c>
      <c r="M25" s="27"/>
      <c r="N25" s="64"/>
      <c r="O25" s="5" t="s">
        <v>79</v>
      </c>
      <c r="P25" s="6" t="s">
        <v>15</v>
      </c>
      <c r="Q25" s="76"/>
      <c r="R25" s="4"/>
    </row>
    <row r="26" spans="1:18" ht="25.5" customHeight="1" x14ac:dyDescent="0.2">
      <c r="A26" s="57" t="s">
        <v>76</v>
      </c>
      <c r="B26" s="58" t="s">
        <v>77</v>
      </c>
      <c r="C26" s="59" t="s">
        <v>69</v>
      </c>
      <c r="D26" s="71">
        <f>ROUND(+'DUOS Ex GST'!D26+'TUOS Ex GST'!D26,3)</f>
        <v>6.6820000000000004</v>
      </c>
      <c r="E26" s="60">
        <f>ROUND(+'DUOS Ex GST'!E26+'TUOS Ex GST'!E26,3)</f>
        <v>19.866</v>
      </c>
      <c r="F26" s="60">
        <f>ROUND(+'DUOS Ex GST'!F26+'TUOS Ex GST'!F26,3)</f>
        <v>12.81</v>
      </c>
      <c r="G26" s="60">
        <f>ROUND(+'DUOS Ex GST'!G26+'TUOS Ex GST'!G26,3)</f>
        <v>0</v>
      </c>
      <c r="H26" s="60">
        <f>ROUND(+'DUOS Ex GST'!H26+'TUOS Ex GST'!H26,3)</f>
        <v>6.2889999999999997</v>
      </c>
      <c r="I26" s="60">
        <f>ROUND(+'DUOS Ex GST'!I26+'TUOS Ex GST'!I26,3)</f>
        <v>6.0590000000000002</v>
      </c>
      <c r="J26" s="60">
        <f>ROUND(+'DUOS Ex GST'!J26+'TUOS Ex GST'!J26,3)</f>
        <v>3.6720000000000002</v>
      </c>
      <c r="K26" s="60">
        <f>ROUND(+'DUOS Ex GST'!K26+'TUOS Ex GST'!K26,3)</f>
        <v>0</v>
      </c>
      <c r="L26" s="65">
        <f>ROUND(+'DUOS Ex GST'!L26+'TUOS Ex GST'!L26,3)</f>
        <v>0</v>
      </c>
      <c r="M26" s="60"/>
      <c r="N26" s="65"/>
      <c r="O26" s="90" t="s">
        <v>12</v>
      </c>
      <c r="P26" s="91"/>
      <c r="Q26" s="61"/>
      <c r="R26" s="72"/>
    </row>
    <row r="27" spans="1:18" ht="25.5" customHeight="1" thickBot="1" x14ac:dyDescent="0.25">
      <c r="A27" s="73" t="s">
        <v>104</v>
      </c>
      <c r="B27" s="74" t="s">
        <v>98</v>
      </c>
      <c r="C27" s="59" t="s">
        <v>69</v>
      </c>
      <c r="D27" s="60">
        <f>ROUND(+'DUOS Ex GST'!D27+'TUOS Ex GST'!D27,3)</f>
        <v>0</v>
      </c>
      <c r="E27" s="60">
        <f>ROUND(+'DUOS Ex GST'!E27+'TUOS Ex GST'!E27,3)</f>
        <v>4</v>
      </c>
      <c r="F27" s="60">
        <f>ROUND(+'DUOS Ex GST'!F27+'TUOS Ex GST'!F27,3)</f>
        <v>4</v>
      </c>
      <c r="G27" s="60">
        <f>ROUND(+'DUOS Ex GST'!G27+'TUOS Ex GST'!G27,3)</f>
        <v>0</v>
      </c>
      <c r="H27" s="60">
        <f>ROUND(+'DUOS Ex GST'!H27+'TUOS Ex GST'!H27,3)</f>
        <v>2.5</v>
      </c>
      <c r="I27" s="60">
        <f>ROUND(+'DUOS Ex GST'!I27+'TUOS Ex GST'!I27,3)</f>
        <v>2.5</v>
      </c>
      <c r="J27" s="60">
        <f>ROUND(+'DUOS Ex GST'!J27+'TUOS Ex GST'!J27,3)</f>
        <v>2.5</v>
      </c>
      <c r="K27" s="60">
        <f>ROUND(+'DUOS Ex GST'!K27+'TUOS Ex GST'!K27,3)</f>
        <v>0</v>
      </c>
      <c r="L27" s="60">
        <f>ROUND(+'DUOS Ex GST'!L27+'TUOS Ex GST'!L27,3)</f>
        <v>0</v>
      </c>
      <c r="M27" s="78">
        <f>ROUND(+'DUOS Ex GST'!M27+'TUOS Ex GST'!M27,3)</f>
        <v>30.422000000000001</v>
      </c>
      <c r="N27" s="78">
        <f>ROUND(+'DUOS Ex GST'!N27+'TUOS Ex GST'!N27,3)</f>
        <v>16.248000000000001</v>
      </c>
      <c r="O27" s="99" t="s">
        <v>12</v>
      </c>
      <c r="P27" s="100"/>
      <c r="Q27" s="80">
        <v>1.5</v>
      </c>
      <c r="R27" s="81">
        <v>1.5</v>
      </c>
    </row>
    <row r="28" spans="1:18" ht="25.5" customHeight="1" x14ac:dyDescent="0.2">
      <c r="A28" s="29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62"/>
    </row>
    <row r="29" spans="1:18" x14ac:dyDescent="0.2">
      <c r="A29" s="8" t="s">
        <v>72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x14ac:dyDescent="0.2">
      <c r="A30" s="8" t="s">
        <v>105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x14ac:dyDescent="0.2">
      <c r="A31" s="8" t="s">
        <v>99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x14ac:dyDescent="0.2">
      <c r="A32" s="8" t="s">
        <v>100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x14ac:dyDescent="0.2">
      <c r="A33" s="43" t="s">
        <v>74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</row>
    <row r="34" spans="1:18" ht="13.5" thickBot="1" x14ac:dyDescent="0.25">
      <c r="A34" s="33" t="s">
        <v>75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5"/>
    </row>
    <row r="35" spans="1:18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8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8" x14ac:dyDescent="0.2"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</sheetData>
  <mergeCells count="5">
    <mergeCell ref="O26:P26"/>
    <mergeCell ref="A1:Q1"/>
    <mergeCell ref="O3:P3"/>
    <mergeCell ref="D3:N3"/>
    <mergeCell ref="O27:P27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5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1"/>
  <sheetViews>
    <sheetView topLeftCell="A13" workbookViewId="0">
      <selection activeCell="K7" sqref="K7"/>
    </sheetView>
  </sheetViews>
  <sheetFormatPr defaultRowHeight="12.75" x14ac:dyDescent="0.2"/>
  <cols>
    <col min="1" max="1" width="30.28515625" customWidth="1"/>
    <col min="2" max="2" width="29.140625" customWidth="1"/>
    <col min="3" max="3" width="27.7109375" customWidth="1"/>
    <col min="4" max="4" width="8.85546875" customWidth="1"/>
  </cols>
  <sheetData>
    <row r="1" spans="1:3" s="1" customFormat="1" ht="18.75" thickBot="1" x14ac:dyDescent="0.3">
      <c r="A1" s="101" t="s">
        <v>84</v>
      </c>
      <c r="B1" s="102"/>
      <c r="C1" s="102"/>
    </row>
    <row r="2" spans="1:3" s="23" customFormat="1" ht="92.25" customHeight="1" thickBot="1" x14ac:dyDescent="0.25">
      <c r="A2" s="36" t="s">
        <v>66</v>
      </c>
      <c r="B2" s="36" t="s">
        <v>67</v>
      </c>
      <c r="C2" s="19" t="s">
        <v>81</v>
      </c>
    </row>
    <row r="3" spans="1:3" ht="25.5" customHeight="1" x14ac:dyDescent="0.2">
      <c r="A3" s="28" t="s">
        <v>61</v>
      </c>
      <c r="B3" s="29" t="s">
        <v>64</v>
      </c>
      <c r="C3" s="82">
        <v>7.2021917808219174</v>
      </c>
    </row>
    <row r="4" spans="1:3" ht="25.5" customHeight="1" x14ac:dyDescent="0.2">
      <c r="A4" s="24" t="s">
        <v>26</v>
      </c>
      <c r="B4" s="2" t="s">
        <v>13</v>
      </c>
      <c r="C4" s="83">
        <f>+$C$3</f>
        <v>7.2021917808219174</v>
      </c>
    </row>
    <row r="5" spans="1:3" ht="25.5" customHeight="1" x14ac:dyDescent="0.2">
      <c r="A5" s="24" t="s">
        <v>48</v>
      </c>
      <c r="B5" s="2" t="s">
        <v>49</v>
      </c>
      <c r="C5" s="83"/>
    </row>
    <row r="6" spans="1:3" ht="25.5" customHeight="1" x14ac:dyDescent="0.2">
      <c r="A6" s="24" t="s">
        <v>27</v>
      </c>
      <c r="B6" s="2" t="s">
        <v>14</v>
      </c>
      <c r="C6" s="83"/>
    </row>
    <row r="7" spans="1:3" ht="25.5" customHeight="1" x14ac:dyDescent="0.2">
      <c r="A7" s="24" t="s">
        <v>50</v>
      </c>
      <c r="B7" s="2" t="s">
        <v>51</v>
      </c>
      <c r="C7" s="84">
        <f>+$C$3</f>
        <v>7.2021917808219174</v>
      </c>
    </row>
    <row r="8" spans="1:3" ht="25.5" customHeight="1" x14ac:dyDescent="0.2">
      <c r="A8" s="24" t="s">
        <v>52</v>
      </c>
      <c r="B8" s="2" t="s">
        <v>53</v>
      </c>
      <c r="C8" s="83">
        <f t="shared" ref="C8:C25" si="0">+$C$3</f>
        <v>7.2021917808219174</v>
      </c>
    </row>
    <row r="9" spans="1:3" ht="25.5" customHeight="1" x14ac:dyDescent="0.2">
      <c r="A9" s="24" t="s">
        <v>63</v>
      </c>
      <c r="B9" s="2" t="s">
        <v>65</v>
      </c>
      <c r="C9" s="83">
        <f t="shared" si="0"/>
        <v>7.2021917808219174</v>
      </c>
    </row>
    <row r="10" spans="1:3" ht="25.5" customHeight="1" x14ac:dyDescent="0.2">
      <c r="A10" s="24" t="s">
        <v>28</v>
      </c>
      <c r="B10" s="2" t="s">
        <v>40</v>
      </c>
      <c r="C10" s="83">
        <f t="shared" si="0"/>
        <v>7.2021917808219174</v>
      </c>
    </row>
    <row r="11" spans="1:3" ht="25.5" customHeight="1" x14ac:dyDescent="0.2">
      <c r="A11" s="24" t="s">
        <v>29</v>
      </c>
      <c r="B11" s="2" t="s">
        <v>41</v>
      </c>
      <c r="C11" s="83">
        <f t="shared" si="0"/>
        <v>7.2021917808219174</v>
      </c>
    </row>
    <row r="12" spans="1:3" ht="25.5" customHeight="1" x14ac:dyDescent="0.2">
      <c r="A12" s="24" t="s">
        <v>39</v>
      </c>
      <c r="B12" s="2" t="s">
        <v>38</v>
      </c>
      <c r="C12" s="83">
        <f t="shared" si="0"/>
        <v>7.2021917808219174</v>
      </c>
    </row>
    <row r="13" spans="1:3" ht="25.5" customHeight="1" x14ac:dyDescent="0.2">
      <c r="A13" s="24" t="s">
        <v>16</v>
      </c>
      <c r="B13" s="2" t="s">
        <v>59</v>
      </c>
      <c r="C13" s="83">
        <f t="shared" si="0"/>
        <v>7.2021917808219174</v>
      </c>
    </row>
    <row r="14" spans="1:3" ht="25.5" customHeight="1" x14ac:dyDescent="0.2">
      <c r="A14" s="24" t="s">
        <v>30</v>
      </c>
      <c r="B14" s="2" t="s">
        <v>17</v>
      </c>
      <c r="C14" s="83">
        <f t="shared" si="0"/>
        <v>7.2021917808219174</v>
      </c>
    </row>
    <row r="15" spans="1:3" ht="25.5" customHeight="1" x14ac:dyDescent="0.2">
      <c r="A15" s="24" t="s">
        <v>31</v>
      </c>
      <c r="B15" s="2" t="s">
        <v>18</v>
      </c>
      <c r="C15" s="83">
        <f t="shared" si="0"/>
        <v>7.2021917808219174</v>
      </c>
    </row>
    <row r="16" spans="1:3" ht="25.5" customHeight="1" x14ac:dyDescent="0.2">
      <c r="A16" s="24" t="s">
        <v>32</v>
      </c>
      <c r="B16" s="2" t="s">
        <v>19</v>
      </c>
      <c r="C16" s="83">
        <f t="shared" si="0"/>
        <v>7.2021917808219174</v>
      </c>
    </row>
    <row r="17" spans="1:3" ht="25.5" customHeight="1" x14ac:dyDescent="0.2">
      <c r="A17" s="24" t="s">
        <v>54</v>
      </c>
      <c r="B17" s="2" t="s">
        <v>55</v>
      </c>
      <c r="C17" s="83">
        <f t="shared" si="0"/>
        <v>7.2021917808219174</v>
      </c>
    </row>
    <row r="18" spans="1:3" ht="25.5" customHeight="1" x14ac:dyDescent="0.2">
      <c r="A18" s="24" t="s">
        <v>33</v>
      </c>
      <c r="B18" s="2" t="s">
        <v>22</v>
      </c>
      <c r="C18" s="83">
        <f t="shared" si="0"/>
        <v>7.2021917808219174</v>
      </c>
    </row>
    <row r="19" spans="1:3" ht="25.5" customHeight="1" x14ac:dyDescent="0.2">
      <c r="A19" s="24" t="s">
        <v>60</v>
      </c>
      <c r="B19" s="2" t="s">
        <v>56</v>
      </c>
      <c r="C19" s="83">
        <f t="shared" si="0"/>
        <v>7.2021917808219174</v>
      </c>
    </row>
    <row r="20" spans="1:3" ht="25.5" customHeight="1" x14ac:dyDescent="0.2">
      <c r="A20" s="24" t="s">
        <v>34</v>
      </c>
      <c r="B20" s="2" t="s">
        <v>57</v>
      </c>
      <c r="C20" s="83">
        <f t="shared" si="0"/>
        <v>7.2021917808219174</v>
      </c>
    </row>
    <row r="21" spans="1:3" ht="25.5" customHeight="1" x14ac:dyDescent="0.2">
      <c r="A21" s="24" t="s">
        <v>44</v>
      </c>
      <c r="B21" s="2" t="s">
        <v>42</v>
      </c>
      <c r="C21" s="83">
        <f t="shared" si="0"/>
        <v>7.2021917808219174</v>
      </c>
    </row>
    <row r="22" spans="1:3" ht="25.5" customHeight="1" x14ac:dyDescent="0.2">
      <c r="A22" s="24" t="s">
        <v>45</v>
      </c>
      <c r="B22" s="2" t="s">
        <v>43</v>
      </c>
      <c r="C22" s="83">
        <f t="shared" si="0"/>
        <v>7.2021917808219174</v>
      </c>
    </row>
    <row r="23" spans="1:3" ht="25.5" customHeight="1" x14ac:dyDescent="0.2">
      <c r="A23" s="24" t="s">
        <v>71</v>
      </c>
      <c r="B23" s="2" t="s">
        <v>70</v>
      </c>
      <c r="C23" s="83">
        <f t="shared" si="0"/>
        <v>7.2021917808219174</v>
      </c>
    </row>
    <row r="24" spans="1:3" ht="25.5" customHeight="1" x14ac:dyDescent="0.2">
      <c r="A24" s="24" t="s">
        <v>76</v>
      </c>
      <c r="B24" s="2" t="s">
        <v>77</v>
      </c>
      <c r="C24" s="83">
        <f t="shared" si="0"/>
        <v>7.2021917808219174</v>
      </c>
    </row>
    <row r="25" spans="1:3" ht="25.5" customHeight="1" thickBot="1" x14ac:dyDescent="0.25">
      <c r="A25" s="85" t="s">
        <v>97</v>
      </c>
      <c r="B25" s="86" t="s">
        <v>98</v>
      </c>
      <c r="C25" s="89">
        <f t="shared" si="0"/>
        <v>7.2021917808219174</v>
      </c>
    </row>
    <row r="26" spans="1:3" x14ac:dyDescent="0.2">
      <c r="A26" s="37"/>
      <c r="B26" s="38"/>
      <c r="C26" s="39"/>
    </row>
    <row r="27" spans="1:3" x14ac:dyDescent="0.2">
      <c r="A27" s="8" t="s">
        <v>72</v>
      </c>
      <c r="B27" s="40"/>
      <c r="C27" s="41"/>
    </row>
    <row r="28" spans="1:3" x14ac:dyDescent="0.2">
      <c r="A28" s="8"/>
      <c r="B28" s="40"/>
      <c r="C28" s="41"/>
    </row>
    <row r="29" spans="1:3" x14ac:dyDescent="0.2">
      <c r="A29" s="8"/>
      <c r="B29" s="40"/>
      <c r="C29" s="41"/>
    </row>
    <row r="30" spans="1:3" x14ac:dyDescent="0.2">
      <c r="A30" s="103"/>
      <c r="B30" s="104"/>
      <c r="C30" s="105"/>
    </row>
    <row r="31" spans="1:3" ht="13.5" thickBot="1" x14ac:dyDescent="0.25">
      <c r="A31" s="106"/>
      <c r="B31" s="107"/>
      <c r="C31" s="108"/>
    </row>
    <row r="32" spans="1:3" x14ac:dyDescent="0.2">
      <c r="C32" s="9"/>
    </row>
    <row r="33" spans="3:3" x14ac:dyDescent="0.2">
      <c r="C33" s="9"/>
    </row>
    <row r="34" spans="3:3" x14ac:dyDescent="0.2">
      <c r="C34" s="12"/>
    </row>
    <row r="35" spans="3:3" x14ac:dyDescent="0.2">
      <c r="C35" s="9"/>
    </row>
    <row r="36" spans="3:3" x14ac:dyDescent="0.2">
      <c r="C36" s="9"/>
    </row>
    <row r="37" spans="3:3" x14ac:dyDescent="0.2">
      <c r="C37" s="9"/>
    </row>
    <row r="38" spans="3:3" x14ac:dyDescent="0.2">
      <c r="C38" s="9"/>
    </row>
    <row r="39" spans="3:3" x14ac:dyDescent="0.2">
      <c r="C39" s="9"/>
    </row>
    <row r="40" spans="3:3" x14ac:dyDescent="0.2">
      <c r="C40" s="9"/>
    </row>
    <row r="41" spans="3:3" x14ac:dyDescent="0.2">
      <c r="C41" s="9"/>
    </row>
  </sheetData>
  <mergeCells count="3">
    <mergeCell ref="A1:C1"/>
    <mergeCell ref="A30:C30"/>
    <mergeCell ref="A31:C31"/>
  </mergeCells>
  <phoneticPr fontId="9" type="noConversion"/>
  <pageMargins left="0.74803149606299213" right="0.74803149606299213" top="0.98425196850393704" bottom="0.98425196850393704" header="0.51181102362204722" footer="0.51181102362204722"/>
  <pageSetup paperSize="9" scale="9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37" sqref="C37"/>
    </sheetView>
  </sheetViews>
  <sheetFormatPr defaultRowHeight="12.75" x14ac:dyDescent="0.2"/>
  <cols>
    <col min="1" max="1" width="45.28515625" customWidth="1"/>
    <col min="2" max="2" width="19.28515625" customWidth="1"/>
  </cols>
  <sheetData>
    <row r="1" spans="1:2" ht="18" x14ac:dyDescent="0.25">
      <c r="A1" s="16" t="s">
        <v>85</v>
      </c>
    </row>
    <row r="2" spans="1:2" ht="15.75" x14ac:dyDescent="0.25">
      <c r="A2" s="13"/>
    </row>
    <row r="4" spans="1:2" x14ac:dyDescent="0.2">
      <c r="A4" s="17" t="s">
        <v>23</v>
      </c>
      <c r="B4" s="18" t="s">
        <v>24</v>
      </c>
    </row>
    <row r="5" spans="1:2" x14ac:dyDescent="0.2">
      <c r="A5" s="14" t="s">
        <v>25</v>
      </c>
      <c r="B5" s="15">
        <v>1.258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1"/>
  <sheetViews>
    <sheetView showGridLines="0" showZeros="0" zoomScale="80" zoomScaleNormal="80" workbookViewId="0">
      <selection activeCell="J7" sqref="J7"/>
    </sheetView>
  </sheetViews>
  <sheetFormatPr defaultRowHeight="12.75" x14ac:dyDescent="0.2"/>
  <cols>
    <col min="1" max="1" width="29.5703125" customWidth="1"/>
    <col min="2" max="2" width="16.42578125" customWidth="1"/>
    <col min="3" max="3" width="10.28515625" customWidth="1"/>
    <col min="4" max="16" width="11.140625" customWidth="1"/>
    <col min="17" max="17" width="12.42578125" customWidth="1"/>
    <col min="18" max="18" width="14.28515625" customWidth="1"/>
  </cols>
  <sheetData>
    <row r="1" spans="1:18" s="1" customFormat="1" ht="18" x14ac:dyDescent="0.25">
      <c r="A1" s="92" t="s">
        <v>86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53"/>
    </row>
    <row r="2" spans="1:18" ht="13.5" thickBo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</row>
    <row r="3" spans="1:18" ht="81" customHeight="1" thickBot="1" x14ac:dyDescent="0.25">
      <c r="A3" s="50"/>
      <c r="B3" s="51"/>
      <c r="C3" s="51"/>
      <c r="D3" s="96" t="s">
        <v>0</v>
      </c>
      <c r="E3" s="97"/>
      <c r="F3" s="97"/>
      <c r="G3" s="97"/>
      <c r="H3" s="97"/>
      <c r="I3" s="97"/>
      <c r="J3" s="97"/>
      <c r="K3" s="97"/>
      <c r="L3" s="97"/>
      <c r="M3" s="97"/>
      <c r="N3" s="98"/>
      <c r="O3" s="94" t="s">
        <v>36</v>
      </c>
      <c r="P3" s="95"/>
      <c r="Q3" s="52" t="s">
        <v>1</v>
      </c>
      <c r="R3" s="52" t="s">
        <v>94</v>
      </c>
    </row>
    <row r="4" spans="1:18" ht="93" customHeight="1" thickBot="1" x14ac:dyDescent="0.25">
      <c r="A4" s="20" t="s">
        <v>2</v>
      </c>
      <c r="B4" s="21" t="s">
        <v>3</v>
      </c>
      <c r="C4" s="42" t="s">
        <v>68</v>
      </c>
      <c r="D4" s="67" t="s">
        <v>37</v>
      </c>
      <c r="E4" s="68" t="s">
        <v>4</v>
      </c>
      <c r="F4" s="68" t="s">
        <v>5</v>
      </c>
      <c r="G4" s="68" t="s">
        <v>6</v>
      </c>
      <c r="H4" s="68"/>
      <c r="I4" s="68"/>
      <c r="J4" s="68" t="s">
        <v>7</v>
      </c>
      <c r="K4" s="68" t="s">
        <v>8</v>
      </c>
      <c r="L4" s="66" t="s">
        <v>9</v>
      </c>
      <c r="M4" s="66" t="s">
        <v>92</v>
      </c>
      <c r="N4" s="66" t="s">
        <v>93</v>
      </c>
      <c r="O4" s="69" t="s">
        <v>10</v>
      </c>
      <c r="P4" s="70" t="s">
        <v>11</v>
      </c>
      <c r="Q4" s="49" t="s">
        <v>10</v>
      </c>
      <c r="R4" s="22" t="s">
        <v>95</v>
      </c>
    </row>
    <row r="5" spans="1:18" ht="26.25" customHeight="1" x14ac:dyDescent="0.2">
      <c r="A5" s="28" t="s">
        <v>61</v>
      </c>
      <c r="B5" s="29" t="s">
        <v>64</v>
      </c>
      <c r="C5" s="46" t="s">
        <v>69</v>
      </c>
      <c r="D5" s="25">
        <f>+ROUND('DUOS Ex GST'!D5*1.1,3)</f>
        <v>7.35</v>
      </c>
      <c r="E5" s="26">
        <f>+ROUND('DUOS Ex GST'!E5*1.1,3)</f>
        <v>9.0640000000000001</v>
      </c>
      <c r="F5" s="26">
        <f>+ROUND('DUOS Ex GST'!F5*1.1,3)</f>
        <v>5.8339999999999996</v>
      </c>
      <c r="G5" s="26">
        <f>+ROUND('DUOS Ex GST'!G5*1.1,3)</f>
        <v>0</v>
      </c>
      <c r="H5" s="26">
        <f>+ROUND('DUOS Ex GST'!H5*1.1,3)</f>
        <v>0</v>
      </c>
      <c r="I5" s="26">
        <f>+ROUND('DUOS Ex GST'!I5*1.1,3)</f>
        <v>0</v>
      </c>
      <c r="J5" s="26">
        <f>+ROUND('DUOS Ex GST'!J5*1.1,3)</f>
        <v>0</v>
      </c>
      <c r="K5" s="26">
        <f>+ROUND('DUOS Ex GST'!K5*1.1,3)</f>
        <v>0</v>
      </c>
      <c r="L5" s="63">
        <f>+ROUND('DUOS Ex GST'!L5*1.1,3)</f>
        <v>0</v>
      </c>
      <c r="M5" s="26"/>
      <c r="N5" s="63"/>
      <c r="O5" s="44" t="s">
        <v>79</v>
      </c>
      <c r="P5" s="45" t="s">
        <v>15</v>
      </c>
      <c r="Q5" s="75"/>
      <c r="R5" s="30"/>
    </row>
    <row r="6" spans="1:18" ht="26.25" customHeight="1" x14ac:dyDescent="0.2">
      <c r="A6" s="24" t="s">
        <v>26</v>
      </c>
      <c r="B6" s="2" t="s">
        <v>13</v>
      </c>
      <c r="C6" s="47"/>
      <c r="D6" s="3">
        <f>+ROUND('DUOS Ex GST'!D6*1.1,3)</f>
        <v>15.214</v>
      </c>
      <c r="E6" s="27">
        <f>+ROUND('DUOS Ex GST'!E6*1.1,3)</f>
        <v>10.919</v>
      </c>
      <c r="F6" s="27">
        <f>+ROUND('DUOS Ex GST'!F6*1.1,3)</f>
        <v>8.282</v>
      </c>
      <c r="G6" s="27">
        <f>+ROUND('DUOS Ex GST'!G6*1.1,3)</f>
        <v>0</v>
      </c>
      <c r="H6" s="27">
        <f>+ROUND('DUOS Ex GST'!H6*1.1,3)</f>
        <v>0</v>
      </c>
      <c r="I6" s="27">
        <f>+ROUND('DUOS Ex GST'!I6*1.1,3)</f>
        <v>0</v>
      </c>
      <c r="J6" s="27">
        <f>+ROUND('DUOS Ex GST'!J6*1.1,3)</f>
        <v>1.893</v>
      </c>
      <c r="K6" s="27">
        <f>+ROUND('DUOS Ex GST'!K6*1.1,3)</f>
        <v>0</v>
      </c>
      <c r="L6" s="64">
        <f>+ROUND('DUOS Ex GST'!L6*1.1,3)</f>
        <v>0</v>
      </c>
      <c r="M6" s="27"/>
      <c r="N6" s="64"/>
      <c r="O6" s="5"/>
      <c r="P6" s="6"/>
      <c r="Q6" s="76"/>
      <c r="R6" s="4"/>
    </row>
    <row r="7" spans="1:18" ht="26.25" customHeight="1" x14ac:dyDescent="0.2">
      <c r="A7" s="24" t="s">
        <v>48</v>
      </c>
      <c r="B7" s="2" t="s">
        <v>49</v>
      </c>
      <c r="C7" s="47"/>
      <c r="D7" s="3">
        <f>+ROUND('DUOS Ex GST'!D7*1.1,3)</f>
        <v>0</v>
      </c>
      <c r="E7" s="27">
        <f>+ROUND('DUOS Ex GST'!E7*1.1,3)</f>
        <v>0</v>
      </c>
      <c r="F7" s="27">
        <f>+ROUND('DUOS Ex GST'!F7*1.1,3)</f>
        <v>0</v>
      </c>
      <c r="G7" s="27">
        <f>+ROUND('DUOS Ex GST'!G7*1.1,3)</f>
        <v>0</v>
      </c>
      <c r="H7" s="27">
        <f>+ROUND('DUOS Ex GST'!H7*1.1,3)</f>
        <v>0</v>
      </c>
      <c r="I7" s="27">
        <f>+ROUND('DUOS Ex GST'!I7*1.1,3)</f>
        <v>0</v>
      </c>
      <c r="J7" s="27">
        <f>+ROUND('DUOS Ex GST'!J7*1.1,3)</f>
        <v>1.752</v>
      </c>
      <c r="K7" s="27">
        <f>+ROUND('DUOS Ex GST'!K7*1.1,3)</f>
        <v>0</v>
      </c>
      <c r="L7" s="64">
        <f>+ROUND('DUOS Ex GST'!L7*1.1,3)</f>
        <v>0</v>
      </c>
      <c r="M7" s="27"/>
      <c r="N7" s="64"/>
      <c r="O7" s="5" t="s">
        <v>79</v>
      </c>
      <c r="P7" s="6" t="s">
        <v>80</v>
      </c>
      <c r="Q7" s="77"/>
      <c r="R7" s="7"/>
    </row>
    <row r="8" spans="1:18" ht="26.25" customHeight="1" x14ac:dyDescent="0.2">
      <c r="A8" s="24" t="s">
        <v>27</v>
      </c>
      <c r="B8" s="2" t="s">
        <v>14</v>
      </c>
      <c r="C8" s="47"/>
      <c r="D8" s="3">
        <f>+ROUND('DUOS Ex GST'!D8*1.1,3)</f>
        <v>0</v>
      </c>
      <c r="E8" s="27">
        <f>+ROUND('DUOS Ex GST'!E8*1.1,3)</f>
        <v>9.1780000000000008</v>
      </c>
      <c r="F8" s="27">
        <f>+ROUND('DUOS Ex GST'!F8*1.1,3)</f>
        <v>6.7140000000000004</v>
      </c>
      <c r="G8" s="27">
        <f>+ROUND('DUOS Ex GST'!G8*1.1,3)</f>
        <v>0</v>
      </c>
      <c r="H8" s="27">
        <f>+ROUND('DUOS Ex GST'!H8*1.1,3)</f>
        <v>0</v>
      </c>
      <c r="I8" s="27">
        <f>+ROUND('DUOS Ex GST'!I8*1.1,3)</f>
        <v>0</v>
      </c>
      <c r="J8" s="27">
        <f>+ROUND('DUOS Ex GST'!J8*1.1,3)</f>
        <v>1.6559999999999999</v>
      </c>
      <c r="K8" s="27">
        <f>+ROUND('DUOS Ex GST'!K8*1.1,3)</f>
        <v>0</v>
      </c>
      <c r="L8" s="64">
        <f>+ROUND('DUOS Ex GST'!L8*1.1,3)</f>
        <v>0</v>
      </c>
      <c r="M8" s="27"/>
      <c r="N8" s="64"/>
      <c r="O8" s="5"/>
      <c r="P8" s="6"/>
      <c r="Q8" s="77"/>
      <c r="R8" s="7"/>
    </row>
    <row r="9" spans="1:18" ht="26.25" customHeight="1" x14ac:dyDescent="0.2">
      <c r="A9" s="24" t="s">
        <v>50</v>
      </c>
      <c r="B9" s="2" t="s">
        <v>51</v>
      </c>
      <c r="C9" s="47"/>
      <c r="D9" s="3">
        <f>+ROUND('DUOS Ex GST'!D9*1.1,3)</f>
        <v>9.593</v>
      </c>
      <c r="E9" s="27">
        <f>+ROUND('DUOS Ex GST'!E9*1.1,3)</f>
        <v>7.1539999999999999</v>
      </c>
      <c r="F9" s="27">
        <f>+ROUND('DUOS Ex GST'!F9*1.1,3)</f>
        <v>5.3010000000000002</v>
      </c>
      <c r="G9" s="27">
        <f>+ROUND('DUOS Ex GST'!G9*1.1,3)</f>
        <v>1.9870000000000001</v>
      </c>
      <c r="H9" s="27">
        <f>+ROUND('DUOS Ex GST'!H9*1.1,3)</f>
        <v>0</v>
      </c>
      <c r="I9" s="27">
        <f>+ROUND('DUOS Ex GST'!I9*1.1,3)</f>
        <v>0</v>
      </c>
      <c r="J9" s="27">
        <f>+ROUND('DUOS Ex GST'!J9*1.1,3)</f>
        <v>0</v>
      </c>
      <c r="K9" s="27">
        <f>+ROUND('DUOS Ex GST'!K9*1.1,3)</f>
        <v>0</v>
      </c>
      <c r="L9" s="64">
        <f>+ROUND('DUOS Ex GST'!L9*1.1,3)</f>
        <v>0</v>
      </c>
      <c r="M9" s="27"/>
      <c r="N9" s="64"/>
      <c r="O9" s="5"/>
      <c r="P9" s="6"/>
      <c r="Q9" s="76"/>
      <c r="R9" s="4"/>
    </row>
    <row r="10" spans="1:18" ht="26.25" customHeight="1" x14ac:dyDescent="0.2">
      <c r="A10" s="24" t="s">
        <v>52</v>
      </c>
      <c r="B10" s="2" t="s">
        <v>53</v>
      </c>
      <c r="C10" s="47"/>
      <c r="D10" s="3">
        <f>+ROUND('DUOS Ex GST'!D10*1.1,3)</f>
        <v>0</v>
      </c>
      <c r="E10" s="27">
        <f>+ROUND('DUOS Ex GST'!E10*1.1,3)</f>
        <v>6.2169999999999996</v>
      </c>
      <c r="F10" s="27">
        <f>+ROUND('DUOS Ex GST'!F10*1.1,3)</f>
        <v>1.5629999999999999</v>
      </c>
      <c r="G10" s="27">
        <f>+ROUND('DUOS Ex GST'!G10*1.1,3)</f>
        <v>0</v>
      </c>
      <c r="H10" s="27">
        <f>+ROUND('DUOS Ex GST'!H10*1.1,3)</f>
        <v>0</v>
      </c>
      <c r="I10" s="27">
        <f>+ROUND('DUOS Ex GST'!I10*1.1,3)</f>
        <v>0</v>
      </c>
      <c r="J10" s="27">
        <f>+ROUND('DUOS Ex GST'!J10*1.1,3)</f>
        <v>1.536</v>
      </c>
      <c r="K10" s="27">
        <f>+ROUND('DUOS Ex GST'!K10*1.1,3)</f>
        <v>0</v>
      </c>
      <c r="L10" s="64">
        <f>+ROUND('DUOS Ex GST'!L10*1.1,3)</f>
        <v>78.123000000000005</v>
      </c>
      <c r="M10" s="27"/>
      <c r="N10" s="64"/>
      <c r="O10" s="5"/>
      <c r="P10" s="6"/>
      <c r="Q10" s="76"/>
      <c r="R10" s="4"/>
    </row>
    <row r="11" spans="1:18" ht="26.25" customHeight="1" x14ac:dyDescent="0.2">
      <c r="A11" s="24" t="s">
        <v>63</v>
      </c>
      <c r="B11" s="2" t="s">
        <v>65</v>
      </c>
      <c r="C11" s="47" t="s">
        <v>69</v>
      </c>
      <c r="D11" s="3">
        <f>+ROUND('DUOS Ex GST'!D11*1.1,3)</f>
        <v>14.24</v>
      </c>
      <c r="E11" s="27">
        <f>+ROUND('DUOS Ex GST'!E11*1.1,3)</f>
        <v>12.516999999999999</v>
      </c>
      <c r="F11" s="27">
        <f>+ROUND('DUOS Ex GST'!F11*1.1,3)</f>
        <v>7.8090000000000002</v>
      </c>
      <c r="G11" s="27">
        <f>+ROUND('DUOS Ex GST'!G11*1.1,3)</f>
        <v>0</v>
      </c>
      <c r="H11" s="27">
        <f>+ROUND('DUOS Ex GST'!H11*1.1,3)</f>
        <v>0</v>
      </c>
      <c r="I11" s="27">
        <f>+ROUND('DUOS Ex GST'!I11*1.1,3)</f>
        <v>0</v>
      </c>
      <c r="J11" s="27">
        <f>+ROUND('DUOS Ex GST'!J11*1.1,3)</f>
        <v>0</v>
      </c>
      <c r="K11" s="27">
        <f>+ROUND('DUOS Ex GST'!K11*1.1,3)</f>
        <v>0</v>
      </c>
      <c r="L11" s="64">
        <f>+ROUND('DUOS Ex GST'!L11*1.1,3)</f>
        <v>0</v>
      </c>
      <c r="M11" s="27"/>
      <c r="N11" s="64"/>
      <c r="O11" s="5" t="s">
        <v>79</v>
      </c>
      <c r="P11" s="6" t="s">
        <v>58</v>
      </c>
      <c r="Q11" s="76"/>
      <c r="R11" s="4"/>
    </row>
    <row r="12" spans="1:18" ht="26.25" customHeight="1" x14ac:dyDescent="0.2">
      <c r="A12" s="24" t="s">
        <v>28</v>
      </c>
      <c r="B12" s="2" t="s">
        <v>40</v>
      </c>
      <c r="C12" s="47"/>
      <c r="D12" s="3">
        <f>+ROUND('DUOS Ex GST'!D12*1.1,3)</f>
        <v>20.446000000000002</v>
      </c>
      <c r="E12" s="27">
        <f>+ROUND('DUOS Ex GST'!E12*1.1,3)</f>
        <v>9.9290000000000003</v>
      </c>
      <c r="F12" s="27">
        <f>+ROUND('DUOS Ex GST'!F12*1.1,3)</f>
        <v>7.44</v>
      </c>
      <c r="G12" s="27">
        <f>+ROUND('DUOS Ex GST'!G12*1.1,3)</f>
        <v>0</v>
      </c>
      <c r="H12" s="27">
        <f>+ROUND('DUOS Ex GST'!H12*1.1,3)</f>
        <v>0</v>
      </c>
      <c r="I12" s="27">
        <f>+ROUND('DUOS Ex GST'!I12*1.1,3)</f>
        <v>0</v>
      </c>
      <c r="J12" s="27">
        <f>+ROUND('DUOS Ex GST'!J12*1.1,3)</f>
        <v>1.8540000000000001</v>
      </c>
      <c r="K12" s="27">
        <f>+ROUND('DUOS Ex GST'!K12*1.1,3)</f>
        <v>0</v>
      </c>
      <c r="L12" s="64">
        <f>+ROUND('DUOS Ex GST'!L12*1.1,3)</f>
        <v>0</v>
      </c>
      <c r="M12" s="27"/>
      <c r="N12" s="64"/>
      <c r="O12" s="5"/>
      <c r="P12" s="6"/>
      <c r="Q12" s="76"/>
      <c r="R12" s="4"/>
    </row>
    <row r="13" spans="1:18" ht="26.25" customHeight="1" x14ac:dyDescent="0.2">
      <c r="A13" s="24" t="s">
        <v>29</v>
      </c>
      <c r="B13" s="2" t="s">
        <v>41</v>
      </c>
      <c r="C13" s="47"/>
      <c r="D13" s="3">
        <f>+ROUND('DUOS Ex GST'!D13*1.1,3)</f>
        <v>21.959</v>
      </c>
      <c r="E13" s="27">
        <f>+ROUND('DUOS Ex GST'!E13*1.1,3)</f>
        <v>9.5340000000000007</v>
      </c>
      <c r="F13" s="27">
        <f>+ROUND('DUOS Ex GST'!F13*1.1,3)</f>
        <v>7.3819999999999997</v>
      </c>
      <c r="G13" s="27">
        <f>+ROUND('DUOS Ex GST'!G13*1.1,3)</f>
        <v>0</v>
      </c>
      <c r="H13" s="27">
        <f>+ROUND('DUOS Ex GST'!H13*1.1,3)</f>
        <v>0</v>
      </c>
      <c r="I13" s="27">
        <f>+ROUND('DUOS Ex GST'!I13*1.1,3)</f>
        <v>0</v>
      </c>
      <c r="J13" s="27">
        <f>+ROUND('DUOS Ex GST'!J13*1.1,3)</f>
        <v>1.7390000000000001</v>
      </c>
      <c r="K13" s="27">
        <f>+ROUND('DUOS Ex GST'!K13*1.1,3)</f>
        <v>0</v>
      </c>
      <c r="L13" s="64">
        <f>+ROUND('DUOS Ex GST'!L13*1.1,3)</f>
        <v>0</v>
      </c>
      <c r="M13" s="27"/>
      <c r="N13" s="64"/>
      <c r="O13" s="5"/>
      <c r="P13" s="6"/>
      <c r="Q13" s="76"/>
      <c r="R13" s="4"/>
    </row>
    <row r="14" spans="1:18" ht="26.25" customHeight="1" x14ac:dyDescent="0.2">
      <c r="A14" s="24" t="s">
        <v>39</v>
      </c>
      <c r="B14" s="2" t="s">
        <v>38</v>
      </c>
      <c r="C14" s="47"/>
      <c r="D14" s="3">
        <f>+ROUND('DUOS Ex GST'!D14*1.1,3)</f>
        <v>0</v>
      </c>
      <c r="E14" s="27">
        <f>+ROUND('DUOS Ex GST'!E14*1.1,3)</f>
        <v>9.15</v>
      </c>
      <c r="F14" s="27">
        <f>+ROUND('DUOS Ex GST'!F14*1.1,3)</f>
        <v>5.3609999999999998</v>
      </c>
      <c r="G14" s="27">
        <f>+ROUND('DUOS Ex GST'!G14*1.1,3)</f>
        <v>0</v>
      </c>
      <c r="H14" s="27">
        <f>+ROUND('DUOS Ex GST'!H14*1.1,3)</f>
        <v>0</v>
      </c>
      <c r="I14" s="27">
        <f>+ROUND('DUOS Ex GST'!I14*1.1,3)</f>
        <v>0</v>
      </c>
      <c r="J14" s="27">
        <f>+ROUND('DUOS Ex GST'!J14*1.1,3)</f>
        <v>2.1309999999999998</v>
      </c>
      <c r="K14" s="27">
        <f>+ROUND('DUOS Ex GST'!K14*1.1,3)</f>
        <v>0</v>
      </c>
      <c r="L14" s="64">
        <f>+ROUND('DUOS Ex GST'!L14*1.1,3)</f>
        <v>43.811999999999998</v>
      </c>
      <c r="M14" s="27"/>
      <c r="N14" s="64"/>
      <c r="O14" s="5"/>
      <c r="P14" s="6"/>
      <c r="Q14" s="76"/>
      <c r="R14" s="4"/>
    </row>
    <row r="15" spans="1:18" ht="26.25" customHeight="1" x14ac:dyDescent="0.2">
      <c r="A15" s="24" t="s">
        <v>16</v>
      </c>
      <c r="B15" s="2" t="s">
        <v>59</v>
      </c>
      <c r="C15" s="47"/>
      <c r="D15" s="3">
        <f>+ROUND('DUOS Ex GST'!D15*1.1,3)</f>
        <v>0</v>
      </c>
      <c r="E15" s="27">
        <f>+ROUND('DUOS Ex GST'!E15*1.1,3)</f>
        <v>8.1929999999999996</v>
      </c>
      <c r="F15" s="27">
        <f>+ROUND('DUOS Ex GST'!F15*1.1,3)</f>
        <v>6.2990000000000004</v>
      </c>
      <c r="G15" s="27">
        <f>+ROUND('DUOS Ex GST'!G15*1.1,3)</f>
        <v>0</v>
      </c>
      <c r="H15" s="27">
        <f>+ROUND('DUOS Ex GST'!H15*1.1,3)</f>
        <v>0</v>
      </c>
      <c r="I15" s="27">
        <f>+ROUND('DUOS Ex GST'!I15*1.1,3)</f>
        <v>0</v>
      </c>
      <c r="J15" s="27">
        <f>+ROUND('DUOS Ex GST'!J15*1.1,3)</f>
        <v>1.851</v>
      </c>
      <c r="K15" s="27">
        <f>+ROUND('DUOS Ex GST'!K15*1.1,3)</f>
        <v>0</v>
      </c>
      <c r="L15" s="64">
        <f>+ROUND('DUOS Ex GST'!L15*1.1,3)</f>
        <v>72.099999999999994</v>
      </c>
      <c r="M15" s="27"/>
      <c r="N15" s="64"/>
      <c r="O15" s="5"/>
      <c r="P15" s="6"/>
      <c r="Q15" s="76"/>
      <c r="R15" s="4"/>
    </row>
    <row r="16" spans="1:18" ht="26.25" customHeight="1" x14ac:dyDescent="0.2">
      <c r="A16" s="24" t="s">
        <v>30</v>
      </c>
      <c r="B16" s="2" t="s">
        <v>17</v>
      </c>
      <c r="C16" s="47"/>
      <c r="D16" s="3">
        <f>+ROUND('DUOS Ex GST'!D16*1.1,3)</f>
        <v>14.172000000000001</v>
      </c>
      <c r="E16" s="27">
        <f>+ROUND('DUOS Ex GST'!E16*1.1,3)</f>
        <v>6.49</v>
      </c>
      <c r="F16" s="27">
        <f>+ROUND('DUOS Ex GST'!F16*1.1,3)</f>
        <v>5.1210000000000004</v>
      </c>
      <c r="G16" s="27">
        <f>+ROUND('DUOS Ex GST'!G16*1.1,3)</f>
        <v>0</v>
      </c>
      <c r="H16" s="27">
        <f>+ROUND('DUOS Ex GST'!H16*1.1,3)</f>
        <v>0</v>
      </c>
      <c r="I16" s="27">
        <f>+ROUND('DUOS Ex GST'!I16*1.1,3)</f>
        <v>0</v>
      </c>
      <c r="J16" s="27">
        <f>+ROUND('DUOS Ex GST'!J16*1.1,3)</f>
        <v>0</v>
      </c>
      <c r="K16" s="27">
        <f>+ROUND('DUOS Ex GST'!K16*1.1,3)</f>
        <v>0</v>
      </c>
      <c r="L16" s="64">
        <f>+ROUND('DUOS Ex GST'!L16*1.1,3)</f>
        <v>0</v>
      </c>
      <c r="M16" s="27"/>
      <c r="N16" s="64"/>
      <c r="O16" s="5"/>
      <c r="P16" s="6"/>
      <c r="Q16" s="76"/>
      <c r="R16" s="4"/>
    </row>
    <row r="17" spans="1:18" ht="26.25" customHeight="1" x14ac:dyDescent="0.2">
      <c r="A17" s="24" t="s">
        <v>31</v>
      </c>
      <c r="B17" s="2" t="s">
        <v>18</v>
      </c>
      <c r="C17" s="47"/>
      <c r="D17" s="3">
        <f>+ROUND('DUOS Ex GST'!D17*1.1,3)</f>
        <v>20.442</v>
      </c>
      <c r="E17" s="27">
        <f>+ROUND('DUOS Ex GST'!E17*1.1,3)</f>
        <v>10.16</v>
      </c>
      <c r="F17" s="27">
        <f>+ROUND('DUOS Ex GST'!F17*1.1,3)</f>
        <v>8.077</v>
      </c>
      <c r="G17" s="27">
        <f>+ROUND('DUOS Ex GST'!G17*1.1,3)</f>
        <v>0</v>
      </c>
      <c r="H17" s="27">
        <f>+ROUND('DUOS Ex GST'!H17*1.1,3)</f>
        <v>0</v>
      </c>
      <c r="I17" s="27">
        <f>+ROUND('DUOS Ex GST'!I17*1.1,3)</f>
        <v>0</v>
      </c>
      <c r="J17" s="27">
        <f>+ROUND('DUOS Ex GST'!J17*1.1,3)</f>
        <v>1.9339999999999999</v>
      </c>
      <c r="K17" s="27">
        <f>+ROUND('DUOS Ex GST'!K17*1.1,3)</f>
        <v>0</v>
      </c>
      <c r="L17" s="64">
        <f>+ROUND('DUOS Ex GST'!L17*1.1,3)</f>
        <v>0</v>
      </c>
      <c r="M17" s="27"/>
      <c r="N17" s="64"/>
      <c r="O17" s="5"/>
      <c r="P17" s="6"/>
      <c r="Q17" s="76"/>
      <c r="R17" s="4"/>
    </row>
    <row r="18" spans="1:18" ht="26.25" customHeight="1" x14ac:dyDescent="0.2">
      <c r="A18" s="24" t="s">
        <v>32</v>
      </c>
      <c r="B18" s="2" t="s">
        <v>19</v>
      </c>
      <c r="C18" s="47"/>
      <c r="D18" s="3">
        <f>+ROUND('DUOS Ex GST'!D18*1.1,3)</f>
        <v>0</v>
      </c>
      <c r="E18" s="27">
        <f>+ROUND('DUOS Ex GST'!E18*1.1,3)</f>
        <v>1.462</v>
      </c>
      <c r="F18" s="27">
        <f>+ROUND('DUOS Ex GST'!F18*1.1,3)</f>
        <v>1.2390000000000001</v>
      </c>
      <c r="G18" s="27">
        <f>+ROUND('DUOS Ex GST'!G18*1.1,3)</f>
        <v>0</v>
      </c>
      <c r="H18" s="27">
        <f>+ROUND('DUOS Ex GST'!H18*1.1,3)</f>
        <v>0</v>
      </c>
      <c r="I18" s="27">
        <f>+ROUND('DUOS Ex GST'!I18*1.1,3)</f>
        <v>0</v>
      </c>
      <c r="J18" s="27">
        <f>+ROUND('DUOS Ex GST'!J18*1.1,3)</f>
        <v>1.2250000000000001</v>
      </c>
      <c r="K18" s="27">
        <f>+ROUND('DUOS Ex GST'!K18*1.1,3)</f>
        <v>14.749000000000001</v>
      </c>
      <c r="L18" s="64">
        <f>+ROUND('DUOS Ex GST'!L18*1.1,3)</f>
        <v>22.001000000000001</v>
      </c>
      <c r="M18" s="27"/>
      <c r="N18" s="64"/>
      <c r="O18" s="5" t="s">
        <v>20</v>
      </c>
      <c r="P18" s="6" t="s">
        <v>21</v>
      </c>
      <c r="Q18" s="76">
        <v>150</v>
      </c>
      <c r="R18" s="4"/>
    </row>
    <row r="19" spans="1:18" ht="26.25" customHeight="1" x14ac:dyDescent="0.2">
      <c r="A19" s="24" t="s">
        <v>54</v>
      </c>
      <c r="B19" s="2" t="s">
        <v>55</v>
      </c>
      <c r="C19" s="47"/>
      <c r="D19" s="3">
        <f>+ROUND('DUOS Ex GST'!D19*1.1,3)</f>
        <v>0</v>
      </c>
      <c r="E19" s="27">
        <f>+ROUND('DUOS Ex GST'!E19*1.1,3)</f>
        <v>1.2749999999999999</v>
      </c>
      <c r="F19" s="27">
        <f>+ROUND('DUOS Ex GST'!F19*1.1,3)</f>
        <v>1.0549999999999999</v>
      </c>
      <c r="G19" s="27">
        <f>+ROUND('DUOS Ex GST'!G19*1.1,3)</f>
        <v>0</v>
      </c>
      <c r="H19" s="27">
        <f>+ROUND('DUOS Ex GST'!H19*1.1,3)</f>
        <v>0</v>
      </c>
      <c r="I19" s="27">
        <f>+ROUND('DUOS Ex GST'!I19*1.1,3)</f>
        <v>0</v>
      </c>
      <c r="J19" s="27">
        <f>+ROUND('DUOS Ex GST'!J19*1.1,3)</f>
        <v>1.0469999999999999</v>
      </c>
      <c r="K19" s="27">
        <f>+ROUND('DUOS Ex GST'!K19*1.1,3)</f>
        <v>14.675000000000001</v>
      </c>
      <c r="L19" s="64">
        <f>+ROUND('DUOS Ex GST'!L19*1.1,3)</f>
        <v>34.616999999999997</v>
      </c>
      <c r="M19" s="27"/>
      <c r="N19" s="64"/>
      <c r="O19" s="5"/>
      <c r="P19" s="6"/>
      <c r="Q19" s="76">
        <v>150</v>
      </c>
      <c r="R19" s="4"/>
    </row>
    <row r="20" spans="1:18" ht="26.25" customHeight="1" x14ac:dyDescent="0.2">
      <c r="A20" s="24" t="s">
        <v>33</v>
      </c>
      <c r="B20" s="2" t="s">
        <v>22</v>
      </c>
      <c r="C20" s="47"/>
      <c r="D20" s="3">
        <f>+ROUND('DUOS Ex GST'!D20*1.1,3)</f>
        <v>0</v>
      </c>
      <c r="E20" s="27">
        <f>+ROUND('DUOS Ex GST'!E20*1.1,3)</f>
        <v>0.88</v>
      </c>
      <c r="F20" s="27">
        <f>+ROUND('DUOS Ex GST'!F20*1.1,3)</f>
        <v>0.77800000000000002</v>
      </c>
      <c r="G20" s="27">
        <f>+ROUND('DUOS Ex GST'!G20*1.1,3)</f>
        <v>0</v>
      </c>
      <c r="H20" s="27">
        <f>+ROUND('DUOS Ex GST'!H20*1.1,3)</f>
        <v>0</v>
      </c>
      <c r="I20" s="27">
        <f>+ROUND('DUOS Ex GST'!I20*1.1,3)</f>
        <v>0</v>
      </c>
      <c r="J20" s="27">
        <f>+ROUND('DUOS Ex GST'!J20*1.1,3)</f>
        <v>0.76500000000000001</v>
      </c>
      <c r="K20" s="27">
        <f>+ROUND('DUOS Ex GST'!K20*1.1,3)</f>
        <v>8.9719999999999995</v>
      </c>
      <c r="L20" s="64">
        <f>+ROUND('DUOS Ex GST'!L20*1.1,3)</f>
        <v>12.32</v>
      </c>
      <c r="M20" s="27"/>
      <c r="N20" s="64"/>
      <c r="O20" s="5" t="s">
        <v>20</v>
      </c>
      <c r="P20" s="6" t="s">
        <v>21</v>
      </c>
      <c r="Q20" s="76">
        <v>1150</v>
      </c>
      <c r="R20" s="4"/>
    </row>
    <row r="21" spans="1:18" ht="26.25" customHeight="1" x14ac:dyDescent="0.2">
      <c r="A21" s="24" t="s">
        <v>60</v>
      </c>
      <c r="B21" s="2" t="s">
        <v>56</v>
      </c>
      <c r="C21" s="47"/>
      <c r="D21" s="3">
        <f>+ROUND('DUOS Ex GST'!D21*1.1,3)</f>
        <v>0</v>
      </c>
      <c r="E21" s="27">
        <f>+ROUND('DUOS Ex GST'!E21*1.1,3)</f>
        <v>0.91100000000000003</v>
      </c>
      <c r="F21" s="27">
        <f>+ROUND('DUOS Ex GST'!F21*1.1,3)</f>
        <v>0.754</v>
      </c>
      <c r="G21" s="27">
        <f>+ROUND('DUOS Ex GST'!G21*1.1,3)</f>
        <v>0</v>
      </c>
      <c r="H21" s="27">
        <f>+ROUND('DUOS Ex GST'!H21*1.1,3)</f>
        <v>0</v>
      </c>
      <c r="I21" s="27">
        <f>+ROUND('DUOS Ex GST'!I21*1.1,3)</f>
        <v>0</v>
      </c>
      <c r="J21" s="27">
        <f>+ROUND('DUOS Ex GST'!J21*1.1,3)</f>
        <v>0.745</v>
      </c>
      <c r="K21" s="27">
        <f>+ROUND('DUOS Ex GST'!K21*1.1,3)</f>
        <v>10.347</v>
      </c>
      <c r="L21" s="64">
        <f>+ROUND('DUOS Ex GST'!L21*1.1,3)</f>
        <v>25.055</v>
      </c>
      <c r="M21" s="27"/>
      <c r="N21" s="64"/>
      <c r="O21" s="5"/>
      <c r="P21" s="6"/>
      <c r="Q21" s="76">
        <v>1150</v>
      </c>
      <c r="R21" s="4"/>
    </row>
    <row r="22" spans="1:18" ht="26.25" customHeight="1" x14ac:dyDescent="0.2">
      <c r="A22" s="24" t="s">
        <v>34</v>
      </c>
      <c r="B22" s="2" t="s">
        <v>57</v>
      </c>
      <c r="C22" s="47"/>
      <c r="D22" s="3">
        <f>+ROUND('DUOS Ex GST'!D22*1.1,3)</f>
        <v>0</v>
      </c>
      <c r="E22" s="27">
        <f>+ROUND('DUOS Ex GST'!E22*1.1,3)</f>
        <v>0.502</v>
      </c>
      <c r="F22" s="27">
        <f>+ROUND('DUOS Ex GST'!F22*1.1,3)</f>
        <v>0.39100000000000001</v>
      </c>
      <c r="G22" s="27">
        <f>+ROUND('DUOS Ex GST'!G22*1.1,3)</f>
        <v>0</v>
      </c>
      <c r="H22" s="27">
        <f>+ROUND('DUOS Ex GST'!H22*1.1,3)</f>
        <v>0</v>
      </c>
      <c r="I22" s="27">
        <f>+ROUND('DUOS Ex GST'!I22*1.1,3)</f>
        <v>0</v>
      </c>
      <c r="J22" s="27">
        <f>+ROUND('DUOS Ex GST'!J22*1.1,3)</f>
        <v>0.33900000000000002</v>
      </c>
      <c r="K22" s="27">
        <f>+ROUND('DUOS Ex GST'!K22*1.1,3)</f>
        <v>0.878</v>
      </c>
      <c r="L22" s="64">
        <f>+ROUND('DUOS Ex GST'!L22*1.1,3)</f>
        <v>1.2869999999999999</v>
      </c>
      <c r="M22" s="27"/>
      <c r="N22" s="64"/>
      <c r="O22" s="5"/>
      <c r="P22" s="6"/>
      <c r="Q22" s="76">
        <v>11100</v>
      </c>
      <c r="R22" s="4"/>
    </row>
    <row r="23" spans="1:18" ht="26.25" customHeight="1" x14ac:dyDescent="0.2">
      <c r="A23" s="24" t="s">
        <v>44</v>
      </c>
      <c r="B23" s="2" t="s">
        <v>42</v>
      </c>
      <c r="C23" s="47" t="s">
        <v>69</v>
      </c>
      <c r="D23" s="3">
        <f>+ROUND('DUOS Ex GST'!D23*1.1,3)</f>
        <v>7.0860000000000003</v>
      </c>
      <c r="E23" s="27">
        <f>+ROUND('DUOS Ex GST'!E23*1.1,3)</f>
        <v>17.033999999999999</v>
      </c>
      <c r="F23" s="27">
        <f>+ROUND('DUOS Ex GST'!F23*1.1,3)</f>
        <v>10.039</v>
      </c>
      <c r="G23" s="27">
        <f>+ROUND('DUOS Ex GST'!G23*1.1,3)</f>
        <v>0</v>
      </c>
      <c r="H23" s="27">
        <f>+ROUND('DUOS Ex GST'!H23*1.1,3)</f>
        <v>4.8</v>
      </c>
      <c r="I23" s="27">
        <f>+ROUND('DUOS Ex GST'!I23*1.1,3)</f>
        <v>3.5369999999999999</v>
      </c>
      <c r="J23" s="27">
        <f>+ROUND('DUOS Ex GST'!J23*1.1,3)</f>
        <v>3.2850000000000001</v>
      </c>
      <c r="K23" s="27">
        <f>+ROUND('DUOS Ex GST'!K23*1.1,3)</f>
        <v>0</v>
      </c>
      <c r="L23" s="64">
        <f>+ROUND('DUOS Ex GST'!L23*1.1,3)</f>
        <v>0</v>
      </c>
      <c r="M23" s="27"/>
      <c r="N23" s="64"/>
      <c r="O23" s="5" t="s">
        <v>79</v>
      </c>
      <c r="P23" s="6" t="s">
        <v>15</v>
      </c>
      <c r="Q23" s="76"/>
      <c r="R23" s="4"/>
    </row>
    <row r="24" spans="1:18" ht="26.25" customHeight="1" x14ac:dyDescent="0.2">
      <c r="A24" s="24" t="s">
        <v>45</v>
      </c>
      <c r="B24" s="2" t="s">
        <v>43</v>
      </c>
      <c r="C24" s="47" t="s">
        <v>69</v>
      </c>
      <c r="D24" s="3">
        <f>+ROUND('DUOS Ex GST'!D24*1.1,3)</f>
        <v>0</v>
      </c>
      <c r="E24" s="27">
        <f>+ROUND('DUOS Ex GST'!E24*1.1,3)</f>
        <v>9.3919999999999995</v>
      </c>
      <c r="F24" s="27">
        <f>+ROUND('DUOS Ex GST'!F24*1.1,3)</f>
        <v>5.7060000000000004</v>
      </c>
      <c r="G24" s="27">
        <f>+ROUND('DUOS Ex GST'!G24*1.1,3)</f>
        <v>0</v>
      </c>
      <c r="H24" s="27">
        <f>+ROUND('DUOS Ex GST'!H24*1.1,3)</f>
        <v>0</v>
      </c>
      <c r="I24" s="27">
        <f>+ROUND('DUOS Ex GST'!I24*1.1,3)</f>
        <v>0</v>
      </c>
      <c r="J24" s="27">
        <f>+ROUND('DUOS Ex GST'!J24*1.1,3)</f>
        <v>2.7559999999999998</v>
      </c>
      <c r="K24" s="27">
        <f>+ROUND('DUOS Ex GST'!K24*1.1,3)</f>
        <v>0</v>
      </c>
      <c r="L24" s="64">
        <f>+ROUND('DUOS Ex GST'!L24*1.1,3)</f>
        <v>40.784999999999997</v>
      </c>
      <c r="M24" s="27"/>
      <c r="N24" s="64"/>
      <c r="O24" s="5" t="s">
        <v>79</v>
      </c>
      <c r="P24" s="6" t="s">
        <v>58</v>
      </c>
      <c r="Q24" s="76"/>
      <c r="R24" s="4"/>
    </row>
    <row r="25" spans="1:18" ht="26.25" customHeight="1" x14ac:dyDescent="0.2">
      <c r="A25" s="24" t="s">
        <v>71</v>
      </c>
      <c r="B25" s="2" t="s">
        <v>70</v>
      </c>
      <c r="C25" s="47" t="s">
        <v>78</v>
      </c>
      <c r="D25" s="3">
        <f>+ROUND('DUOS Ex GST'!D25*1.1,3)</f>
        <v>7.35</v>
      </c>
      <c r="E25" s="27">
        <f>+ROUND('DUOS Ex GST'!E25*1.1,3)</f>
        <v>19.206</v>
      </c>
      <c r="F25" s="27">
        <f>+ROUND('DUOS Ex GST'!F25*1.1,3)</f>
        <v>11.936</v>
      </c>
      <c r="G25" s="27">
        <f>+ROUND('DUOS Ex GST'!G25*1.1,3)</f>
        <v>0</v>
      </c>
      <c r="H25" s="27">
        <f>+ROUND('DUOS Ex GST'!H25*1.1,3)</f>
        <v>5.9530000000000003</v>
      </c>
      <c r="I25" s="27">
        <f>+ROUND('DUOS Ex GST'!I25*1.1,3)</f>
        <v>4.7830000000000004</v>
      </c>
      <c r="J25" s="27">
        <f>+ROUND('DUOS Ex GST'!J25*1.1,3)</f>
        <v>4.55</v>
      </c>
      <c r="K25" s="27">
        <f>+ROUND('DUOS Ex GST'!K25*1.1,3)</f>
        <v>0</v>
      </c>
      <c r="L25" s="64">
        <f>+ROUND('DUOS Ex GST'!L25*1.1,3)</f>
        <v>0</v>
      </c>
      <c r="M25" s="27"/>
      <c r="N25" s="64"/>
      <c r="O25" s="5" t="s">
        <v>79</v>
      </c>
      <c r="P25" s="6" t="s">
        <v>15</v>
      </c>
      <c r="Q25" s="76"/>
      <c r="R25" s="4"/>
    </row>
    <row r="26" spans="1:18" ht="26.25" customHeight="1" x14ac:dyDescent="0.2">
      <c r="A26" s="57" t="s">
        <v>76</v>
      </c>
      <c r="B26" s="58" t="s">
        <v>77</v>
      </c>
      <c r="C26" s="59" t="s">
        <v>69</v>
      </c>
      <c r="D26" s="71">
        <f>+ROUND('DUOS Ex GST'!D26*1.1,3)</f>
        <v>7.35</v>
      </c>
      <c r="E26" s="60">
        <f>+ROUND('DUOS Ex GST'!E26*1.1,3)</f>
        <v>17.542999999999999</v>
      </c>
      <c r="F26" s="60">
        <f>+ROUND('DUOS Ex GST'!F26*1.1,3)</f>
        <v>10.071</v>
      </c>
      <c r="G26" s="60">
        <f>+ROUND('DUOS Ex GST'!G26*1.1,3)</f>
        <v>0</v>
      </c>
      <c r="H26" s="60">
        <f>+ROUND('DUOS Ex GST'!H26*1.1,3)</f>
        <v>4.7640000000000002</v>
      </c>
      <c r="I26" s="60">
        <f>+ROUND('DUOS Ex GST'!I26*1.1,3)</f>
        <v>4.7640000000000002</v>
      </c>
      <c r="J26" s="60">
        <f>+ROUND('DUOS Ex GST'!J26*1.1,3)</f>
        <v>4.0389999999999997</v>
      </c>
      <c r="K26" s="60">
        <f>+ROUND('DUOS Ex GST'!K26*1.1,3)</f>
        <v>0</v>
      </c>
      <c r="L26" s="65">
        <f>+ROUND('DUOS Ex GST'!L26*1.1,3)</f>
        <v>0</v>
      </c>
      <c r="M26" s="60"/>
      <c r="N26" s="65"/>
      <c r="O26" s="90" t="s">
        <v>12</v>
      </c>
      <c r="P26" s="91"/>
      <c r="Q26" s="61"/>
      <c r="R26" s="72"/>
    </row>
    <row r="27" spans="1:18" ht="25.5" customHeight="1" thickBot="1" x14ac:dyDescent="0.25">
      <c r="A27" s="73" t="s">
        <v>104</v>
      </c>
      <c r="B27" s="74" t="s">
        <v>98</v>
      </c>
      <c r="C27" s="59" t="s">
        <v>69</v>
      </c>
      <c r="D27" s="60">
        <f>+ROUND('DUOS Ex GST'!D27*1.1,3)</f>
        <v>0</v>
      </c>
      <c r="E27" s="60">
        <f>+ROUND('DUOS Ex GST'!E27*1.1,3)</f>
        <v>2.75</v>
      </c>
      <c r="F27" s="60">
        <f>+ROUND('DUOS Ex GST'!F27*1.1,3)</f>
        <v>2.75</v>
      </c>
      <c r="G27" s="60">
        <f>+ROUND('DUOS Ex GST'!G27*1.1,3)</f>
        <v>0</v>
      </c>
      <c r="H27" s="60">
        <f>+ROUND('DUOS Ex GST'!H27*1.1,3)</f>
        <v>2.75</v>
      </c>
      <c r="I27" s="60">
        <f>+ROUND('DUOS Ex GST'!I27*1.1,3)</f>
        <v>2.75</v>
      </c>
      <c r="J27" s="60">
        <f>+ROUND('DUOS Ex GST'!J27*1.1,3)</f>
        <v>2.75</v>
      </c>
      <c r="K27" s="60">
        <f>+ROUND('DUOS Ex GST'!K27*1.1,3)</f>
        <v>0</v>
      </c>
      <c r="L27" s="60">
        <f>+ROUND('DUOS Ex GST'!L27*1.1,3)</f>
        <v>0</v>
      </c>
      <c r="M27" s="78">
        <f>+ROUND('DUOS Ex GST'!M27*1.1,3)</f>
        <v>25.673999999999999</v>
      </c>
      <c r="N27" s="78">
        <f>+ROUND('DUOS Ex GST'!N27*1.1,3)</f>
        <v>10.131</v>
      </c>
      <c r="O27" s="99" t="s">
        <v>12</v>
      </c>
      <c r="P27" s="100"/>
      <c r="Q27" s="80">
        <v>1.5</v>
      </c>
      <c r="R27" s="81">
        <v>1.5</v>
      </c>
    </row>
    <row r="28" spans="1:18" x14ac:dyDescent="0.2">
      <c r="A28" s="29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62"/>
    </row>
    <row r="29" spans="1:18" x14ac:dyDescent="0.2">
      <c r="A29" s="8" t="s">
        <v>72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x14ac:dyDescent="0.2">
      <c r="A30" s="8" t="s">
        <v>105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x14ac:dyDescent="0.2">
      <c r="A31" s="8" t="s">
        <v>99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x14ac:dyDescent="0.2">
      <c r="A32" s="8" t="s">
        <v>100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x14ac:dyDescent="0.2">
      <c r="A33" s="43" t="s">
        <v>74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</row>
    <row r="34" spans="1:18" ht="13.5" thickBot="1" x14ac:dyDescent="0.25">
      <c r="A34" s="33" t="s">
        <v>75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5"/>
    </row>
    <row r="35" spans="1:18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x14ac:dyDescent="0.2">
      <c r="M36" s="48"/>
      <c r="N36" s="48"/>
    </row>
    <row r="37" spans="1:18" x14ac:dyDescent="0.2">
      <c r="M37" s="48"/>
      <c r="N37" s="48"/>
    </row>
    <row r="38" spans="1:18" x14ac:dyDescent="0.2">
      <c r="M38" s="48"/>
      <c r="N38" s="48"/>
    </row>
    <row r="39" spans="1:18" x14ac:dyDescent="0.2">
      <c r="M39" s="48"/>
      <c r="N39" s="48"/>
    </row>
    <row r="40" spans="1:18" x14ac:dyDescent="0.2">
      <c r="M40" s="48"/>
      <c r="N40" s="48"/>
    </row>
    <row r="41" spans="1:18" x14ac:dyDescent="0.2">
      <c r="M41" s="48"/>
      <c r="N41" s="48"/>
    </row>
    <row r="42" spans="1:18" x14ac:dyDescent="0.2">
      <c r="M42" s="48"/>
      <c r="N42" s="48"/>
    </row>
    <row r="43" spans="1:18" x14ac:dyDescent="0.2">
      <c r="M43" s="48"/>
      <c r="N43" s="48"/>
    </row>
    <row r="44" spans="1:18" x14ac:dyDescent="0.2">
      <c r="M44" s="48"/>
      <c r="N44" s="48"/>
    </row>
    <row r="45" spans="1:18" x14ac:dyDescent="0.2">
      <c r="M45" s="48"/>
      <c r="N45" s="48"/>
    </row>
    <row r="46" spans="1:18" x14ac:dyDescent="0.2">
      <c r="M46" s="48"/>
      <c r="N46" s="48"/>
    </row>
    <row r="47" spans="1:18" x14ac:dyDescent="0.2">
      <c r="M47" s="48"/>
      <c r="N47" s="48"/>
    </row>
    <row r="48" spans="1:18" x14ac:dyDescent="0.2">
      <c r="M48" s="48"/>
      <c r="N48" s="48"/>
    </row>
    <row r="49" spans="13:14" x14ac:dyDescent="0.2">
      <c r="M49" s="48"/>
      <c r="N49" s="48"/>
    </row>
    <row r="50" spans="13:14" x14ac:dyDescent="0.2">
      <c r="M50" s="48"/>
      <c r="N50" s="48"/>
    </row>
    <row r="51" spans="13:14" x14ac:dyDescent="0.2">
      <c r="M51" s="48"/>
      <c r="N51" s="48"/>
    </row>
  </sheetData>
  <mergeCells count="5">
    <mergeCell ref="O26:P26"/>
    <mergeCell ref="A1:Q1"/>
    <mergeCell ref="O3:P3"/>
    <mergeCell ref="D3:N3"/>
    <mergeCell ref="O27:P27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58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3"/>
  <sheetViews>
    <sheetView showGridLines="0" showZeros="0" zoomScaleNormal="75" workbookViewId="0">
      <selection activeCell="A30" sqref="A30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6" width="11.140625" customWidth="1"/>
    <col min="17" max="17" width="13.140625" customWidth="1"/>
    <col min="18" max="18" width="12.28515625" customWidth="1"/>
  </cols>
  <sheetData>
    <row r="1" spans="1:18" s="1" customFormat="1" ht="18" x14ac:dyDescent="0.25">
      <c r="A1" s="92" t="s">
        <v>87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53"/>
    </row>
    <row r="2" spans="1:18" ht="13.5" thickBo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</row>
    <row r="3" spans="1:18" ht="54" customHeight="1" thickBot="1" x14ac:dyDescent="0.25">
      <c r="A3" s="50"/>
      <c r="B3" s="51"/>
      <c r="C3" s="51"/>
      <c r="D3" s="96" t="s">
        <v>0</v>
      </c>
      <c r="E3" s="97"/>
      <c r="F3" s="97"/>
      <c r="G3" s="97"/>
      <c r="H3" s="97"/>
      <c r="I3" s="97"/>
      <c r="J3" s="97"/>
      <c r="K3" s="97"/>
      <c r="L3" s="97"/>
      <c r="M3" s="97"/>
      <c r="N3" s="98"/>
      <c r="O3" s="94" t="s">
        <v>36</v>
      </c>
      <c r="P3" s="95"/>
      <c r="Q3" s="52" t="s">
        <v>1</v>
      </c>
      <c r="R3" s="52" t="s">
        <v>94</v>
      </c>
    </row>
    <row r="4" spans="1:18" ht="93" customHeight="1" thickBot="1" x14ac:dyDescent="0.25">
      <c r="A4" s="20" t="s">
        <v>2</v>
      </c>
      <c r="B4" s="21" t="s">
        <v>3</v>
      </c>
      <c r="C4" s="42" t="s">
        <v>68</v>
      </c>
      <c r="D4" s="67" t="s">
        <v>37</v>
      </c>
      <c r="E4" s="68" t="s">
        <v>4</v>
      </c>
      <c r="F4" s="68" t="s">
        <v>5</v>
      </c>
      <c r="G4" s="68" t="s">
        <v>6</v>
      </c>
      <c r="H4" s="68"/>
      <c r="I4" s="68"/>
      <c r="J4" s="68" t="s">
        <v>7</v>
      </c>
      <c r="K4" s="68" t="s">
        <v>8</v>
      </c>
      <c r="L4" s="66" t="s">
        <v>9</v>
      </c>
      <c r="M4" s="66" t="s">
        <v>92</v>
      </c>
      <c r="N4" s="66" t="s">
        <v>93</v>
      </c>
      <c r="O4" s="69" t="s">
        <v>10</v>
      </c>
      <c r="P4" s="70" t="s">
        <v>11</v>
      </c>
      <c r="Q4" s="49" t="s">
        <v>10</v>
      </c>
      <c r="R4" s="22" t="s">
        <v>95</v>
      </c>
    </row>
    <row r="5" spans="1:18" ht="26.25" customHeight="1" x14ac:dyDescent="0.2">
      <c r="A5" s="28" t="s">
        <v>61</v>
      </c>
      <c r="B5" s="29" t="s">
        <v>64</v>
      </c>
      <c r="C5" s="46" t="s">
        <v>69</v>
      </c>
      <c r="D5" s="25">
        <f>+ROUND('TUOS Ex GST'!D5*1.1,3)</f>
        <v>0</v>
      </c>
      <c r="E5" s="26">
        <f>+ROUND('TUOS Ex GST'!E5*1.1,3)</f>
        <v>2.3450000000000002</v>
      </c>
      <c r="F5" s="26">
        <f>+ROUND('TUOS Ex GST'!F5*1.1,3)</f>
        <v>1.96</v>
      </c>
      <c r="G5" s="26">
        <f>+ROUND('TUOS Ex GST'!G5*1.1,3)</f>
        <v>0</v>
      </c>
      <c r="H5" s="26">
        <f>+ROUND('TUOS Ex GST'!H5*1.1,3)</f>
        <v>0</v>
      </c>
      <c r="I5" s="26">
        <f>+ROUND('TUOS Ex GST'!I5*1.1,3)</f>
        <v>0</v>
      </c>
      <c r="J5" s="26">
        <f>+ROUND('TUOS Ex GST'!J5*1.1,3)</f>
        <v>0</v>
      </c>
      <c r="K5" s="26">
        <f>+ROUND('TUOS Ex GST'!K5*1.1,3)</f>
        <v>0</v>
      </c>
      <c r="L5" s="63">
        <f>+ROUND('TUOS Ex GST'!L5*1.1,3)</f>
        <v>0</v>
      </c>
      <c r="M5" s="26"/>
      <c r="N5" s="63"/>
      <c r="O5" s="44" t="s">
        <v>79</v>
      </c>
      <c r="P5" s="45" t="s">
        <v>15</v>
      </c>
      <c r="Q5" s="75"/>
      <c r="R5" s="30"/>
    </row>
    <row r="6" spans="1:18" ht="26.25" customHeight="1" x14ac:dyDescent="0.2">
      <c r="A6" s="24" t="s">
        <v>26</v>
      </c>
      <c r="B6" s="2" t="s">
        <v>13</v>
      </c>
      <c r="C6" s="47"/>
      <c r="D6" s="3">
        <f>+ROUND('TUOS Ex GST'!D6*1.1,3)</f>
        <v>0</v>
      </c>
      <c r="E6" s="27">
        <f>+ROUND('TUOS Ex GST'!E6*1.1,3)</f>
        <v>3.9380000000000002</v>
      </c>
      <c r="F6" s="27">
        <f>+ROUND('TUOS Ex GST'!F6*1.1,3)</f>
        <v>3.1520000000000001</v>
      </c>
      <c r="G6" s="27">
        <f>+ROUND('TUOS Ex GST'!G6*1.1,3)</f>
        <v>0</v>
      </c>
      <c r="H6" s="27">
        <f>+ROUND('TUOS Ex GST'!H6*1.1,3)</f>
        <v>0</v>
      </c>
      <c r="I6" s="27">
        <f>+ROUND('TUOS Ex GST'!I6*1.1,3)</f>
        <v>0</v>
      </c>
      <c r="J6" s="27">
        <f>+ROUND('TUOS Ex GST'!J6*1.1,3)</f>
        <v>0</v>
      </c>
      <c r="K6" s="27">
        <f>+ROUND('TUOS Ex GST'!K6*1.1,3)</f>
        <v>0</v>
      </c>
      <c r="L6" s="64">
        <f>+ROUND('TUOS Ex GST'!L6*1.1,3)</f>
        <v>0</v>
      </c>
      <c r="M6" s="27"/>
      <c r="N6" s="64"/>
      <c r="O6" s="5"/>
      <c r="P6" s="6"/>
      <c r="Q6" s="76"/>
      <c r="R6" s="4"/>
    </row>
    <row r="7" spans="1:18" ht="26.25" customHeight="1" x14ac:dyDescent="0.2">
      <c r="A7" s="24" t="s">
        <v>48</v>
      </c>
      <c r="B7" s="2" t="s">
        <v>49</v>
      </c>
      <c r="C7" s="47"/>
      <c r="D7" s="3">
        <f>+ROUND('TUOS Ex GST'!D7*1.1,3)</f>
        <v>0</v>
      </c>
      <c r="E7" s="27">
        <f>+ROUND('TUOS Ex GST'!E7*1.1,3)</f>
        <v>0</v>
      </c>
      <c r="F7" s="27">
        <f>+ROUND('TUOS Ex GST'!F7*1.1,3)</f>
        <v>0</v>
      </c>
      <c r="G7" s="27">
        <f>+ROUND('TUOS Ex GST'!G7*1.1,3)</f>
        <v>0</v>
      </c>
      <c r="H7" s="27">
        <f>+ROUND('TUOS Ex GST'!H7*1.1,3)</f>
        <v>0</v>
      </c>
      <c r="I7" s="27">
        <f>+ROUND('TUOS Ex GST'!I7*1.1,3)</f>
        <v>0</v>
      </c>
      <c r="J7" s="27">
        <f>+ROUND('TUOS Ex GST'!J7*1.1,3)</f>
        <v>0</v>
      </c>
      <c r="K7" s="27">
        <f>+ROUND('TUOS Ex GST'!K7*1.1,3)</f>
        <v>0</v>
      </c>
      <c r="L7" s="64">
        <f>+ROUND('TUOS Ex GST'!L7*1.1,3)</f>
        <v>0</v>
      </c>
      <c r="M7" s="27"/>
      <c r="N7" s="64"/>
      <c r="O7" s="5" t="s">
        <v>79</v>
      </c>
      <c r="P7" s="6" t="s">
        <v>80</v>
      </c>
      <c r="Q7" s="77"/>
      <c r="R7" s="7"/>
    </row>
    <row r="8" spans="1:18" ht="26.25" customHeight="1" x14ac:dyDescent="0.2">
      <c r="A8" s="24" t="s">
        <v>27</v>
      </c>
      <c r="B8" s="2" t="s">
        <v>14</v>
      </c>
      <c r="C8" s="47"/>
      <c r="D8" s="3">
        <f>+ROUND('TUOS Ex GST'!D8*1.1,3)</f>
        <v>0</v>
      </c>
      <c r="E8" s="27">
        <f>+ROUND('TUOS Ex GST'!E8*1.1,3)</f>
        <v>3.6909999999999998</v>
      </c>
      <c r="F8" s="27">
        <f>+ROUND('TUOS Ex GST'!F8*1.1,3)</f>
        <v>2.9489999999999998</v>
      </c>
      <c r="G8" s="27">
        <f>+ROUND('TUOS Ex GST'!G8*1.1,3)</f>
        <v>0</v>
      </c>
      <c r="H8" s="27">
        <f>+ROUND('TUOS Ex GST'!H8*1.1,3)</f>
        <v>0</v>
      </c>
      <c r="I8" s="27">
        <f>+ROUND('TUOS Ex GST'!I8*1.1,3)</f>
        <v>0</v>
      </c>
      <c r="J8" s="27">
        <f>+ROUND('TUOS Ex GST'!J8*1.1,3)</f>
        <v>0</v>
      </c>
      <c r="K8" s="27">
        <f>+ROUND('TUOS Ex GST'!K8*1.1,3)</f>
        <v>0</v>
      </c>
      <c r="L8" s="64">
        <f>+ROUND('TUOS Ex GST'!L8*1.1,3)</f>
        <v>0</v>
      </c>
      <c r="M8" s="27"/>
      <c r="N8" s="64"/>
      <c r="O8" s="5"/>
      <c r="P8" s="6"/>
      <c r="Q8" s="77"/>
      <c r="R8" s="7"/>
    </row>
    <row r="9" spans="1:18" ht="26.25" customHeight="1" x14ac:dyDescent="0.2">
      <c r="A9" s="24" t="s">
        <v>50</v>
      </c>
      <c r="B9" s="2" t="s">
        <v>51</v>
      </c>
      <c r="C9" s="47"/>
      <c r="D9" s="3">
        <f>+ROUND('TUOS Ex GST'!D9*1.1,3)</f>
        <v>0</v>
      </c>
      <c r="E9" s="27">
        <f>+ROUND('TUOS Ex GST'!E9*1.1,3)</f>
        <v>2.6240000000000001</v>
      </c>
      <c r="F9" s="27">
        <f>+ROUND('TUOS Ex GST'!F9*1.1,3)</f>
        <v>2.0990000000000002</v>
      </c>
      <c r="G9" s="27">
        <f>+ROUND('TUOS Ex GST'!G9*1.1,3)</f>
        <v>2.0990000000000002</v>
      </c>
      <c r="H9" s="27">
        <f>+ROUND('TUOS Ex GST'!H9*1.1,3)</f>
        <v>0</v>
      </c>
      <c r="I9" s="27">
        <f>+ROUND('TUOS Ex GST'!I9*1.1,3)</f>
        <v>0</v>
      </c>
      <c r="J9" s="27">
        <f>+ROUND('TUOS Ex GST'!J9*1.1,3)</f>
        <v>0</v>
      </c>
      <c r="K9" s="27">
        <f>+ROUND('TUOS Ex GST'!K9*1.1,3)</f>
        <v>0</v>
      </c>
      <c r="L9" s="64">
        <f>+ROUND('TUOS Ex GST'!L9*1.1,3)</f>
        <v>0</v>
      </c>
      <c r="M9" s="27"/>
      <c r="N9" s="64"/>
      <c r="O9" s="5"/>
      <c r="P9" s="6"/>
      <c r="Q9" s="76"/>
      <c r="R9" s="4"/>
    </row>
    <row r="10" spans="1:18" ht="26.25" customHeight="1" x14ac:dyDescent="0.2">
      <c r="A10" s="24" t="s">
        <v>52</v>
      </c>
      <c r="B10" s="2" t="s">
        <v>53</v>
      </c>
      <c r="C10" s="47"/>
      <c r="D10" s="3">
        <f>+ROUND('TUOS Ex GST'!D10*1.1,3)</f>
        <v>0</v>
      </c>
      <c r="E10" s="27">
        <f>+ROUND('TUOS Ex GST'!E10*1.1,3)</f>
        <v>17.779</v>
      </c>
      <c r="F10" s="27">
        <f>+ROUND('TUOS Ex GST'!F10*1.1,3)</f>
        <v>3.9590000000000001</v>
      </c>
      <c r="G10" s="27">
        <f>+ROUND('TUOS Ex GST'!G10*1.1,3)</f>
        <v>0</v>
      </c>
      <c r="H10" s="27">
        <f>+ROUND('TUOS Ex GST'!H10*1.1,3)</f>
        <v>0</v>
      </c>
      <c r="I10" s="27">
        <f>+ROUND('TUOS Ex GST'!I10*1.1,3)</f>
        <v>0</v>
      </c>
      <c r="J10" s="27">
        <f>+ROUND('TUOS Ex GST'!J10*1.1,3)</f>
        <v>0</v>
      </c>
      <c r="K10" s="27">
        <f>+ROUND('TUOS Ex GST'!K10*1.1,3)</f>
        <v>0</v>
      </c>
      <c r="L10" s="64">
        <f>+ROUND('TUOS Ex GST'!L10*1.1,3)</f>
        <v>11.273999999999999</v>
      </c>
      <c r="M10" s="27"/>
      <c r="N10" s="64"/>
      <c r="O10" s="5"/>
      <c r="P10" s="6"/>
      <c r="Q10" s="76"/>
      <c r="R10" s="4"/>
    </row>
    <row r="11" spans="1:18" ht="26.25" customHeight="1" x14ac:dyDescent="0.2">
      <c r="A11" s="24" t="s">
        <v>63</v>
      </c>
      <c r="B11" s="2" t="s">
        <v>65</v>
      </c>
      <c r="C11" s="47" t="s">
        <v>69</v>
      </c>
      <c r="D11" s="3">
        <f>+ROUND('TUOS Ex GST'!D11*1.1,3)</f>
        <v>0</v>
      </c>
      <c r="E11" s="27">
        <f>+ROUND('TUOS Ex GST'!E11*1.1,3)</f>
        <v>2.7829999999999999</v>
      </c>
      <c r="F11" s="27">
        <f>+ROUND('TUOS Ex GST'!F11*1.1,3)</f>
        <v>2.2229999999999999</v>
      </c>
      <c r="G11" s="27">
        <f>+ROUND('TUOS Ex GST'!G11*1.1,3)</f>
        <v>0</v>
      </c>
      <c r="H11" s="27">
        <f>+ROUND('TUOS Ex GST'!H11*1.1,3)</f>
        <v>0</v>
      </c>
      <c r="I11" s="27">
        <f>+ROUND('TUOS Ex GST'!I11*1.1,3)</f>
        <v>0</v>
      </c>
      <c r="J11" s="27">
        <f>+ROUND('TUOS Ex GST'!J11*1.1,3)</f>
        <v>0</v>
      </c>
      <c r="K11" s="27">
        <f>+ROUND('TUOS Ex GST'!K11*1.1,3)</f>
        <v>0</v>
      </c>
      <c r="L11" s="64">
        <f>+ROUND('TUOS Ex GST'!L11*1.1,3)</f>
        <v>0</v>
      </c>
      <c r="M11" s="27"/>
      <c r="N11" s="64"/>
      <c r="O11" s="5" t="s">
        <v>79</v>
      </c>
      <c r="P11" s="6" t="s">
        <v>58</v>
      </c>
      <c r="Q11" s="76"/>
      <c r="R11" s="4"/>
    </row>
    <row r="12" spans="1:18" ht="26.25" customHeight="1" x14ac:dyDescent="0.2">
      <c r="A12" s="24" t="s">
        <v>28</v>
      </c>
      <c r="B12" s="2" t="s">
        <v>40</v>
      </c>
      <c r="C12" s="47"/>
      <c r="D12" s="3">
        <f>+ROUND('TUOS Ex GST'!D12*1.1,3)</f>
        <v>0</v>
      </c>
      <c r="E12" s="27">
        <f>+ROUND('TUOS Ex GST'!E12*1.1,3)</f>
        <v>2.0750000000000002</v>
      </c>
      <c r="F12" s="27">
        <f>+ROUND('TUOS Ex GST'!F12*1.1,3)</f>
        <v>1.659</v>
      </c>
      <c r="G12" s="27">
        <f>+ROUND('TUOS Ex GST'!G12*1.1,3)</f>
        <v>0</v>
      </c>
      <c r="H12" s="27">
        <f>+ROUND('TUOS Ex GST'!H12*1.1,3)</f>
        <v>0</v>
      </c>
      <c r="I12" s="27">
        <f>+ROUND('TUOS Ex GST'!I12*1.1,3)</f>
        <v>0</v>
      </c>
      <c r="J12" s="27">
        <f>+ROUND('TUOS Ex GST'!J12*1.1,3)</f>
        <v>0</v>
      </c>
      <c r="K12" s="27">
        <f>+ROUND('TUOS Ex GST'!K12*1.1,3)</f>
        <v>0</v>
      </c>
      <c r="L12" s="64">
        <f>+ROUND('TUOS Ex GST'!L12*1.1,3)</f>
        <v>0</v>
      </c>
      <c r="M12" s="27"/>
      <c r="N12" s="64"/>
      <c r="O12" s="5"/>
      <c r="P12" s="6"/>
      <c r="Q12" s="76"/>
      <c r="R12" s="4"/>
    </row>
    <row r="13" spans="1:18" ht="26.25" customHeight="1" x14ac:dyDescent="0.2">
      <c r="A13" s="24" t="s">
        <v>29</v>
      </c>
      <c r="B13" s="2" t="s">
        <v>41</v>
      </c>
      <c r="C13" s="47"/>
      <c r="D13" s="3">
        <f>+ROUND('TUOS Ex GST'!D13*1.1,3)</f>
        <v>0</v>
      </c>
      <c r="E13" s="27">
        <f>+ROUND('TUOS Ex GST'!E13*1.1,3)</f>
        <v>2.7570000000000001</v>
      </c>
      <c r="F13" s="27">
        <f>+ROUND('TUOS Ex GST'!F13*1.1,3)</f>
        <v>2.2080000000000002</v>
      </c>
      <c r="G13" s="27">
        <f>+ROUND('TUOS Ex GST'!G13*1.1,3)</f>
        <v>0</v>
      </c>
      <c r="H13" s="27">
        <f>+ROUND('TUOS Ex GST'!H13*1.1,3)</f>
        <v>0</v>
      </c>
      <c r="I13" s="27">
        <f>+ROUND('TUOS Ex GST'!I13*1.1,3)</f>
        <v>0</v>
      </c>
      <c r="J13" s="27">
        <f>+ROUND('TUOS Ex GST'!J13*1.1,3)</f>
        <v>0</v>
      </c>
      <c r="K13" s="27">
        <f>+ROUND('TUOS Ex GST'!K13*1.1,3)</f>
        <v>0</v>
      </c>
      <c r="L13" s="64">
        <f>+ROUND('TUOS Ex GST'!L13*1.1,3)</f>
        <v>0</v>
      </c>
      <c r="M13" s="27"/>
      <c r="N13" s="64"/>
      <c r="O13" s="5"/>
      <c r="P13" s="6"/>
      <c r="Q13" s="76"/>
      <c r="R13" s="4"/>
    </row>
    <row r="14" spans="1:18" ht="26.25" customHeight="1" x14ac:dyDescent="0.2">
      <c r="A14" s="24" t="s">
        <v>39</v>
      </c>
      <c r="B14" s="2" t="s">
        <v>38</v>
      </c>
      <c r="C14" s="47"/>
      <c r="D14" s="3">
        <f>+ROUND('TUOS Ex GST'!D14*1.1,3)</f>
        <v>0</v>
      </c>
      <c r="E14" s="27">
        <f>+ROUND('TUOS Ex GST'!E14*1.1,3)</f>
        <v>1.9219999999999999</v>
      </c>
      <c r="F14" s="27">
        <f>+ROUND('TUOS Ex GST'!F14*1.1,3)</f>
        <v>1.5369999999999999</v>
      </c>
      <c r="G14" s="27">
        <f>+ROUND('TUOS Ex GST'!G14*1.1,3)</f>
        <v>0</v>
      </c>
      <c r="H14" s="27">
        <f>+ROUND('TUOS Ex GST'!H14*1.1,3)</f>
        <v>0</v>
      </c>
      <c r="I14" s="27">
        <f>+ROUND('TUOS Ex GST'!I14*1.1,3)</f>
        <v>0</v>
      </c>
      <c r="J14" s="27">
        <f>+ROUND('TUOS Ex GST'!J14*1.1,3)</f>
        <v>0</v>
      </c>
      <c r="K14" s="27">
        <f>+ROUND('TUOS Ex GST'!K14*1.1,3)</f>
        <v>0</v>
      </c>
      <c r="L14" s="64">
        <f>+ROUND('TUOS Ex GST'!L14*1.1,3)</f>
        <v>8.9640000000000004</v>
      </c>
      <c r="M14" s="27"/>
      <c r="N14" s="64"/>
      <c r="O14" s="5"/>
      <c r="P14" s="6"/>
      <c r="Q14" s="76"/>
      <c r="R14" s="4"/>
    </row>
    <row r="15" spans="1:18" ht="26.25" customHeight="1" x14ac:dyDescent="0.2">
      <c r="A15" s="24" t="s">
        <v>16</v>
      </c>
      <c r="B15" s="2" t="s">
        <v>59</v>
      </c>
      <c r="C15" s="47"/>
      <c r="D15" s="3">
        <f>+ROUND('TUOS Ex GST'!D15*1.1,3)</f>
        <v>0</v>
      </c>
      <c r="E15" s="27">
        <f>+ROUND('TUOS Ex GST'!E15*1.1,3)</f>
        <v>1.2090000000000001</v>
      </c>
      <c r="F15" s="27">
        <f>+ROUND('TUOS Ex GST'!F15*1.1,3)</f>
        <v>0.96599999999999997</v>
      </c>
      <c r="G15" s="27">
        <f>+ROUND('TUOS Ex GST'!G15*1.1,3)</f>
        <v>0</v>
      </c>
      <c r="H15" s="27">
        <f>+ROUND('TUOS Ex GST'!H15*1.1,3)</f>
        <v>0</v>
      </c>
      <c r="I15" s="27">
        <f>+ROUND('TUOS Ex GST'!I15*1.1,3)</f>
        <v>0</v>
      </c>
      <c r="J15" s="27">
        <f>+ROUND('TUOS Ex GST'!J15*1.1,3)</f>
        <v>0</v>
      </c>
      <c r="K15" s="27">
        <f>+ROUND('TUOS Ex GST'!K15*1.1,3)</f>
        <v>0</v>
      </c>
      <c r="L15" s="64">
        <f>+ROUND('TUOS Ex GST'!L15*1.1,3)</f>
        <v>10.834</v>
      </c>
      <c r="M15" s="27"/>
      <c r="N15" s="64"/>
      <c r="O15" s="5"/>
      <c r="P15" s="6"/>
      <c r="Q15" s="76"/>
      <c r="R15" s="4"/>
    </row>
    <row r="16" spans="1:18" ht="26.25" customHeight="1" x14ac:dyDescent="0.2">
      <c r="A16" s="24" t="s">
        <v>30</v>
      </c>
      <c r="B16" s="2" t="s">
        <v>17</v>
      </c>
      <c r="C16" s="47"/>
      <c r="D16" s="3">
        <f>+ROUND('TUOS Ex GST'!D16*1.1,3)</f>
        <v>0</v>
      </c>
      <c r="E16" s="27">
        <f>+ROUND('TUOS Ex GST'!E16*1.1,3)</f>
        <v>2.7480000000000002</v>
      </c>
      <c r="F16" s="27">
        <f>+ROUND('TUOS Ex GST'!F16*1.1,3)</f>
        <v>2.1960000000000002</v>
      </c>
      <c r="G16" s="27">
        <f>+ROUND('TUOS Ex GST'!G16*1.1,3)</f>
        <v>0</v>
      </c>
      <c r="H16" s="27">
        <f>+ROUND('TUOS Ex GST'!H16*1.1,3)</f>
        <v>0</v>
      </c>
      <c r="I16" s="27">
        <f>+ROUND('TUOS Ex GST'!I16*1.1,3)</f>
        <v>0</v>
      </c>
      <c r="J16" s="27">
        <f>+ROUND('TUOS Ex GST'!J16*1.1,3)</f>
        <v>0</v>
      </c>
      <c r="K16" s="27">
        <f>+ROUND('TUOS Ex GST'!K16*1.1,3)</f>
        <v>0</v>
      </c>
      <c r="L16" s="64">
        <f>+ROUND('TUOS Ex GST'!L16*1.1,3)</f>
        <v>0</v>
      </c>
      <c r="M16" s="27"/>
      <c r="N16" s="64"/>
      <c r="O16" s="5"/>
      <c r="P16" s="6"/>
      <c r="Q16" s="76"/>
      <c r="R16" s="4"/>
    </row>
    <row r="17" spans="1:18" ht="26.25" customHeight="1" x14ac:dyDescent="0.2">
      <c r="A17" s="24" t="s">
        <v>31</v>
      </c>
      <c r="B17" s="2" t="s">
        <v>18</v>
      </c>
      <c r="C17" s="47"/>
      <c r="D17" s="3">
        <f>+ROUND('TUOS Ex GST'!D17*1.1,3)</f>
        <v>0</v>
      </c>
      <c r="E17" s="27">
        <f>+ROUND('TUOS Ex GST'!E17*1.1,3)</f>
        <v>2.1120000000000001</v>
      </c>
      <c r="F17" s="27">
        <f>+ROUND('TUOS Ex GST'!F17*1.1,3)</f>
        <v>1.6919999999999999</v>
      </c>
      <c r="G17" s="27">
        <f>+ROUND('TUOS Ex GST'!G17*1.1,3)</f>
        <v>0</v>
      </c>
      <c r="H17" s="27">
        <f>+ROUND('TUOS Ex GST'!H17*1.1,3)</f>
        <v>0</v>
      </c>
      <c r="I17" s="27">
        <f>+ROUND('TUOS Ex GST'!I17*1.1,3)</f>
        <v>0</v>
      </c>
      <c r="J17" s="27">
        <f>+ROUND('TUOS Ex GST'!J17*1.1,3)</f>
        <v>0</v>
      </c>
      <c r="K17" s="27">
        <f>+ROUND('TUOS Ex GST'!K17*1.1,3)</f>
        <v>0</v>
      </c>
      <c r="L17" s="64">
        <f>+ROUND('TUOS Ex GST'!L17*1.1,3)</f>
        <v>0</v>
      </c>
      <c r="M17" s="27"/>
      <c r="N17" s="64"/>
      <c r="O17" s="5"/>
      <c r="P17" s="6"/>
      <c r="Q17" s="76"/>
      <c r="R17" s="4"/>
    </row>
    <row r="18" spans="1:18" ht="26.25" customHeight="1" x14ac:dyDescent="0.2">
      <c r="A18" s="24" t="s">
        <v>32</v>
      </c>
      <c r="B18" s="2" t="s">
        <v>19</v>
      </c>
      <c r="C18" s="47"/>
      <c r="D18" s="3">
        <f>+ROUND('TUOS Ex GST'!D18*1.1,3)</f>
        <v>0</v>
      </c>
      <c r="E18" s="27">
        <f>+ROUND('TUOS Ex GST'!E18*1.1,3)</f>
        <v>1.2030000000000001</v>
      </c>
      <c r="F18" s="27">
        <f>+ROUND('TUOS Ex GST'!F18*1.1,3)</f>
        <v>0.96599999999999997</v>
      </c>
      <c r="G18" s="27">
        <f>+ROUND('TUOS Ex GST'!G18*1.1,3)</f>
        <v>0</v>
      </c>
      <c r="H18" s="27">
        <f>+ROUND('TUOS Ex GST'!H18*1.1,3)</f>
        <v>0</v>
      </c>
      <c r="I18" s="27">
        <f>+ROUND('TUOS Ex GST'!I18*1.1,3)</f>
        <v>0</v>
      </c>
      <c r="J18" s="27">
        <f>+ROUND('TUOS Ex GST'!J18*1.1,3)</f>
        <v>0</v>
      </c>
      <c r="K18" s="27">
        <f>+ROUND('TUOS Ex GST'!K18*1.1,3)</f>
        <v>4.9160000000000004</v>
      </c>
      <c r="L18" s="64">
        <f>+ROUND('TUOS Ex GST'!L18*1.1,3)</f>
        <v>6.7190000000000003</v>
      </c>
      <c r="M18" s="27"/>
      <c r="N18" s="64"/>
      <c r="O18" s="5" t="s">
        <v>20</v>
      </c>
      <c r="P18" s="6" t="s">
        <v>21</v>
      </c>
      <c r="Q18" s="76">
        <v>150</v>
      </c>
      <c r="R18" s="4"/>
    </row>
    <row r="19" spans="1:18" ht="26.25" customHeight="1" x14ac:dyDescent="0.2">
      <c r="A19" s="24" t="s">
        <v>54</v>
      </c>
      <c r="B19" s="2" t="s">
        <v>55</v>
      </c>
      <c r="C19" s="47"/>
      <c r="D19" s="3">
        <f>+ROUND('TUOS Ex GST'!D19*1.1,3)</f>
        <v>0</v>
      </c>
      <c r="E19" s="27">
        <f>+ROUND('TUOS Ex GST'!E19*1.1,3)</f>
        <v>0.76</v>
      </c>
      <c r="F19" s="27">
        <f>+ROUND('TUOS Ex GST'!F19*1.1,3)</f>
        <v>0.60899999999999999</v>
      </c>
      <c r="G19" s="27">
        <f>+ROUND('TUOS Ex GST'!G19*1.1,3)</f>
        <v>0</v>
      </c>
      <c r="H19" s="27">
        <f>+ROUND('TUOS Ex GST'!H19*1.1,3)</f>
        <v>0</v>
      </c>
      <c r="I19" s="27">
        <f>+ROUND('TUOS Ex GST'!I19*1.1,3)</f>
        <v>0</v>
      </c>
      <c r="J19" s="27">
        <f>+ROUND('TUOS Ex GST'!J19*1.1,3)</f>
        <v>0</v>
      </c>
      <c r="K19" s="27">
        <f>+ROUND('TUOS Ex GST'!K19*1.1,3)</f>
        <v>3.1019999999999999</v>
      </c>
      <c r="L19" s="64">
        <f>+ROUND('TUOS Ex GST'!L19*1.1,3)</f>
        <v>8.157</v>
      </c>
      <c r="M19" s="27"/>
      <c r="N19" s="64"/>
      <c r="O19" s="5"/>
      <c r="P19" s="6"/>
      <c r="Q19" s="76">
        <v>150</v>
      </c>
      <c r="R19" s="4"/>
    </row>
    <row r="20" spans="1:18" ht="26.25" customHeight="1" x14ac:dyDescent="0.2">
      <c r="A20" s="24" t="s">
        <v>33</v>
      </c>
      <c r="B20" s="2" t="s">
        <v>22</v>
      </c>
      <c r="C20" s="47"/>
      <c r="D20" s="3">
        <f>+ROUND('TUOS Ex GST'!D20*1.1,3)</f>
        <v>0</v>
      </c>
      <c r="E20" s="27">
        <f>+ROUND('TUOS Ex GST'!E20*1.1,3)</f>
        <v>0.84599999999999997</v>
      </c>
      <c r="F20" s="27">
        <f>+ROUND('TUOS Ex GST'!F20*1.1,3)</f>
        <v>0.67800000000000005</v>
      </c>
      <c r="G20" s="27">
        <f>+ROUND('TUOS Ex GST'!G20*1.1,3)</f>
        <v>0</v>
      </c>
      <c r="H20" s="27">
        <f>+ROUND('TUOS Ex GST'!H20*1.1,3)</f>
        <v>0</v>
      </c>
      <c r="I20" s="27">
        <f>+ROUND('TUOS Ex GST'!I20*1.1,3)</f>
        <v>0</v>
      </c>
      <c r="J20" s="27">
        <f>+ROUND('TUOS Ex GST'!J20*1.1,3)</f>
        <v>0</v>
      </c>
      <c r="K20" s="27">
        <f>+ROUND('TUOS Ex GST'!K20*1.1,3)</f>
        <v>5.6289999999999996</v>
      </c>
      <c r="L20" s="64">
        <f>+ROUND('TUOS Ex GST'!L20*1.1,3)</f>
        <v>5.9089999999999998</v>
      </c>
      <c r="M20" s="27"/>
      <c r="N20" s="64"/>
      <c r="O20" s="5" t="s">
        <v>20</v>
      </c>
      <c r="P20" s="6" t="s">
        <v>21</v>
      </c>
      <c r="Q20" s="76">
        <v>1150</v>
      </c>
      <c r="R20" s="4"/>
    </row>
    <row r="21" spans="1:18" ht="26.25" customHeight="1" x14ac:dyDescent="0.2">
      <c r="A21" s="24" t="s">
        <v>60</v>
      </c>
      <c r="B21" s="2" t="s">
        <v>56</v>
      </c>
      <c r="C21" s="47"/>
      <c r="D21" s="3">
        <f>+ROUND('TUOS Ex GST'!D21*1.1,3)</f>
        <v>0</v>
      </c>
      <c r="E21" s="27">
        <f>+ROUND('TUOS Ex GST'!E21*1.1,3)</f>
        <v>0.48599999999999999</v>
      </c>
      <c r="F21" s="27">
        <f>+ROUND('TUOS Ex GST'!F21*1.1,3)</f>
        <v>0.38700000000000001</v>
      </c>
      <c r="G21" s="27">
        <f>+ROUND('TUOS Ex GST'!G21*1.1,3)</f>
        <v>0</v>
      </c>
      <c r="H21" s="27">
        <f>+ROUND('TUOS Ex GST'!H21*1.1,3)</f>
        <v>0</v>
      </c>
      <c r="I21" s="27">
        <f>+ROUND('TUOS Ex GST'!I21*1.1,3)</f>
        <v>0</v>
      </c>
      <c r="J21" s="27">
        <f>+ROUND('TUOS Ex GST'!J21*1.1,3)</f>
        <v>0</v>
      </c>
      <c r="K21" s="27">
        <f>+ROUND('TUOS Ex GST'!K21*1.1,3)</f>
        <v>3.2269999999999999</v>
      </c>
      <c r="L21" s="64">
        <f>+ROUND('TUOS Ex GST'!L21*1.1,3)</f>
        <v>6.5149999999999997</v>
      </c>
      <c r="M21" s="27"/>
      <c r="N21" s="64"/>
      <c r="O21" s="5"/>
      <c r="P21" s="6"/>
      <c r="Q21" s="76">
        <v>1150</v>
      </c>
      <c r="R21" s="4"/>
    </row>
    <row r="22" spans="1:18" ht="26.25" customHeight="1" x14ac:dyDescent="0.2">
      <c r="A22" s="24" t="s">
        <v>34</v>
      </c>
      <c r="B22" s="2" t="s">
        <v>57</v>
      </c>
      <c r="C22" s="47"/>
      <c r="D22" s="3">
        <f>+ROUND('TUOS Ex GST'!D22*1.1,3)</f>
        <v>0</v>
      </c>
      <c r="E22" s="27">
        <f>+ROUND('TUOS Ex GST'!E22*1.1,3)</f>
        <v>0.57099999999999995</v>
      </c>
      <c r="F22" s="27">
        <f>+ROUND('TUOS Ex GST'!F22*1.1,3)</f>
        <v>0.46</v>
      </c>
      <c r="G22" s="27">
        <f>+ROUND('TUOS Ex GST'!G22*1.1,3)</f>
        <v>0</v>
      </c>
      <c r="H22" s="27">
        <f>+ROUND('TUOS Ex GST'!H22*1.1,3)</f>
        <v>0</v>
      </c>
      <c r="I22" s="27">
        <f>+ROUND('TUOS Ex GST'!I22*1.1,3)</f>
        <v>0</v>
      </c>
      <c r="J22" s="27">
        <f>+ROUND('TUOS Ex GST'!J22*1.1,3)</f>
        <v>0</v>
      </c>
      <c r="K22" s="27">
        <f>+ROUND('TUOS Ex GST'!K22*1.1,3)</f>
        <v>4.0469999999999997</v>
      </c>
      <c r="L22" s="64">
        <f>+ROUND('TUOS Ex GST'!L22*1.1,3)</f>
        <v>4.9089999999999998</v>
      </c>
      <c r="M22" s="27"/>
      <c r="N22" s="64"/>
      <c r="O22" s="5"/>
      <c r="P22" s="6"/>
      <c r="Q22" s="76">
        <v>11100</v>
      </c>
      <c r="R22" s="4"/>
    </row>
    <row r="23" spans="1:18" ht="26.25" customHeight="1" x14ac:dyDescent="0.2">
      <c r="A23" s="24" t="s">
        <v>44</v>
      </c>
      <c r="B23" s="2" t="s">
        <v>42</v>
      </c>
      <c r="C23" s="47" t="s">
        <v>69</v>
      </c>
      <c r="D23" s="3">
        <f>+ROUND('TUOS Ex GST'!D23*1.1,3)</f>
        <v>0</v>
      </c>
      <c r="E23" s="27">
        <f>+ROUND('TUOS Ex GST'!E23*1.1,3)</f>
        <v>2.4119999999999999</v>
      </c>
      <c r="F23" s="27">
        <f>+ROUND('TUOS Ex GST'!F23*1.1,3)</f>
        <v>2.048</v>
      </c>
      <c r="G23" s="27">
        <f>+ROUND('TUOS Ex GST'!G23*1.1,3)</f>
        <v>0</v>
      </c>
      <c r="H23" s="27">
        <f>+ROUND('TUOS Ex GST'!H23*1.1,3)</f>
        <v>2.048</v>
      </c>
      <c r="I23" s="27">
        <f>+ROUND('TUOS Ex GST'!I23*1.1,3)</f>
        <v>1.8080000000000001</v>
      </c>
      <c r="J23" s="27">
        <f>+ROUND('TUOS Ex GST'!J23*1.1,3)</f>
        <v>0</v>
      </c>
      <c r="K23" s="27">
        <f>+ROUND('TUOS Ex GST'!K23*1.1,3)</f>
        <v>0</v>
      </c>
      <c r="L23" s="64">
        <f>+ROUND('TUOS Ex GST'!L23*1.1,3)</f>
        <v>0</v>
      </c>
      <c r="M23" s="27"/>
      <c r="N23" s="64"/>
      <c r="O23" s="5" t="s">
        <v>79</v>
      </c>
      <c r="P23" s="6" t="s">
        <v>15</v>
      </c>
      <c r="Q23" s="76"/>
      <c r="R23" s="4"/>
    </row>
    <row r="24" spans="1:18" ht="26.25" customHeight="1" x14ac:dyDescent="0.2">
      <c r="A24" s="24" t="s">
        <v>45</v>
      </c>
      <c r="B24" s="2" t="s">
        <v>43</v>
      </c>
      <c r="C24" s="47" t="s">
        <v>69</v>
      </c>
      <c r="D24" s="3">
        <f>+ROUND('TUOS Ex GST'!D24*1.1,3)</f>
        <v>0</v>
      </c>
      <c r="E24" s="27">
        <f>+ROUND('TUOS Ex GST'!E24*1.1,3)</f>
        <v>2.4540000000000002</v>
      </c>
      <c r="F24" s="27">
        <f>+ROUND('TUOS Ex GST'!F24*1.1,3)</f>
        <v>1.1279999999999999</v>
      </c>
      <c r="G24" s="27">
        <f>+ROUND('TUOS Ex GST'!G24*1.1,3)</f>
        <v>0</v>
      </c>
      <c r="H24" s="27">
        <f>+ROUND('TUOS Ex GST'!H24*1.1,3)</f>
        <v>0</v>
      </c>
      <c r="I24" s="27">
        <f>+ROUND('TUOS Ex GST'!I24*1.1,3)</f>
        <v>0</v>
      </c>
      <c r="J24" s="27">
        <f>+ROUND('TUOS Ex GST'!J24*1.1,3)</f>
        <v>0</v>
      </c>
      <c r="K24" s="27">
        <f>+ROUND('TUOS Ex GST'!K24*1.1,3)</f>
        <v>0</v>
      </c>
      <c r="L24" s="64">
        <f>+ROUND('TUOS Ex GST'!L24*1.1,3)</f>
        <v>6.43</v>
      </c>
      <c r="M24" s="27"/>
      <c r="N24" s="64"/>
      <c r="O24" s="5" t="s">
        <v>79</v>
      </c>
      <c r="P24" s="6" t="s">
        <v>58</v>
      </c>
      <c r="Q24" s="76"/>
      <c r="R24" s="4"/>
    </row>
    <row r="25" spans="1:18" ht="26.25" customHeight="1" x14ac:dyDescent="0.2">
      <c r="A25" s="24" t="s">
        <v>71</v>
      </c>
      <c r="B25" s="2" t="s">
        <v>70</v>
      </c>
      <c r="C25" s="47" t="s">
        <v>78</v>
      </c>
      <c r="D25" s="3">
        <f>+ROUND('TUOS Ex GST'!D25*1.1,3)</f>
        <v>0</v>
      </c>
      <c r="E25" s="27">
        <f>+ROUND('TUOS Ex GST'!E25*1.1,3)</f>
        <v>5.0970000000000004</v>
      </c>
      <c r="F25" s="27">
        <f>+ROUND('TUOS Ex GST'!F25*1.1,3)</f>
        <v>4.7389999999999999</v>
      </c>
      <c r="G25" s="27">
        <f>+ROUND('TUOS Ex GST'!G25*1.1,3)</f>
        <v>0</v>
      </c>
      <c r="H25" s="27">
        <f>+ROUND('TUOS Ex GST'!H25*1.1,3)</f>
        <v>4.7389999999999999</v>
      </c>
      <c r="I25" s="27">
        <f>+ROUND('TUOS Ex GST'!I25*1.1,3)</f>
        <v>4.5030000000000001</v>
      </c>
      <c r="J25" s="27">
        <f>+ROUND('TUOS Ex GST'!J25*1.1,3)</f>
        <v>0</v>
      </c>
      <c r="K25" s="27">
        <f>+ROUND('TUOS Ex GST'!K25*1.1,3)</f>
        <v>0</v>
      </c>
      <c r="L25" s="64">
        <f>+ROUND('TUOS Ex GST'!L25*1.1,3)</f>
        <v>0</v>
      </c>
      <c r="M25" s="27"/>
      <c r="N25" s="64"/>
      <c r="O25" s="5" t="s">
        <v>79</v>
      </c>
      <c r="P25" s="6" t="s">
        <v>15</v>
      </c>
      <c r="Q25" s="76"/>
      <c r="R25" s="4"/>
    </row>
    <row r="26" spans="1:18" ht="26.25" customHeight="1" x14ac:dyDescent="0.2">
      <c r="A26" s="57" t="s">
        <v>76</v>
      </c>
      <c r="B26" s="58" t="s">
        <v>77</v>
      </c>
      <c r="C26" s="59" t="s">
        <v>69</v>
      </c>
      <c r="D26" s="71">
        <f>+ROUND('TUOS Ex GST'!D26*1.1,3)</f>
        <v>0</v>
      </c>
      <c r="E26" s="60">
        <f>+ROUND('TUOS Ex GST'!E26*1.1,3)</f>
        <v>4.3099999999999996</v>
      </c>
      <c r="F26" s="60">
        <f>+ROUND('TUOS Ex GST'!F26*1.1,3)</f>
        <v>4.0209999999999999</v>
      </c>
      <c r="G26" s="60">
        <f>+ROUND('TUOS Ex GST'!G26*1.1,3)</f>
        <v>0</v>
      </c>
      <c r="H26" s="60">
        <f>+ROUND('TUOS Ex GST'!H26*1.1,3)</f>
        <v>2.1539999999999999</v>
      </c>
      <c r="I26" s="60">
        <f>+ROUND('TUOS Ex GST'!I26*1.1,3)</f>
        <v>1.901</v>
      </c>
      <c r="J26" s="60">
        <f>+ROUND('TUOS Ex GST'!J26*1.1,3)</f>
        <v>0</v>
      </c>
      <c r="K26" s="60">
        <f>+ROUND('TUOS Ex GST'!K26*1.1,3)</f>
        <v>0</v>
      </c>
      <c r="L26" s="65">
        <f>+ROUND('TUOS Ex GST'!L26*1.1,3)</f>
        <v>0</v>
      </c>
      <c r="M26" s="60"/>
      <c r="N26" s="65"/>
      <c r="O26" s="90" t="s">
        <v>12</v>
      </c>
      <c r="P26" s="91"/>
      <c r="Q26" s="61"/>
      <c r="R26" s="72"/>
    </row>
    <row r="27" spans="1:18" ht="25.5" customHeight="1" thickBot="1" x14ac:dyDescent="0.25">
      <c r="A27" s="73" t="s">
        <v>97</v>
      </c>
      <c r="B27" s="74" t="s">
        <v>103</v>
      </c>
      <c r="C27" s="59" t="s">
        <v>69</v>
      </c>
      <c r="D27" s="60"/>
      <c r="E27" s="60">
        <f>+ROUND('TUOS Ex GST'!E27*1.1,3)</f>
        <v>1.65</v>
      </c>
      <c r="F27" s="60">
        <f>+ROUND('TUOS Ex GST'!F27*1.1,3)</f>
        <v>1.65</v>
      </c>
      <c r="G27" s="60">
        <f>+ROUND('TUOS Ex GST'!G27*1.1,3)</f>
        <v>0</v>
      </c>
      <c r="H27" s="60">
        <f>+ROUND('TUOS Ex GST'!H27*1.1,3)</f>
        <v>0</v>
      </c>
      <c r="I27" s="60">
        <f>+ROUND('TUOS Ex GST'!I27*1.1,3)</f>
        <v>0</v>
      </c>
      <c r="J27" s="60">
        <f>+ROUND('TUOS Ex GST'!J27*1.1,3)</f>
        <v>0</v>
      </c>
      <c r="K27" s="60">
        <f>+ROUND('TUOS Ex GST'!K27*1.1,3)</f>
        <v>0</v>
      </c>
      <c r="L27" s="60">
        <f>+ROUND('TUOS Ex GST'!L27*1.1,3)</f>
        <v>0</v>
      </c>
      <c r="M27" s="78">
        <f>+ROUND('TUOS Ex GST'!M27*1.1,3)</f>
        <v>7.79</v>
      </c>
      <c r="N27" s="78">
        <f>+ROUND('TUOS Ex GST'!N27*1.1,3)</f>
        <v>7.742</v>
      </c>
      <c r="O27" s="99" t="s">
        <v>12</v>
      </c>
      <c r="P27" s="100"/>
      <c r="Q27" s="80">
        <v>1.5</v>
      </c>
      <c r="R27" s="81">
        <v>1.5</v>
      </c>
    </row>
    <row r="28" spans="1:18" x14ac:dyDescent="0.2">
      <c r="A28" s="29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62"/>
    </row>
    <row r="29" spans="1:18" x14ac:dyDescent="0.2">
      <c r="A29" s="8" t="s">
        <v>72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x14ac:dyDescent="0.2">
      <c r="A30" s="8" t="s">
        <v>105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x14ac:dyDescent="0.2">
      <c r="A31" s="8" t="s">
        <v>99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x14ac:dyDescent="0.2">
      <c r="A32" s="8" t="s">
        <v>100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x14ac:dyDescent="0.2">
      <c r="A33" s="43" t="s">
        <v>74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</row>
    <row r="34" spans="1:18" ht="13.5" thickBot="1" x14ac:dyDescent="0.25">
      <c r="A34" s="33" t="s">
        <v>75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5"/>
    </row>
    <row r="35" spans="1:18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7" spans="1:18" x14ac:dyDescent="0.2">
      <c r="M37" s="48"/>
      <c r="N37" s="48"/>
    </row>
    <row r="38" spans="1:18" x14ac:dyDescent="0.2">
      <c r="M38" s="48"/>
      <c r="N38" s="48"/>
    </row>
    <row r="39" spans="1:18" x14ac:dyDescent="0.2">
      <c r="M39" s="48"/>
      <c r="N39" s="48"/>
    </row>
    <row r="40" spans="1:18" x14ac:dyDescent="0.2">
      <c r="M40" s="48"/>
      <c r="N40" s="48"/>
    </row>
    <row r="41" spans="1:18" x14ac:dyDescent="0.2">
      <c r="M41" s="48"/>
      <c r="N41" s="48"/>
    </row>
    <row r="42" spans="1:18" x14ac:dyDescent="0.2">
      <c r="M42" s="48"/>
      <c r="N42" s="48"/>
    </row>
    <row r="43" spans="1:18" x14ac:dyDescent="0.2">
      <c r="M43" s="48"/>
      <c r="N43" s="48"/>
    </row>
    <row r="44" spans="1:18" x14ac:dyDescent="0.2">
      <c r="M44" s="48"/>
      <c r="N44" s="48"/>
    </row>
    <row r="45" spans="1:18" x14ac:dyDescent="0.2">
      <c r="M45" s="48"/>
      <c r="N45" s="48"/>
    </row>
    <row r="46" spans="1:18" x14ac:dyDescent="0.2">
      <c r="M46" s="48"/>
      <c r="N46" s="48"/>
    </row>
    <row r="47" spans="1:18" x14ac:dyDescent="0.2">
      <c r="M47" s="48"/>
      <c r="N47" s="48"/>
    </row>
    <row r="48" spans="1:18" x14ac:dyDescent="0.2">
      <c r="M48" s="48"/>
      <c r="N48" s="48"/>
    </row>
    <row r="49" spans="13:14" x14ac:dyDescent="0.2">
      <c r="M49" s="48"/>
      <c r="N49" s="48"/>
    </row>
    <row r="50" spans="13:14" x14ac:dyDescent="0.2">
      <c r="M50" s="48"/>
      <c r="N50" s="48"/>
    </row>
    <row r="51" spans="13:14" x14ac:dyDescent="0.2">
      <c r="M51" s="48"/>
      <c r="N51" s="48"/>
    </row>
    <row r="52" spans="13:14" x14ac:dyDescent="0.2">
      <c r="M52" s="48"/>
      <c r="N52" s="48"/>
    </row>
    <row r="53" spans="13:14" x14ac:dyDescent="0.2">
      <c r="M53" s="48"/>
      <c r="N53" s="48"/>
    </row>
    <row r="54" spans="13:14" x14ac:dyDescent="0.2">
      <c r="M54" s="48"/>
      <c r="N54" s="48"/>
    </row>
    <row r="55" spans="13:14" x14ac:dyDescent="0.2">
      <c r="M55" s="48"/>
      <c r="N55" s="48"/>
    </row>
    <row r="56" spans="13:14" x14ac:dyDescent="0.2">
      <c r="M56" s="48"/>
      <c r="N56" s="48"/>
    </row>
    <row r="57" spans="13:14" x14ac:dyDescent="0.2">
      <c r="M57" s="48"/>
      <c r="N57" s="48"/>
    </row>
    <row r="58" spans="13:14" x14ac:dyDescent="0.2">
      <c r="M58" s="48"/>
      <c r="N58" s="48"/>
    </row>
    <row r="59" spans="13:14" x14ac:dyDescent="0.2">
      <c r="M59" s="48"/>
      <c r="N59" s="48"/>
    </row>
    <row r="60" spans="13:14" x14ac:dyDescent="0.2">
      <c r="M60" s="48"/>
      <c r="N60" s="48"/>
    </row>
    <row r="61" spans="13:14" x14ac:dyDescent="0.2">
      <c r="M61" s="48"/>
      <c r="N61" s="48"/>
    </row>
    <row r="62" spans="13:14" x14ac:dyDescent="0.2">
      <c r="M62" s="48"/>
      <c r="N62" s="48"/>
    </row>
    <row r="63" spans="13:14" x14ac:dyDescent="0.2">
      <c r="M63" s="48"/>
      <c r="N63" s="48"/>
    </row>
  </sheetData>
  <mergeCells count="5">
    <mergeCell ref="O26:P26"/>
    <mergeCell ref="A1:Q1"/>
    <mergeCell ref="O3:P3"/>
    <mergeCell ref="D3:N3"/>
    <mergeCell ref="O27:P27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0"/>
  <sheetViews>
    <sheetView showGridLines="0" showZeros="0" zoomScaleNormal="75" workbookViewId="0">
      <selection activeCell="J7" sqref="J7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6" width="11.140625" customWidth="1"/>
    <col min="17" max="17" width="12.42578125" customWidth="1"/>
    <col min="18" max="18" width="12.5703125" customWidth="1"/>
  </cols>
  <sheetData>
    <row r="1" spans="1:18" s="1" customFormat="1" ht="18" x14ac:dyDescent="0.25">
      <c r="A1" s="92" t="s">
        <v>88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53"/>
    </row>
    <row r="2" spans="1:18" ht="13.5" thickBo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</row>
    <row r="3" spans="1:18" ht="84" customHeight="1" thickBot="1" x14ac:dyDescent="0.25">
      <c r="A3" s="50"/>
      <c r="B3" s="51"/>
      <c r="C3" s="51"/>
      <c r="D3" s="96" t="s">
        <v>0</v>
      </c>
      <c r="E3" s="97"/>
      <c r="F3" s="97"/>
      <c r="G3" s="97"/>
      <c r="H3" s="97"/>
      <c r="I3" s="97"/>
      <c r="J3" s="97"/>
      <c r="K3" s="97"/>
      <c r="L3" s="97"/>
      <c r="M3" s="97"/>
      <c r="N3" s="98"/>
      <c r="O3" s="94" t="s">
        <v>36</v>
      </c>
      <c r="P3" s="95"/>
      <c r="Q3" s="52" t="s">
        <v>1</v>
      </c>
      <c r="R3" s="52" t="s">
        <v>94</v>
      </c>
    </row>
    <row r="4" spans="1:18" ht="93" customHeight="1" thickBot="1" x14ac:dyDescent="0.25">
      <c r="A4" s="20" t="s">
        <v>2</v>
      </c>
      <c r="B4" s="21" t="s">
        <v>3</v>
      </c>
      <c r="C4" s="42" t="s">
        <v>68</v>
      </c>
      <c r="D4" s="67" t="s">
        <v>37</v>
      </c>
      <c r="E4" s="68" t="s">
        <v>4</v>
      </c>
      <c r="F4" s="68" t="s">
        <v>5</v>
      </c>
      <c r="G4" s="68" t="s">
        <v>6</v>
      </c>
      <c r="H4" s="68"/>
      <c r="I4" s="68"/>
      <c r="J4" s="68" t="s">
        <v>7</v>
      </c>
      <c r="K4" s="68" t="s">
        <v>8</v>
      </c>
      <c r="L4" s="66" t="s">
        <v>9</v>
      </c>
      <c r="M4" s="66" t="s">
        <v>92</v>
      </c>
      <c r="N4" s="66" t="s">
        <v>93</v>
      </c>
      <c r="O4" s="69" t="s">
        <v>10</v>
      </c>
      <c r="P4" s="70" t="s">
        <v>11</v>
      </c>
      <c r="Q4" s="49" t="s">
        <v>10</v>
      </c>
      <c r="R4" s="22" t="s">
        <v>95</v>
      </c>
    </row>
    <row r="5" spans="1:18" ht="26.25" customHeight="1" x14ac:dyDescent="0.2">
      <c r="A5" s="28" t="s">
        <v>61</v>
      </c>
      <c r="B5" s="29" t="s">
        <v>64</v>
      </c>
      <c r="C5" s="46" t="s">
        <v>69</v>
      </c>
      <c r="D5" s="25">
        <f>ROUND(+'DUOS GST'!D5+'TUOS GST'!D5,3)</f>
        <v>7.35</v>
      </c>
      <c r="E5" s="26">
        <f>ROUND(+'DUOS GST'!E5+'TUOS GST'!E5,3)</f>
        <v>11.409000000000001</v>
      </c>
      <c r="F5" s="26">
        <f>ROUND(+'DUOS GST'!F5+'TUOS GST'!F5,3)</f>
        <v>7.7939999999999996</v>
      </c>
      <c r="G5" s="26">
        <f>ROUND(+'DUOS GST'!G5+'TUOS GST'!G5,3)</f>
        <v>0</v>
      </c>
      <c r="H5" s="26">
        <f>ROUND(+'DUOS GST'!H5+'TUOS GST'!H5,3)</f>
        <v>0</v>
      </c>
      <c r="I5" s="26">
        <f>ROUND(+'DUOS GST'!I5+'TUOS GST'!I5,3)</f>
        <v>0</v>
      </c>
      <c r="J5" s="26">
        <f>ROUND(+'DUOS GST'!J5+'TUOS GST'!J5,3)</f>
        <v>0</v>
      </c>
      <c r="K5" s="26">
        <f>ROUND(+'DUOS GST'!K5+'TUOS GST'!K5,3)</f>
        <v>0</v>
      </c>
      <c r="L5" s="63">
        <f>ROUND(+'DUOS GST'!L5+'TUOS GST'!L5,3)</f>
        <v>0</v>
      </c>
      <c r="M5" s="26"/>
      <c r="N5" s="63"/>
      <c r="O5" s="44" t="s">
        <v>79</v>
      </c>
      <c r="P5" s="45" t="s">
        <v>15</v>
      </c>
      <c r="Q5" s="75"/>
      <c r="R5" s="30"/>
    </row>
    <row r="6" spans="1:18" ht="26.25" customHeight="1" x14ac:dyDescent="0.2">
      <c r="A6" s="24" t="s">
        <v>26</v>
      </c>
      <c r="B6" s="2" t="s">
        <v>13</v>
      </c>
      <c r="C6" s="47"/>
      <c r="D6" s="3">
        <f>ROUND(+'DUOS GST'!D6+'TUOS GST'!D6,3)</f>
        <v>15.214</v>
      </c>
      <c r="E6" s="27">
        <f>ROUND(+'DUOS GST'!E6+'TUOS GST'!E6,3)</f>
        <v>14.856999999999999</v>
      </c>
      <c r="F6" s="27">
        <f>ROUND(+'DUOS GST'!F6+'TUOS GST'!F6,3)</f>
        <v>11.433999999999999</v>
      </c>
      <c r="G6" s="27">
        <f>ROUND(+'DUOS GST'!G6+'TUOS GST'!G6,3)</f>
        <v>0</v>
      </c>
      <c r="H6" s="27">
        <f>ROUND(+'DUOS GST'!H6+'TUOS GST'!H6,3)</f>
        <v>0</v>
      </c>
      <c r="I6" s="27">
        <f>ROUND(+'DUOS GST'!I6+'TUOS GST'!I6,3)</f>
        <v>0</v>
      </c>
      <c r="J6" s="27">
        <f>ROUND(+'DUOS GST'!J6+'TUOS GST'!J6,3)</f>
        <v>1.893</v>
      </c>
      <c r="K6" s="27">
        <f>ROUND(+'DUOS GST'!K6+'TUOS GST'!K6,3)</f>
        <v>0</v>
      </c>
      <c r="L6" s="64">
        <f>ROUND(+'DUOS GST'!L6+'TUOS GST'!L6,3)</f>
        <v>0</v>
      </c>
      <c r="M6" s="27"/>
      <c r="N6" s="64"/>
      <c r="O6" s="5"/>
      <c r="P6" s="6"/>
      <c r="Q6" s="76"/>
      <c r="R6" s="4"/>
    </row>
    <row r="7" spans="1:18" ht="26.25" customHeight="1" x14ac:dyDescent="0.2">
      <c r="A7" s="24" t="s">
        <v>48</v>
      </c>
      <c r="B7" s="2" t="s">
        <v>49</v>
      </c>
      <c r="C7" s="47"/>
      <c r="D7" s="3">
        <f>ROUND(+'DUOS GST'!D7+'TUOS GST'!D7,3)</f>
        <v>0</v>
      </c>
      <c r="E7" s="27">
        <f>ROUND(+'DUOS GST'!E7+'TUOS GST'!E7,3)</f>
        <v>0</v>
      </c>
      <c r="F7" s="27">
        <f>ROUND(+'DUOS GST'!F7+'TUOS GST'!F7,3)</f>
        <v>0</v>
      </c>
      <c r="G7" s="27">
        <f>ROUND(+'DUOS GST'!G7+'TUOS GST'!G7,3)</f>
        <v>0</v>
      </c>
      <c r="H7" s="27">
        <f>ROUND(+'DUOS GST'!H7+'TUOS GST'!H7,3)</f>
        <v>0</v>
      </c>
      <c r="I7" s="27">
        <f>ROUND(+'DUOS GST'!I7+'TUOS GST'!I7,3)</f>
        <v>0</v>
      </c>
      <c r="J7" s="27">
        <f>ROUND(+'DUOS GST'!J7+'TUOS GST'!J7,3)</f>
        <v>1.752</v>
      </c>
      <c r="K7" s="27">
        <f>ROUND(+'DUOS GST'!K7+'TUOS GST'!K7,3)</f>
        <v>0</v>
      </c>
      <c r="L7" s="64">
        <f>ROUND(+'DUOS GST'!L7+'TUOS GST'!L7,3)</f>
        <v>0</v>
      </c>
      <c r="M7" s="27"/>
      <c r="N7" s="64"/>
      <c r="O7" s="5" t="s">
        <v>79</v>
      </c>
      <c r="P7" s="6" t="s">
        <v>80</v>
      </c>
      <c r="Q7" s="77"/>
      <c r="R7" s="7"/>
    </row>
    <row r="8" spans="1:18" ht="26.25" customHeight="1" x14ac:dyDescent="0.2">
      <c r="A8" s="24" t="s">
        <v>27</v>
      </c>
      <c r="B8" s="2" t="s">
        <v>14</v>
      </c>
      <c r="C8" s="47"/>
      <c r="D8" s="3">
        <f>ROUND(+'DUOS GST'!D8+'TUOS GST'!D8,3)</f>
        <v>0</v>
      </c>
      <c r="E8" s="27">
        <f>ROUND(+'DUOS GST'!E8+'TUOS GST'!E8,3)</f>
        <v>12.869</v>
      </c>
      <c r="F8" s="27">
        <f>ROUND(+'DUOS GST'!F8+'TUOS GST'!F8,3)</f>
        <v>9.6630000000000003</v>
      </c>
      <c r="G8" s="27">
        <f>ROUND(+'DUOS GST'!G8+'TUOS GST'!G8,3)</f>
        <v>0</v>
      </c>
      <c r="H8" s="27">
        <f>ROUND(+'DUOS GST'!H8+'TUOS GST'!H8,3)</f>
        <v>0</v>
      </c>
      <c r="I8" s="27">
        <f>ROUND(+'DUOS GST'!I8+'TUOS GST'!I8,3)</f>
        <v>0</v>
      </c>
      <c r="J8" s="27">
        <f>ROUND(+'DUOS GST'!J8+'TUOS GST'!J8,3)</f>
        <v>1.6559999999999999</v>
      </c>
      <c r="K8" s="27">
        <f>ROUND(+'DUOS GST'!K8+'TUOS GST'!K8,3)</f>
        <v>0</v>
      </c>
      <c r="L8" s="64">
        <f>ROUND(+'DUOS GST'!L8+'TUOS GST'!L8,3)</f>
        <v>0</v>
      </c>
      <c r="M8" s="27"/>
      <c r="N8" s="64"/>
      <c r="O8" s="5"/>
      <c r="P8" s="6"/>
      <c r="Q8" s="77"/>
      <c r="R8" s="7"/>
    </row>
    <row r="9" spans="1:18" ht="26.25" customHeight="1" x14ac:dyDescent="0.2">
      <c r="A9" s="24" t="s">
        <v>50</v>
      </c>
      <c r="B9" s="2" t="s">
        <v>51</v>
      </c>
      <c r="C9" s="47"/>
      <c r="D9" s="3">
        <f>ROUND(+'DUOS GST'!D9+'TUOS GST'!D9,3)</f>
        <v>9.593</v>
      </c>
      <c r="E9" s="27">
        <f>ROUND(+'DUOS GST'!E9+'TUOS GST'!E9,3)</f>
        <v>9.7780000000000005</v>
      </c>
      <c r="F9" s="27">
        <f>ROUND(+'DUOS GST'!F9+'TUOS GST'!F9,3)</f>
        <v>7.4</v>
      </c>
      <c r="G9" s="27">
        <f>ROUND(+'DUOS GST'!G9+'TUOS GST'!G9,3)</f>
        <v>4.0860000000000003</v>
      </c>
      <c r="H9" s="27">
        <f>ROUND(+'DUOS GST'!H9+'TUOS GST'!H9,3)</f>
        <v>0</v>
      </c>
      <c r="I9" s="27">
        <f>ROUND(+'DUOS GST'!I9+'TUOS GST'!I9,3)</f>
        <v>0</v>
      </c>
      <c r="J9" s="27">
        <f>ROUND(+'DUOS GST'!J9+'TUOS GST'!J9,3)</f>
        <v>0</v>
      </c>
      <c r="K9" s="27">
        <f>ROUND(+'DUOS GST'!K9+'TUOS GST'!K9,3)</f>
        <v>0</v>
      </c>
      <c r="L9" s="64">
        <f>ROUND(+'DUOS GST'!L9+'TUOS GST'!L9,3)</f>
        <v>0</v>
      </c>
      <c r="M9" s="27"/>
      <c r="N9" s="64"/>
      <c r="O9" s="5"/>
      <c r="P9" s="6"/>
      <c r="Q9" s="76"/>
      <c r="R9" s="4"/>
    </row>
    <row r="10" spans="1:18" ht="26.25" customHeight="1" x14ac:dyDescent="0.2">
      <c r="A10" s="24" t="s">
        <v>52</v>
      </c>
      <c r="B10" s="2" t="s">
        <v>53</v>
      </c>
      <c r="C10" s="47"/>
      <c r="D10" s="3">
        <f>ROUND(+'DUOS GST'!D10+'TUOS GST'!D10,3)</f>
        <v>0</v>
      </c>
      <c r="E10" s="27">
        <f>ROUND(+'DUOS GST'!E10+'TUOS GST'!E10,3)</f>
        <v>23.995999999999999</v>
      </c>
      <c r="F10" s="27">
        <f>ROUND(+'DUOS GST'!F10+'TUOS GST'!F10,3)</f>
        <v>5.5220000000000002</v>
      </c>
      <c r="G10" s="27">
        <f>ROUND(+'DUOS GST'!G10+'TUOS GST'!G10,3)</f>
        <v>0</v>
      </c>
      <c r="H10" s="27">
        <f>ROUND(+'DUOS GST'!H10+'TUOS GST'!H10,3)</f>
        <v>0</v>
      </c>
      <c r="I10" s="27">
        <f>ROUND(+'DUOS GST'!I10+'TUOS GST'!I10,3)</f>
        <v>0</v>
      </c>
      <c r="J10" s="27">
        <f>ROUND(+'DUOS GST'!J10+'TUOS GST'!J10,3)</f>
        <v>1.536</v>
      </c>
      <c r="K10" s="27">
        <f>ROUND(+'DUOS GST'!K10+'TUOS GST'!K10,3)</f>
        <v>0</v>
      </c>
      <c r="L10" s="64">
        <f>ROUND(+'DUOS GST'!L10+'TUOS GST'!L10,3)</f>
        <v>89.397000000000006</v>
      </c>
      <c r="M10" s="27"/>
      <c r="N10" s="64"/>
      <c r="O10" s="5"/>
      <c r="P10" s="6"/>
      <c r="Q10" s="76"/>
      <c r="R10" s="4"/>
    </row>
    <row r="11" spans="1:18" ht="26.25" customHeight="1" x14ac:dyDescent="0.2">
      <c r="A11" s="24" t="s">
        <v>63</v>
      </c>
      <c r="B11" s="2" t="s">
        <v>65</v>
      </c>
      <c r="C11" s="47" t="s">
        <v>69</v>
      </c>
      <c r="D11" s="3">
        <f>ROUND(+'DUOS GST'!D11+'TUOS GST'!D11,3)</f>
        <v>14.24</v>
      </c>
      <c r="E11" s="27">
        <f>ROUND(+'DUOS GST'!E11+'TUOS GST'!E11,3)</f>
        <v>15.3</v>
      </c>
      <c r="F11" s="27">
        <f>ROUND(+'DUOS GST'!F11+'TUOS GST'!F11,3)</f>
        <v>10.032</v>
      </c>
      <c r="G11" s="27">
        <f>ROUND(+'DUOS GST'!G11+'TUOS GST'!G11,3)</f>
        <v>0</v>
      </c>
      <c r="H11" s="27">
        <f>ROUND(+'DUOS GST'!H11+'TUOS GST'!H11,3)</f>
        <v>0</v>
      </c>
      <c r="I11" s="27">
        <f>ROUND(+'DUOS GST'!I11+'TUOS GST'!I11,3)</f>
        <v>0</v>
      </c>
      <c r="J11" s="27">
        <f>ROUND(+'DUOS GST'!J11+'TUOS GST'!J11,3)</f>
        <v>0</v>
      </c>
      <c r="K11" s="27">
        <f>ROUND(+'DUOS GST'!K11+'TUOS GST'!K11,3)</f>
        <v>0</v>
      </c>
      <c r="L11" s="64">
        <f>ROUND(+'DUOS GST'!L11+'TUOS GST'!L11,3)</f>
        <v>0</v>
      </c>
      <c r="M11" s="27"/>
      <c r="N11" s="64"/>
      <c r="O11" s="5" t="s">
        <v>79</v>
      </c>
      <c r="P11" s="6" t="s">
        <v>58</v>
      </c>
      <c r="Q11" s="76"/>
      <c r="R11" s="4"/>
    </row>
    <row r="12" spans="1:18" ht="26.25" customHeight="1" x14ac:dyDescent="0.2">
      <c r="A12" s="24" t="s">
        <v>28</v>
      </c>
      <c r="B12" s="2" t="s">
        <v>40</v>
      </c>
      <c r="C12" s="47"/>
      <c r="D12" s="3">
        <f>ROUND(+'DUOS GST'!D12+'TUOS GST'!D12,3)</f>
        <v>20.446000000000002</v>
      </c>
      <c r="E12" s="27">
        <f>ROUND(+'DUOS GST'!E12+'TUOS GST'!E12,3)</f>
        <v>12.004</v>
      </c>
      <c r="F12" s="27">
        <f>ROUND(+'DUOS GST'!F12+'TUOS GST'!F12,3)</f>
        <v>9.0990000000000002</v>
      </c>
      <c r="G12" s="27">
        <f>ROUND(+'DUOS GST'!G12+'TUOS GST'!G12,3)</f>
        <v>0</v>
      </c>
      <c r="H12" s="27">
        <f>ROUND(+'DUOS GST'!H12+'TUOS GST'!H12,3)</f>
        <v>0</v>
      </c>
      <c r="I12" s="27">
        <f>ROUND(+'DUOS GST'!I12+'TUOS GST'!I12,3)</f>
        <v>0</v>
      </c>
      <c r="J12" s="27">
        <f>ROUND(+'DUOS GST'!J12+'TUOS GST'!J12,3)</f>
        <v>1.8540000000000001</v>
      </c>
      <c r="K12" s="27">
        <f>ROUND(+'DUOS GST'!K12+'TUOS GST'!K12,3)</f>
        <v>0</v>
      </c>
      <c r="L12" s="64">
        <f>ROUND(+'DUOS GST'!L12+'TUOS GST'!L12,3)</f>
        <v>0</v>
      </c>
      <c r="M12" s="27"/>
      <c r="N12" s="64"/>
      <c r="O12" s="5"/>
      <c r="P12" s="6"/>
      <c r="Q12" s="76"/>
      <c r="R12" s="4"/>
    </row>
    <row r="13" spans="1:18" ht="26.25" customHeight="1" x14ac:dyDescent="0.2">
      <c r="A13" s="24" t="s">
        <v>29</v>
      </c>
      <c r="B13" s="2" t="s">
        <v>41</v>
      </c>
      <c r="C13" s="47"/>
      <c r="D13" s="3">
        <f>ROUND(+'DUOS GST'!D13+'TUOS GST'!D13,3)</f>
        <v>21.959</v>
      </c>
      <c r="E13" s="27">
        <f>ROUND(+'DUOS GST'!E13+'TUOS GST'!E13,3)</f>
        <v>12.291</v>
      </c>
      <c r="F13" s="27">
        <f>ROUND(+'DUOS GST'!F13+'TUOS GST'!F13,3)</f>
        <v>9.59</v>
      </c>
      <c r="G13" s="27">
        <f>ROUND(+'DUOS GST'!G13+'TUOS GST'!G13,3)</f>
        <v>0</v>
      </c>
      <c r="H13" s="27">
        <f>ROUND(+'DUOS GST'!H13+'TUOS GST'!H13,3)</f>
        <v>0</v>
      </c>
      <c r="I13" s="27">
        <f>ROUND(+'DUOS GST'!I13+'TUOS GST'!I13,3)</f>
        <v>0</v>
      </c>
      <c r="J13" s="27">
        <f>ROUND(+'DUOS GST'!J13+'TUOS GST'!J13,3)</f>
        <v>1.7390000000000001</v>
      </c>
      <c r="K13" s="27">
        <f>ROUND(+'DUOS GST'!K13+'TUOS GST'!K13,3)</f>
        <v>0</v>
      </c>
      <c r="L13" s="64">
        <f>ROUND(+'DUOS GST'!L13+'TUOS GST'!L13,3)</f>
        <v>0</v>
      </c>
      <c r="M13" s="27"/>
      <c r="N13" s="64"/>
      <c r="O13" s="5"/>
      <c r="P13" s="6"/>
      <c r="Q13" s="76"/>
      <c r="R13" s="4"/>
    </row>
    <row r="14" spans="1:18" ht="26.25" customHeight="1" x14ac:dyDescent="0.2">
      <c r="A14" s="24" t="s">
        <v>39</v>
      </c>
      <c r="B14" s="2" t="s">
        <v>38</v>
      </c>
      <c r="C14" s="47"/>
      <c r="D14" s="3">
        <f>ROUND(+'DUOS GST'!D14+'TUOS GST'!D14,3)</f>
        <v>0</v>
      </c>
      <c r="E14" s="27">
        <f>ROUND(+'DUOS GST'!E14+'TUOS GST'!E14,3)</f>
        <v>11.071999999999999</v>
      </c>
      <c r="F14" s="27">
        <f>ROUND(+'DUOS GST'!F14+'TUOS GST'!F14,3)</f>
        <v>6.8979999999999997</v>
      </c>
      <c r="G14" s="27">
        <f>ROUND(+'DUOS GST'!G14+'TUOS GST'!G14,3)</f>
        <v>0</v>
      </c>
      <c r="H14" s="27">
        <f>ROUND(+'DUOS GST'!H14+'TUOS GST'!H14,3)</f>
        <v>0</v>
      </c>
      <c r="I14" s="27">
        <f>ROUND(+'DUOS GST'!I14+'TUOS GST'!I14,3)</f>
        <v>0</v>
      </c>
      <c r="J14" s="27">
        <f>ROUND(+'DUOS GST'!J14+'TUOS GST'!J14,3)</f>
        <v>2.1309999999999998</v>
      </c>
      <c r="K14" s="27">
        <f>ROUND(+'DUOS GST'!K14+'TUOS GST'!K14,3)</f>
        <v>0</v>
      </c>
      <c r="L14" s="64">
        <f>ROUND(+'DUOS GST'!L14+'TUOS GST'!L14,3)</f>
        <v>52.776000000000003</v>
      </c>
      <c r="M14" s="27"/>
      <c r="N14" s="64"/>
      <c r="O14" s="5"/>
      <c r="P14" s="6"/>
      <c r="Q14" s="76"/>
      <c r="R14" s="4"/>
    </row>
    <row r="15" spans="1:18" ht="26.25" customHeight="1" x14ac:dyDescent="0.2">
      <c r="A15" s="24" t="s">
        <v>16</v>
      </c>
      <c r="B15" s="2" t="s">
        <v>59</v>
      </c>
      <c r="C15" s="47"/>
      <c r="D15" s="3">
        <f>ROUND(+'DUOS GST'!D15+'TUOS GST'!D15,3)</f>
        <v>0</v>
      </c>
      <c r="E15" s="27">
        <f>ROUND(+'DUOS GST'!E15+'TUOS GST'!E15,3)</f>
        <v>9.4019999999999992</v>
      </c>
      <c r="F15" s="27">
        <f>ROUND(+'DUOS GST'!F15+'TUOS GST'!F15,3)</f>
        <v>7.2649999999999997</v>
      </c>
      <c r="G15" s="27">
        <f>ROUND(+'DUOS GST'!G15+'TUOS GST'!G15,3)</f>
        <v>0</v>
      </c>
      <c r="H15" s="27">
        <f>ROUND(+'DUOS GST'!H15+'TUOS GST'!H15,3)</f>
        <v>0</v>
      </c>
      <c r="I15" s="27">
        <f>ROUND(+'DUOS GST'!I15+'TUOS GST'!I15,3)</f>
        <v>0</v>
      </c>
      <c r="J15" s="27">
        <f>ROUND(+'DUOS GST'!J15+'TUOS GST'!J15,3)</f>
        <v>1.851</v>
      </c>
      <c r="K15" s="27">
        <f>ROUND(+'DUOS GST'!K15+'TUOS GST'!K15,3)</f>
        <v>0</v>
      </c>
      <c r="L15" s="64">
        <f>ROUND(+'DUOS GST'!L15+'TUOS GST'!L15,3)</f>
        <v>82.933999999999997</v>
      </c>
      <c r="M15" s="27"/>
      <c r="N15" s="64"/>
      <c r="O15" s="5"/>
      <c r="P15" s="6"/>
      <c r="Q15" s="76"/>
      <c r="R15" s="4"/>
    </row>
    <row r="16" spans="1:18" ht="26.25" customHeight="1" x14ac:dyDescent="0.2">
      <c r="A16" s="24" t="s">
        <v>30</v>
      </c>
      <c r="B16" s="2" t="s">
        <v>17</v>
      </c>
      <c r="C16" s="47"/>
      <c r="D16" s="3">
        <f>ROUND(+'DUOS GST'!D16+'TUOS GST'!D16,3)</f>
        <v>14.172000000000001</v>
      </c>
      <c r="E16" s="27">
        <f>ROUND(+'DUOS GST'!E16+'TUOS GST'!E16,3)</f>
        <v>9.2379999999999995</v>
      </c>
      <c r="F16" s="27">
        <f>ROUND(+'DUOS GST'!F16+'TUOS GST'!F16,3)</f>
        <v>7.3170000000000002</v>
      </c>
      <c r="G16" s="27">
        <f>ROUND(+'DUOS GST'!G16+'TUOS GST'!G16,3)</f>
        <v>0</v>
      </c>
      <c r="H16" s="27">
        <f>ROUND(+'DUOS GST'!H16+'TUOS GST'!H16,3)</f>
        <v>0</v>
      </c>
      <c r="I16" s="27">
        <f>ROUND(+'DUOS GST'!I16+'TUOS GST'!I16,3)</f>
        <v>0</v>
      </c>
      <c r="J16" s="27">
        <f>ROUND(+'DUOS GST'!J16+'TUOS GST'!J16,3)</f>
        <v>0</v>
      </c>
      <c r="K16" s="27">
        <f>ROUND(+'DUOS GST'!K16+'TUOS GST'!K16,3)</f>
        <v>0</v>
      </c>
      <c r="L16" s="64">
        <f>ROUND(+'DUOS GST'!L16+'TUOS GST'!L16,3)</f>
        <v>0</v>
      </c>
      <c r="M16" s="27"/>
      <c r="N16" s="64"/>
      <c r="O16" s="5"/>
      <c r="P16" s="6"/>
      <c r="Q16" s="76"/>
      <c r="R16" s="4"/>
    </row>
    <row r="17" spans="1:18" ht="26.25" customHeight="1" x14ac:dyDescent="0.2">
      <c r="A17" s="24" t="s">
        <v>31</v>
      </c>
      <c r="B17" s="2" t="s">
        <v>18</v>
      </c>
      <c r="C17" s="47"/>
      <c r="D17" s="3">
        <f>ROUND(+'DUOS GST'!D17+'TUOS GST'!D17,3)</f>
        <v>20.442</v>
      </c>
      <c r="E17" s="27">
        <f>ROUND(+'DUOS GST'!E17+'TUOS GST'!E17,3)</f>
        <v>12.272</v>
      </c>
      <c r="F17" s="27">
        <f>ROUND(+'DUOS GST'!F17+'TUOS GST'!F17,3)</f>
        <v>9.7690000000000001</v>
      </c>
      <c r="G17" s="27">
        <f>ROUND(+'DUOS GST'!G17+'TUOS GST'!G17,3)</f>
        <v>0</v>
      </c>
      <c r="H17" s="27">
        <f>ROUND(+'DUOS GST'!H17+'TUOS GST'!H17,3)</f>
        <v>0</v>
      </c>
      <c r="I17" s="27">
        <f>ROUND(+'DUOS GST'!I17+'TUOS GST'!I17,3)</f>
        <v>0</v>
      </c>
      <c r="J17" s="27">
        <f>ROUND(+'DUOS GST'!J17+'TUOS GST'!J17,3)</f>
        <v>1.9339999999999999</v>
      </c>
      <c r="K17" s="27">
        <f>ROUND(+'DUOS GST'!K17+'TUOS GST'!K17,3)</f>
        <v>0</v>
      </c>
      <c r="L17" s="64">
        <f>ROUND(+'DUOS GST'!L17+'TUOS GST'!L17,3)</f>
        <v>0</v>
      </c>
      <c r="M17" s="27"/>
      <c r="N17" s="64"/>
      <c r="O17" s="5"/>
      <c r="P17" s="6"/>
      <c r="Q17" s="76"/>
      <c r="R17" s="4"/>
    </row>
    <row r="18" spans="1:18" ht="26.25" customHeight="1" x14ac:dyDescent="0.2">
      <c r="A18" s="24" t="s">
        <v>32</v>
      </c>
      <c r="B18" s="2" t="s">
        <v>19</v>
      </c>
      <c r="C18" s="47"/>
      <c r="D18" s="3">
        <f>ROUND(+'DUOS GST'!D18+'TUOS GST'!D18,3)</f>
        <v>0</v>
      </c>
      <c r="E18" s="27">
        <f>ROUND(+'DUOS GST'!E18+'TUOS GST'!E18,3)</f>
        <v>2.665</v>
      </c>
      <c r="F18" s="27">
        <f>ROUND(+'DUOS GST'!F18+'TUOS GST'!F18,3)</f>
        <v>2.2050000000000001</v>
      </c>
      <c r="G18" s="27">
        <f>ROUND(+'DUOS GST'!G18+'TUOS GST'!G18,3)</f>
        <v>0</v>
      </c>
      <c r="H18" s="27">
        <f>ROUND(+'DUOS GST'!H18+'TUOS GST'!H18,3)</f>
        <v>0</v>
      </c>
      <c r="I18" s="27">
        <f>ROUND(+'DUOS GST'!I18+'TUOS GST'!I18,3)</f>
        <v>0</v>
      </c>
      <c r="J18" s="27">
        <f>ROUND(+'DUOS GST'!J18+'TUOS GST'!J18,3)</f>
        <v>1.2250000000000001</v>
      </c>
      <c r="K18" s="27">
        <f>ROUND(+'DUOS GST'!K18+'TUOS GST'!K18,3)</f>
        <v>19.664999999999999</v>
      </c>
      <c r="L18" s="64">
        <f>ROUND(+'DUOS GST'!L18+'TUOS GST'!L18,3)</f>
        <v>28.72</v>
      </c>
      <c r="M18" s="27"/>
      <c r="N18" s="64"/>
      <c r="O18" s="5" t="s">
        <v>20</v>
      </c>
      <c r="P18" s="6" t="s">
        <v>21</v>
      </c>
      <c r="Q18" s="76">
        <v>150</v>
      </c>
      <c r="R18" s="4"/>
    </row>
    <row r="19" spans="1:18" ht="26.25" customHeight="1" x14ac:dyDescent="0.2">
      <c r="A19" s="24" t="s">
        <v>54</v>
      </c>
      <c r="B19" s="2" t="s">
        <v>55</v>
      </c>
      <c r="C19" s="47"/>
      <c r="D19" s="3">
        <f>ROUND(+'DUOS GST'!D19+'TUOS GST'!D19,3)</f>
        <v>0</v>
      </c>
      <c r="E19" s="27">
        <f>ROUND(+'DUOS GST'!E19+'TUOS GST'!E19,3)</f>
        <v>2.0350000000000001</v>
      </c>
      <c r="F19" s="27">
        <f>ROUND(+'DUOS GST'!F19+'TUOS GST'!F19,3)</f>
        <v>1.6639999999999999</v>
      </c>
      <c r="G19" s="27">
        <f>ROUND(+'DUOS GST'!G19+'TUOS GST'!G19,3)</f>
        <v>0</v>
      </c>
      <c r="H19" s="27">
        <f>ROUND(+'DUOS GST'!H19+'TUOS GST'!H19,3)</f>
        <v>0</v>
      </c>
      <c r="I19" s="27">
        <f>ROUND(+'DUOS GST'!I19+'TUOS GST'!I19,3)</f>
        <v>0</v>
      </c>
      <c r="J19" s="27">
        <f>ROUND(+'DUOS GST'!J19+'TUOS GST'!J19,3)</f>
        <v>1.0469999999999999</v>
      </c>
      <c r="K19" s="27">
        <f>ROUND(+'DUOS GST'!K19+'TUOS GST'!K19,3)</f>
        <v>17.777000000000001</v>
      </c>
      <c r="L19" s="64">
        <f>ROUND(+'DUOS GST'!L19+'TUOS GST'!L19,3)</f>
        <v>42.774000000000001</v>
      </c>
      <c r="M19" s="27"/>
      <c r="N19" s="64"/>
      <c r="O19" s="5"/>
      <c r="P19" s="6"/>
      <c r="Q19" s="76">
        <v>150</v>
      </c>
      <c r="R19" s="4"/>
    </row>
    <row r="20" spans="1:18" ht="26.25" customHeight="1" x14ac:dyDescent="0.2">
      <c r="A20" s="24" t="s">
        <v>33</v>
      </c>
      <c r="B20" s="2" t="s">
        <v>22</v>
      </c>
      <c r="C20" s="47"/>
      <c r="D20" s="3">
        <f>ROUND(+'DUOS GST'!D20+'TUOS GST'!D20,3)</f>
        <v>0</v>
      </c>
      <c r="E20" s="27">
        <f>ROUND(+'DUOS GST'!E20+'TUOS GST'!E20,3)</f>
        <v>1.726</v>
      </c>
      <c r="F20" s="27">
        <f>ROUND(+'DUOS GST'!F20+'TUOS GST'!F20,3)</f>
        <v>1.456</v>
      </c>
      <c r="G20" s="27">
        <f>ROUND(+'DUOS GST'!G20+'TUOS GST'!G20,3)</f>
        <v>0</v>
      </c>
      <c r="H20" s="27">
        <f>ROUND(+'DUOS GST'!H20+'TUOS GST'!H20,3)</f>
        <v>0</v>
      </c>
      <c r="I20" s="27">
        <f>ROUND(+'DUOS GST'!I20+'TUOS GST'!I20,3)</f>
        <v>0</v>
      </c>
      <c r="J20" s="27">
        <f>ROUND(+'DUOS GST'!J20+'TUOS GST'!J20,3)</f>
        <v>0.76500000000000001</v>
      </c>
      <c r="K20" s="27">
        <f>ROUND(+'DUOS GST'!K20+'TUOS GST'!K20,3)</f>
        <v>14.601000000000001</v>
      </c>
      <c r="L20" s="64">
        <f>ROUND(+'DUOS GST'!L20+'TUOS GST'!L20,3)</f>
        <v>18.228999999999999</v>
      </c>
      <c r="M20" s="27"/>
      <c r="N20" s="64"/>
      <c r="O20" s="5" t="s">
        <v>20</v>
      </c>
      <c r="P20" s="6" t="s">
        <v>21</v>
      </c>
      <c r="Q20" s="76">
        <v>1150</v>
      </c>
      <c r="R20" s="4"/>
    </row>
    <row r="21" spans="1:18" ht="26.25" customHeight="1" x14ac:dyDescent="0.2">
      <c r="A21" s="24" t="s">
        <v>60</v>
      </c>
      <c r="B21" s="2" t="s">
        <v>56</v>
      </c>
      <c r="C21" s="47"/>
      <c r="D21" s="3">
        <f>ROUND(+'DUOS GST'!D21+'TUOS GST'!D21,3)</f>
        <v>0</v>
      </c>
      <c r="E21" s="27">
        <f>ROUND(+'DUOS GST'!E21+'TUOS GST'!E21,3)</f>
        <v>1.397</v>
      </c>
      <c r="F21" s="27">
        <f>ROUND(+'DUOS GST'!F21+'TUOS GST'!F21,3)</f>
        <v>1.141</v>
      </c>
      <c r="G21" s="27">
        <f>ROUND(+'DUOS GST'!G21+'TUOS GST'!G21,3)</f>
        <v>0</v>
      </c>
      <c r="H21" s="27">
        <f>ROUND(+'DUOS GST'!H21+'TUOS GST'!H21,3)</f>
        <v>0</v>
      </c>
      <c r="I21" s="27">
        <f>ROUND(+'DUOS GST'!I21+'TUOS GST'!I21,3)</f>
        <v>0</v>
      </c>
      <c r="J21" s="27">
        <f>ROUND(+'DUOS GST'!J21+'TUOS GST'!J21,3)</f>
        <v>0.745</v>
      </c>
      <c r="K21" s="27">
        <f>ROUND(+'DUOS GST'!K21+'TUOS GST'!K21,3)</f>
        <v>13.574</v>
      </c>
      <c r="L21" s="64">
        <f>ROUND(+'DUOS GST'!L21+'TUOS GST'!L21,3)</f>
        <v>31.57</v>
      </c>
      <c r="M21" s="27"/>
      <c r="N21" s="64"/>
      <c r="O21" s="5"/>
      <c r="P21" s="6"/>
      <c r="Q21" s="76">
        <v>1150</v>
      </c>
      <c r="R21" s="4"/>
    </row>
    <row r="22" spans="1:18" ht="26.25" customHeight="1" x14ac:dyDescent="0.2">
      <c r="A22" s="24" t="s">
        <v>34</v>
      </c>
      <c r="B22" s="2" t="s">
        <v>57</v>
      </c>
      <c r="C22" s="47"/>
      <c r="D22" s="3">
        <f>ROUND(+'DUOS GST'!D22+'TUOS GST'!D22,3)</f>
        <v>0</v>
      </c>
      <c r="E22" s="27">
        <f>ROUND(+'DUOS GST'!E22+'TUOS GST'!E22,3)</f>
        <v>1.073</v>
      </c>
      <c r="F22" s="27">
        <f>ROUND(+'DUOS GST'!F22+'TUOS GST'!F22,3)</f>
        <v>0.85099999999999998</v>
      </c>
      <c r="G22" s="27">
        <f>ROUND(+'DUOS GST'!G22+'TUOS GST'!G22,3)</f>
        <v>0</v>
      </c>
      <c r="H22" s="27">
        <f>ROUND(+'DUOS GST'!H22+'TUOS GST'!H22,3)</f>
        <v>0</v>
      </c>
      <c r="I22" s="27">
        <f>ROUND(+'DUOS GST'!I22+'TUOS GST'!I22,3)</f>
        <v>0</v>
      </c>
      <c r="J22" s="27">
        <f>ROUND(+'DUOS GST'!J22+'TUOS GST'!J22,3)</f>
        <v>0.33900000000000002</v>
      </c>
      <c r="K22" s="27">
        <f>ROUND(+'DUOS GST'!K22+'TUOS GST'!K22,3)</f>
        <v>4.9249999999999998</v>
      </c>
      <c r="L22" s="64">
        <f>ROUND(+'DUOS GST'!L22+'TUOS GST'!L22,3)</f>
        <v>6.1959999999999997</v>
      </c>
      <c r="M22" s="27"/>
      <c r="N22" s="64"/>
      <c r="O22" s="5"/>
      <c r="P22" s="6"/>
      <c r="Q22" s="76">
        <v>11100</v>
      </c>
      <c r="R22" s="4"/>
    </row>
    <row r="23" spans="1:18" ht="26.25" customHeight="1" x14ac:dyDescent="0.2">
      <c r="A23" s="24" t="s">
        <v>44</v>
      </c>
      <c r="B23" s="2" t="s">
        <v>42</v>
      </c>
      <c r="C23" s="47" t="s">
        <v>69</v>
      </c>
      <c r="D23" s="3">
        <f>ROUND(+'DUOS GST'!D23+'TUOS GST'!D23,3)</f>
        <v>7.0860000000000003</v>
      </c>
      <c r="E23" s="27">
        <f>ROUND(+'DUOS GST'!E23+'TUOS GST'!E23,3)</f>
        <v>19.446000000000002</v>
      </c>
      <c r="F23" s="27">
        <f>ROUND(+'DUOS GST'!F23+'TUOS GST'!F23,3)</f>
        <v>12.087</v>
      </c>
      <c r="G23" s="27">
        <f>ROUND(+'DUOS GST'!G23+'TUOS GST'!G23,3)</f>
        <v>0</v>
      </c>
      <c r="H23" s="27">
        <f>ROUND(+'DUOS GST'!H23+'TUOS GST'!H23,3)</f>
        <v>6.8479999999999999</v>
      </c>
      <c r="I23" s="27">
        <f>ROUND(+'DUOS GST'!I23+'TUOS GST'!I23,3)</f>
        <v>5.3449999999999998</v>
      </c>
      <c r="J23" s="27">
        <f>ROUND(+'DUOS GST'!J23+'TUOS GST'!J23,3)</f>
        <v>3.2850000000000001</v>
      </c>
      <c r="K23" s="27">
        <f>ROUND(+'DUOS GST'!K23+'TUOS GST'!K23,3)</f>
        <v>0</v>
      </c>
      <c r="L23" s="64">
        <f>ROUND(+'DUOS GST'!L23+'TUOS GST'!L23,3)</f>
        <v>0</v>
      </c>
      <c r="M23" s="27"/>
      <c r="N23" s="64"/>
      <c r="O23" s="5" t="s">
        <v>79</v>
      </c>
      <c r="P23" s="6" t="s">
        <v>15</v>
      </c>
      <c r="Q23" s="76"/>
      <c r="R23" s="4"/>
    </row>
    <row r="24" spans="1:18" ht="26.25" customHeight="1" x14ac:dyDescent="0.2">
      <c r="A24" s="24" t="s">
        <v>45</v>
      </c>
      <c r="B24" s="2" t="s">
        <v>43</v>
      </c>
      <c r="C24" s="47" t="s">
        <v>69</v>
      </c>
      <c r="D24" s="3">
        <f>ROUND(+'DUOS GST'!D24+'TUOS GST'!D24,3)</f>
        <v>0</v>
      </c>
      <c r="E24" s="27">
        <f>ROUND(+'DUOS GST'!E24+'TUOS GST'!E24,3)</f>
        <v>11.846</v>
      </c>
      <c r="F24" s="27">
        <f>ROUND(+'DUOS GST'!F24+'TUOS GST'!F24,3)</f>
        <v>6.8339999999999996</v>
      </c>
      <c r="G24" s="27">
        <f>ROUND(+'DUOS GST'!G24+'TUOS GST'!G24,3)</f>
        <v>0</v>
      </c>
      <c r="H24" s="27">
        <f>ROUND(+'DUOS GST'!H24+'TUOS GST'!H24,3)</f>
        <v>0</v>
      </c>
      <c r="I24" s="27">
        <f>ROUND(+'DUOS GST'!I24+'TUOS GST'!I24,3)</f>
        <v>0</v>
      </c>
      <c r="J24" s="27">
        <f>ROUND(+'DUOS GST'!J24+'TUOS GST'!J24,3)</f>
        <v>2.7559999999999998</v>
      </c>
      <c r="K24" s="27">
        <f>ROUND(+'DUOS GST'!K24+'TUOS GST'!K24,3)</f>
        <v>0</v>
      </c>
      <c r="L24" s="64">
        <f>ROUND(+'DUOS GST'!L24+'TUOS GST'!L24,3)</f>
        <v>47.215000000000003</v>
      </c>
      <c r="M24" s="27"/>
      <c r="N24" s="64"/>
      <c r="O24" s="5" t="s">
        <v>79</v>
      </c>
      <c r="P24" s="6" t="s">
        <v>58</v>
      </c>
      <c r="Q24" s="76"/>
      <c r="R24" s="4"/>
    </row>
    <row r="25" spans="1:18" ht="26.25" customHeight="1" x14ac:dyDescent="0.2">
      <c r="A25" s="24" t="s">
        <v>71</v>
      </c>
      <c r="B25" s="2" t="s">
        <v>70</v>
      </c>
      <c r="C25" s="47" t="s">
        <v>78</v>
      </c>
      <c r="D25" s="3">
        <f>ROUND(+'DUOS GST'!D25+'TUOS GST'!D25,3)</f>
        <v>7.35</v>
      </c>
      <c r="E25" s="27">
        <f>ROUND(+'DUOS GST'!E25+'TUOS GST'!E25,3)</f>
        <v>24.303000000000001</v>
      </c>
      <c r="F25" s="27">
        <f>ROUND(+'DUOS GST'!F25+'TUOS GST'!F25,3)</f>
        <v>16.675000000000001</v>
      </c>
      <c r="G25" s="27">
        <f>ROUND(+'DUOS GST'!G25+'TUOS GST'!G25,3)</f>
        <v>0</v>
      </c>
      <c r="H25" s="27">
        <f>ROUND(+'DUOS GST'!H25+'TUOS GST'!H25,3)</f>
        <v>10.692</v>
      </c>
      <c r="I25" s="27">
        <f>ROUND(+'DUOS GST'!I25+'TUOS GST'!I25,3)</f>
        <v>9.2859999999999996</v>
      </c>
      <c r="J25" s="27">
        <f>ROUND(+'DUOS GST'!J25+'TUOS GST'!J25,3)</f>
        <v>4.55</v>
      </c>
      <c r="K25" s="27">
        <f>ROUND(+'DUOS GST'!K25+'TUOS GST'!K25,3)</f>
        <v>0</v>
      </c>
      <c r="L25" s="64">
        <f>ROUND(+'DUOS GST'!L25+'TUOS GST'!L25,3)</f>
        <v>0</v>
      </c>
      <c r="M25" s="27"/>
      <c r="N25" s="64"/>
      <c r="O25" s="5" t="s">
        <v>79</v>
      </c>
      <c r="P25" s="6" t="s">
        <v>15</v>
      </c>
      <c r="Q25" s="76"/>
      <c r="R25" s="4"/>
    </row>
    <row r="26" spans="1:18" ht="26.25" customHeight="1" x14ac:dyDescent="0.2">
      <c r="A26" s="57" t="s">
        <v>76</v>
      </c>
      <c r="B26" s="58" t="s">
        <v>77</v>
      </c>
      <c r="C26" s="59" t="s">
        <v>69</v>
      </c>
      <c r="D26" s="71">
        <f>ROUND(+'DUOS GST'!D26+'TUOS GST'!D26,3)</f>
        <v>7.35</v>
      </c>
      <c r="E26" s="60">
        <f>ROUND(+'DUOS GST'!E26+'TUOS GST'!E26,3)</f>
        <v>21.853000000000002</v>
      </c>
      <c r="F26" s="60">
        <f>ROUND(+'DUOS GST'!F26+'TUOS GST'!F26,3)</f>
        <v>14.092000000000001</v>
      </c>
      <c r="G26" s="60">
        <f>ROUND(+'DUOS GST'!G26+'TUOS GST'!G26,3)</f>
        <v>0</v>
      </c>
      <c r="H26" s="60">
        <f>ROUND(+'DUOS GST'!H26+'TUOS GST'!H26,3)</f>
        <v>6.9180000000000001</v>
      </c>
      <c r="I26" s="60">
        <f>ROUND(+'DUOS GST'!I26+'TUOS GST'!I26,3)</f>
        <v>6.665</v>
      </c>
      <c r="J26" s="60">
        <f>ROUND(+'DUOS GST'!J26+'TUOS GST'!J26,3)</f>
        <v>4.0389999999999997</v>
      </c>
      <c r="K26" s="60">
        <f>ROUND(+'DUOS GST'!K26+'TUOS GST'!K26,3)</f>
        <v>0</v>
      </c>
      <c r="L26" s="65">
        <f>ROUND(+'DUOS GST'!L26+'TUOS GST'!L26,3)</f>
        <v>0</v>
      </c>
      <c r="M26" s="60"/>
      <c r="N26" s="65"/>
      <c r="O26" s="90" t="s">
        <v>12</v>
      </c>
      <c r="P26" s="91"/>
      <c r="Q26" s="61"/>
      <c r="R26" s="72"/>
    </row>
    <row r="27" spans="1:18" ht="25.5" customHeight="1" thickBot="1" x14ac:dyDescent="0.25">
      <c r="A27" s="73" t="s">
        <v>104</v>
      </c>
      <c r="B27" s="74" t="s">
        <v>98</v>
      </c>
      <c r="C27" s="59" t="s">
        <v>69</v>
      </c>
      <c r="D27" s="60">
        <f>ROUND(+'DUOS GST'!D27+'TUOS GST'!D27,3)</f>
        <v>0</v>
      </c>
      <c r="E27" s="60">
        <f>ROUND(+'DUOS GST'!E27+'TUOS GST'!E27,3)</f>
        <v>4.4000000000000004</v>
      </c>
      <c r="F27" s="60">
        <f>ROUND(+'DUOS GST'!F27+'TUOS GST'!F27,3)</f>
        <v>4.4000000000000004</v>
      </c>
      <c r="G27" s="60">
        <f>ROUND(+'DUOS GST'!G27+'TUOS GST'!G27,3)</f>
        <v>0</v>
      </c>
      <c r="H27" s="60">
        <f>ROUND(+'DUOS GST'!H27+'TUOS GST'!H27,3)</f>
        <v>2.75</v>
      </c>
      <c r="I27" s="60">
        <f>ROUND(+'DUOS GST'!I27+'TUOS GST'!I27,3)</f>
        <v>2.75</v>
      </c>
      <c r="J27" s="60">
        <f>ROUND(+'DUOS GST'!J27+'TUOS GST'!J27,3)</f>
        <v>2.75</v>
      </c>
      <c r="K27" s="60">
        <f>ROUND(+'DUOS GST'!K27+'TUOS GST'!K27,3)</f>
        <v>0</v>
      </c>
      <c r="L27" s="60">
        <f>ROUND(+'DUOS GST'!L27+'TUOS GST'!L27,3)</f>
        <v>0</v>
      </c>
      <c r="M27" s="78">
        <f>ROUND(+'DUOS GST'!M27+'TUOS GST'!M27,3)</f>
        <v>33.463999999999999</v>
      </c>
      <c r="N27" s="78">
        <f>ROUND(+'DUOS GST'!N27+'TUOS GST'!N27,3)</f>
        <v>17.873000000000001</v>
      </c>
      <c r="O27" s="99" t="s">
        <v>12</v>
      </c>
      <c r="P27" s="100"/>
      <c r="Q27" s="80">
        <v>1.5</v>
      </c>
      <c r="R27" s="81">
        <v>1.5</v>
      </c>
    </row>
    <row r="28" spans="1:18" x14ac:dyDescent="0.2">
      <c r="A28" s="29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62"/>
    </row>
    <row r="29" spans="1:18" x14ac:dyDescent="0.2">
      <c r="A29" s="8" t="s">
        <v>72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x14ac:dyDescent="0.2">
      <c r="A30" s="8" t="s">
        <v>105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x14ac:dyDescent="0.2">
      <c r="A31" s="8" t="s">
        <v>99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x14ac:dyDescent="0.2">
      <c r="A32" s="8" t="s">
        <v>100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x14ac:dyDescent="0.2">
      <c r="A33" s="43" t="s">
        <v>74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</row>
    <row r="34" spans="1:18" ht="13.5" thickBot="1" x14ac:dyDescent="0.25">
      <c r="A34" s="33" t="s">
        <v>75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5"/>
    </row>
    <row r="35" spans="1:18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8" x14ac:dyDescent="0.2">
      <c r="M37" s="48"/>
      <c r="N37" s="48"/>
    </row>
    <row r="38" spans="1:18" x14ac:dyDescent="0.2">
      <c r="M38" s="48"/>
      <c r="N38" s="48"/>
    </row>
    <row r="39" spans="1:18" x14ac:dyDescent="0.2">
      <c r="M39" s="48"/>
      <c r="N39" s="48"/>
    </row>
    <row r="40" spans="1:18" x14ac:dyDescent="0.2">
      <c r="M40" s="48"/>
      <c r="N40" s="48"/>
    </row>
    <row r="41" spans="1:18" x14ac:dyDescent="0.2">
      <c r="M41" s="48"/>
      <c r="N41" s="48"/>
    </row>
    <row r="42" spans="1:18" x14ac:dyDescent="0.2">
      <c r="M42" s="48"/>
      <c r="N42" s="48"/>
    </row>
    <row r="43" spans="1:18" x14ac:dyDescent="0.2">
      <c r="M43" s="48"/>
      <c r="N43" s="48"/>
    </row>
    <row r="44" spans="1:18" x14ac:dyDescent="0.2">
      <c r="M44" s="48"/>
      <c r="N44" s="48"/>
    </row>
    <row r="45" spans="1:18" x14ac:dyDescent="0.2">
      <c r="M45" s="48"/>
      <c r="N45" s="48"/>
    </row>
    <row r="46" spans="1:18" x14ac:dyDescent="0.2">
      <c r="M46" s="48"/>
      <c r="N46" s="48"/>
    </row>
    <row r="47" spans="1:18" x14ac:dyDescent="0.2">
      <c r="M47" s="48"/>
      <c r="N47" s="48"/>
    </row>
    <row r="48" spans="1:18" x14ac:dyDescent="0.2">
      <c r="M48" s="48"/>
      <c r="N48" s="48"/>
    </row>
    <row r="49" spans="13:14" x14ac:dyDescent="0.2">
      <c r="M49" s="48"/>
      <c r="N49" s="48"/>
    </row>
    <row r="50" spans="13:14" x14ac:dyDescent="0.2">
      <c r="M50" s="48"/>
      <c r="N50" s="48"/>
    </row>
    <row r="51" spans="13:14" x14ac:dyDescent="0.2">
      <c r="M51" s="48"/>
      <c r="N51" s="48"/>
    </row>
    <row r="52" spans="13:14" x14ac:dyDescent="0.2">
      <c r="M52" s="48"/>
      <c r="N52" s="48"/>
    </row>
    <row r="53" spans="13:14" x14ac:dyDescent="0.2">
      <c r="M53" s="48"/>
      <c r="N53" s="48"/>
    </row>
    <row r="54" spans="13:14" x14ac:dyDescent="0.2">
      <c r="M54" s="48"/>
      <c r="N54" s="48"/>
    </row>
    <row r="55" spans="13:14" x14ac:dyDescent="0.2">
      <c r="M55" s="48"/>
      <c r="N55" s="48"/>
    </row>
    <row r="56" spans="13:14" x14ac:dyDescent="0.2">
      <c r="M56" s="48"/>
      <c r="N56" s="48"/>
    </row>
    <row r="57" spans="13:14" x14ac:dyDescent="0.2">
      <c r="M57" s="48"/>
      <c r="N57" s="48"/>
    </row>
    <row r="58" spans="13:14" x14ac:dyDescent="0.2">
      <c r="M58" s="48"/>
      <c r="N58" s="48"/>
    </row>
    <row r="59" spans="13:14" x14ac:dyDescent="0.2">
      <c r="M59" s="48"/>
      <c r="N59" s="48"/>
    </row>
    <row r="60" spans="13:14" x14ac:dyDescent="0.2">
      <c r="M60" s="48"/>
      <c r="N60" s="48"/>
    </row>
  </sheetData>
  <mergeCells count="5">
    <mergeCell ref="O26:P26"/>
    <mergeCell ref="A1:Q1"/>
    <mergeCell ref="O3:P3"/>
    <mergeCell ref="D3:N3"/>
    <mergeCell ref="O27:P27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0"/>
  <sheetViews>
    <sheetView topLeftCell="A13" workbookViewId="0">
      <selection activeCell="I8" sqref="I8"/>
    </sheetView>
  </sheetViews>
  <sheetFormatPr defaultRowHeight="12.75" x14ac:dyDescent="0.2"/>
  <cols>
    <col min="1" max="1" width="30.28515625" customWidth="1"/>
    <col min="2" max="2" width="29.140625" customWidth="1"/>
    <col min="3" max="3" width="27.7109375" customWidth="1"/>
    <col min="4" max="4" width="8.85546875" customWidth="1"/>
  </cols>
  <sheetData>
    <row r="1" spans="1:3" s="1" customFormat="1" ht="18.75" thickBot="1" x14ac:dyDescent="0.3">
      <c r="A1" s="101" t="s">
        <v>89</v>
      </c>
      <c r="B1" s="102"/>
      <c r="C1" s="102"/>
    </row>
    <row r="2" spans="1:3" s="23" customFormat="1" ht="92.25" customHeight="1" thickBot="1" x14ac:dyDescent="0.25">
      <c r="A2" s="36" t="s">
        <v>66</v>
      </c>
      <c r="B2" s="36" t="s">
        <v>67</v>
      </c>
      <c r="C2" s="19" t="s">
        <v>81</v>
      </c>
    </row>
    <row r="3" spans="1:3" ht="25.5" customHeight="1" x14ac:dyDescent="0.2">
      <c r="A3" s="28" t="s">
        <v>61</v>
      </c>
      <c r="B3" s="29" t="s">
        <v>64</v>
      </c>
      <c r="C3" s="82">
        <f>+ROUND('PFIT TFIT ex GST'!C3*1.1,3)</f>
        <v>7.9219999999999997</v>
      </c>
    </row>
    <row r="4" spans="1:3" ht="25.5" customHeight="1" x14ac:dyDescent="0.2">
      <c r="A4" s="24" t="s">
        <v>26</v>
      </c>
      <c r="B4" s="2" t="s">
        <v>13</v>
      </c>
      <c r="C4" s="83">
        <f>+ROUND('PFIT TFIT ex GST'!C4*1.1,3)</f>
        <v>7.9219999999999997</v>
      </c>
    </row>
    <row r="5" spans="1:3" ht="25.5" customHeight="1" x14ac:dyDescent="0.2">
      <c r="A5" s="24" t="s">
        <v>48</v>
      </c>
      <c r="B5" s="2" t="s">
        <v>49</v>
      </c>
      <c r="C5" s="83"/>
    </row>
    <row r="6" spans="1:3" ht="25.5" customHeight="1" x14ac:dyDescent="0.2">
      <c r="A6" s="24" t="s">
        <v>27</v>
      </c>
      <c r="B6" s="2" t="s">
        <v>14</v>
      </c>
      <c r="C6" s="83"/>
    </row>
    <row r="7" spans="1:3" ht="25.5" customHeight="1" x14ac:dyDescent="0.2">
      <c r="A7" s="24" t="s">
        <v>50</v>
      </c>
      <c r="B7" s="2" t="s">
        <v>51</v>
      </c>
      <c r="C7" s="84">
        <f>+ROUND('PFIT TFIT ex GST'!C7*1.1,3)</f>
        <v>7.9219999999999997</v>
      </c>
    </row>
    <row r="8" spans="1:3" ht="25.5" customHeight="1" x14ac:dyDescent="0.2">
      <c r="A8" s="24" t="s">
        <v>52</v>
      </c>
      <c r="B8" s="2" t="s">
        <v>53</v>
      </c>
      <c r="C8" s="83">
        <f>+ROUND('PFIT TFIT ex GST'!C8*1.1,3)</f>
        <v>7.9219999999999997</v>
      </c>
    </row>
    <row r="9" spans="1:3" ht="25.5" customHeight="1" x14ac:dyDescent="0.2">
      <c r="A9" s="24" t="s">
        <v>63</v>
      </c>
      <c r="B9" s="2" t="s">
        <v>65</v>
      </c>
      <c r="C9" s="83">
        <f>+ROUND('PFIT TFIT ex GST'!C9*1.1,3)</f>
        <v>7.9219999999999997</v>
      </c>
    </row>
    <row r="10" spans="1:3" ht="25.5" customHeight="1" x14ac:dyDescent="0.2">
      <c r="A10" s="24" t="s">
        <v>28</v>
      </c>
      <c r="B10" s="2" t="s">
        <v>40</v>
      </c>
      <c r="C10" s="83">
        <f>+ROUND('PFIT TFIT ex GST'!C10*1.1,3)</f>
        <v>7.9219999999999997</v>
      </c>
    </row>
    <row r="11" spans="1:3" ht="25.5" customHeight="1" x14ac:dyDescent="0.2">
      <c r="A11" s="24" t="s">
        <v>29</v>
      </c>
      <c r="B11" s="2" t="s">
        <v>41</v>
      </c>
      <c r="C11" s="83">
        <f>+ROUND('PFIT TFIT ex GST'!C11*1.1,3)</f>
        <v>7.9219999999999997</v>
      </c>
    </row>
    <row r="12" spans="1:3" ht="25.5" customHeight="1" x14ac:dyDescent="0.2">
      <c r="A12" s="24" t="s">
        <v>39</v>
      </c>
      <c r="B12" s="2" t="s">
        <v>38</v>
      </c>
      <c r="C12" s="83">
        <f>+ROUND('PFIT TFIT ex GST'!C12*1.1,3)</f>
        <v>7.9219999999999997</v>
      </c>
    </row>
    <row r="13" spans="1:3" ht="25.5" customHeight="1" x14ac:dyDescent="0.2">
      <c r="A13" s="24" t="s">
        <v>16</v>
      </c>
      <c r="B13" s="2" t="s">
        <v>59</v>
      </c>
      <c r="C13" s="83">
        <f>+ROUND('PFIT TFIT ex GST'!C13*1.1,3)</f>
        <v>7.9219999999999997</v>
      </c>
    </row>
    <row r="14" spans="1:3" ht="25.5" customHeight="1" x14ac:dyDescent="0.2">
      <c r="A14" s="24" t="s">
        <v>30</v>
      </c>
      <c r="B14" s="2" t="s">
        <v>17</v>
      </c>
      <c r="C14" s="83">
        <f>+ROUND('PFIT TFIT ex GST'!C14*1.1,3)</f>
        <v>7.9219999999999997</v>
      </c>
    </row>
    <row r="15" spans="1:3" ht="25.5" customHeight="1" x14ac:dyDescent="0.2">
      <c r="A15" s="24" t="s">
        <v>31</v>
      </c>
      <c r="B15" s="2" t="s">
        <v>18</v>
      </c>
      <c r="C15" s="83">
        <f>+ROUND('PFIT TFIT ex GST'!C15*1.1,3)</f>
        <v>7.9219999999999997</v>
      </c>
    </row>
    <row r="16" spans="1:3" ht="25.5" customHeight="1" x14ac:dyDescent="0.2">
      <c r="A16" s="24" t="s">
        <v>32</v>
      </c>
      <c r="B16" s="2" t="s">
        <v>19</v>
      </c>
      <c r="C16" s="83">
        <f>+ROUND('PFIT TFIT ex GST'!C16*1.1,3)</f>
        <v>7.9219999999999997</v>
      </c>
    </row>
    <row r="17" spans="1:3" ht="25.5" customHeight="1" x14ac:dyDescent="0.2">
      <c r="A17" s="24" t="s">
        <v>54</v>
      </c>
      <c r="B17" s="2" t="s">
        <v>55</v>
      </c>
      <c r="C17" s="83">
        <f>+ROUND('PFIT TFIT ex GST'!C17*1.1,3)</f>
        <v>7.9219999999999997</v>
      </c>
    </row>
    <row r="18" spans="1:3" ht="25.5" customHeight="1" x14ac:dyDescent="0.2">
      <c r="A18" s="24" t="s">
        <v>33</v>
      </c>
      <c r="B18" s="2" t="s">
        <v>22</v>
      </c>
      <c r="C18" s="83">
        <f>+ROUND('PFIT TFIT ex GST'!C18*1.1,3)</f>
        <v>7.9219999999999997</v>
      </c>
    </row>
    <row r="19" spans="1:3" ht="25.5" customHeight="1" x14ac:dyDescent="0.2">
      <c r="A19" s="24" t="s">
        <v>60</v>
      </c>
      <c r="B19" s="2" t="s">
        <v>56</v>
      </c>
      <c r="C19" s="83">
        <f>+ROUND('PFIT TFIT ex GST'!C19*1.1,3)</f>
        <v>7.9219999999999997</v>
      </c>
    </row>
    <row r="20" spans="1:3" ht="25.5" customHeight="1" x14ac:dyDescent="0.2">
      <c r="A20" s="24" t="s">
        <v>34</v>
      </c>
      <c r="B20" s="2" t="s">
        <v>57</v>
      </c>
      <c r="C20" s="83">
        <f>+ROUND('PFIT TFIT ex GST'!C20*1.1,3)</f>
        <v>7.9219999999999997</v>
      </c>
    </row>
    <row r="21" spans="1:3" ht="25.5" customHeight="1" x14ac:dyDescent="0.2">
      <c r="A21" s="24" t="s">
        <v>44</v>
      </c>
      <c r="B21" s="2" t="s">
        <v>42</v>
      </c>
      <c r="C21" s="83">
        <f>+ROUND('PFIT TFIT ex GST'!C21*1.1,3)</f>
        <v>7.9219999999999997</v>
      </c>
    </row>
    <row r="22" spans="1:3" ht="25.5" customHeight="1" x14ac:dyDescent="0.2">
      <c r="A22" s="24" t="s">
        <v>45</v>
      </c>
      <c r="B22" s="2" t="s">
        <v>43</v>
      </c>
      <c r="C22" s="83">
        <f>+ROUND('PFIT TFIT ex GST'!C22*1.1,3)</f>
        <v>7.9219999999999997</v>
      </c>
    </row>
    <row r="23" spans="1:3" ht="25.5" customHeight="1" x14ac:dyDescent="0.2">
      <c r="A23" s="24" t="s">
        <v>71</v>
      </c>
      <c r="B23" s="2" t="s">
        <v>70</v>
      </c>
      <c r="C23" s="83">
        <f>+ROUND('PFIT TFIT ex GST'!C23*1.1,3)</f>
        <v>7.9219999999999997</v>
      </c>
    </row>
    <row r="24" spans="1:3" ht="25.5" customHeight="1" x14ac:dyDescent="0.2">
      <c r="A24" s="24" t="s">
        <v>76</v>
      </c>
      <c r="B24" s="2" t="s">
        <v>77</v>
      </c>
      <c r="C24" s="83">
        <f t="shared" ref="C24:C25" si="0">+$C$3</f>
        <v>7.9219999999999997</v>
      </c>
    </row>
    <row r="25" spans="1:3" ht="25.5" customHeight="1" thickBot="1" x14ac:dyDescent="0.25">
      <c r="A25" s="85" t="s">
        <v>97</v>
      </c>
      <c r="B25" s="86" t="s">
        <v>98</v>
      </c>
      <c r="C25" s="89">
        <f t="shared" si="0"/>
        <v>7.9219999999999997</v>
      </c>
    </row>
    <row r="26" spans="1:3" x14ac:dyDescent="0.2">
      <c r="A26" s="37"/>
      <c r="B26" s="38"/>
      <c r="C26" s="39"/>
    </row>
    <row r="27" spans="1:3" x14ac:dyDescent="0.2">
      <c r="A27" s="8" t="s">
        <v>72</v>
      </c>
      <c r="B27" s="40"/>
      <c r="C27" s="41"/>
    </row>
    <row r="28" spans="1:3" x14ac:dyDescent="0.2">
      <c r="A28" s="8"/>
      <c r="B28" s="40"/>
      <c r="C28" s="41"/>
    </row>
    <row r="29" spans="1:3" x14ac:dyDescent="0.2">
      <c r="A29" s="8"/>
      <c r="B29" s="40"/>
      <c r="C29" s="41"/>
    </row>
    <row r="30" spans="1:3" x14ac:dyDescent="0.2">
      <c r="A30" s="103"/>
      <c r="B30" s="104"/>
      <c r="C30" s="105"/>
    </row>
    <row r="31" spans="1:3" ht="13.5" thickBot="1" x14ac:dyDescent="0.25">
      <c r="A31" s="106"/>
      <c r="B31" s="107"/>
      <c r="C31" s="108"/>
    </row>
    <row r="32" spans="1:3" x14ac:dyDescent="0.2">
      <c r="C32" s="9"/>
    </row>
    <row r="33" spans="3:3" x14ac:dyDescent="0.2">
      <c r="C33" s="12"/>
    </row>
    <row r="34" spans="3:3" x14ac:dyDescent="0.2">
      <c r="C34" s="9"/>
    </row>
    <row r="35" spans="3:3" x14ac:dyDescent="0.2">
      <c r="C35" s="9"/>
    </row>
    <row r="36" spans="3:3" x14ac:dyDescent="0.2">
      <c r="C36" s="9"/>
    </row>
    <row r="37" spans="3:3" x14ac:dyDescent="0.2">
      <c r="C37" s="9"/>
    </row>
    <row r="38" spans="3:3" x14ac:dyDescent="0.2">
      <c r="C38" s="9"/>
    </row>
    <row r="39" spans="3:3" x14ac:dyDescent="0.2">
      <c r="C39" s="9"/>
    </row>
    <row r="40" spans="3:3" x14ac:dyDescent="0.2">
      <c r="C40" s="9"/>
    </row>
  </sheetData>
  <mergeCells count="3">
    <mergeCell ref="A1:C1"/>
    <mergeCell ref="A30:C30"/>
    <mergeCell ref="A31:C31"/>
  </mergeCells>
  <phoneticPr fontId="9" type="noConversion"/>
  <pageMargins left="0.74803149606299213" right="0.74803149606299213" top="0.98425196850393704" bottom="0.98425196850393704" header="0.51181102362204722" footer="0.51181102362204722"/>
  <pageSetup paperSize="9" scale="92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29" sqref="F29"/>
    </sheetView>
  </sheetViews>
  <sheetFormatPr defaultRowHeight="12.75" x14ac:dyDescent="0.2"/>
  <cols>
    <col min="1" max="1" width="61.140625" customWidth="1"/>
    <col min="2" max="2" width="19.28515625" customWidth="1"/>
  </cols>
  <sheetData>
    <row r="1" spans="1:2" ht="18" x14ac:dyDescent="0.25">
      <c r="A1" s="16" t="s">
        <v>90</v>
      </c>
    </row>
    <row r="2" spans="1:2" ht="15.75" x14ac:dyDescent="0.25">
      <c r="A2" s="13"/>
    </row>
    <row r="3" spans="1:2" x14ac:dyDescent="0.2">
      <c r="A3" s="17" t="s">
        <v>23</v>
      </c>
      <c r="B3" s="18" t="s">
        <v>24</v>
      </c>
    </row>
    <row r="4" spans="1:2" x14ac:dyDescent="0.2">
      <c r="A4" s="31" t="s">
        <v>25</v>
      </c>
      <c r="B4" s="32">
        <f>ROUND(+'Prescribed Ex GST'!B5*1.1,3)</f>
        <v>1.3839999999999999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E17" sqref="E17"/>
    </sheetView>
  </sheetViews>
  <sheetFormatPr defaultRowHeight="12.75" x14ac:dyDescent="0.2"/>
  <cols>
    <col min="1" max="1" width="30.28515625" customWidth="1"/>
    <col min="2" max="3" width="29.140625" customWidth="1"/>
    <col min="4" max="4" width="8.85546875" customWidth="1"/>
  </cols>
  <sheetData>
    <row r="1" spans="1:3" s="1" customFormat="1" ht="18.75" thickBot="1" x14ac:dyDescent="0.3">
      <c r="A1" s="101" t="s">
        <v>91</v>
      </c>
      <c r="B1" s="102"/>
      <c r="C1" s="102"/>
    </row>
    <row r="2" spans="1:3" s="23" customFormat="1" ht="64.5" customHeight="1" thickBot="1" x14ac:dyDescent="0.25">
      <c r="A2" s="36" t="s">
        <v>66</v>
      </c>
      <c r="B2" s="36" t="s">
        <v>67</v>
      </c>
      <c r="C2" s="19" t="s">
        <v>82</v>
      </c>
    </row>
    <row r="3" spans="1:3" ht="25.5" customHeight="1" x14ac:dyDescent="0.2">
      <c r="A3" s="28" t="s">
        <v>61</v>
      </c>
      <c r="B3" s="29" t="s">
        <v>64</v>
      </c>
      <c r="C3" s="88">
        <v>-3.8075965071936675E-2</v>
      </c>
    </row>
    <row r="4" spans="1:3" ht="25.5" customHeight="1" x14ac:dyDescent="0.2">
      <c r="A4" s="24" t="s">
        <v>26</v>
      </c>
      <c r="B4" s="2" t="s">
        <v>13</v>
      </c>
      <c r="C4" s="83">
        <f>C3</f>
        <v>-3.8075965071936675E-2</v>
      </c>
    </row>
    <row r="5" spans="1:3" ht="25.5" customHeight="1" x14ac:dyDescent="0.2">
      <c r="A5" s="24" t="s">
        <v>48</v>
      </c>
      <c r="B5" s="2" t="s">
        <v>49</v>
      </c>
      <c r="C5" s="83"/>
    </row>
    <row r="6" spans="1:3" ht="25.5" customHeight="1" x14ac:dyDescent="0.2">
      <c r="A6" s="24" t="s">
        <v>27</v>
      </c>
      <c r="B6" s="2" t="s">
        <v>14</v>
      </c>
      <c r="C6" s="83"/>
    </row>
    <row r="7" spans="1:3" ht="25.5" customHeight="1" x14ac:dyDescent="0.2">
      <c r="A7" s="24" t="s">
        <v>50</v>
      </c>
      <c r="B7" s="2" t="s">
        <v>51</v>
      </c>
      <c r="C7" s="84">
        <f>$C$3</f>
        <v>-3.8075965071936675E-2</v>
      </c>
    </row>
    <row r="8" spans="1:3" ht="25.5" customHeight="1" x14ac:dyDescent="0.2">
      <c r="A8" s="24" t="s">
        <v>52</v>
      </c>
      <c r="B8" s="2" t="s">
        <v>53</v>
      </c>
      <c r="C8" s="84">
        <f t="shared" ref="C8:C25" si="0">$C$3</f>
        <v>-3.8075965071936675E-2</v>
      </c>
    </row>
    <row r="9" spans="1:3" ht="25.5" customHeight="1" x14ac:dyDescent="0.2">
      <c r="A9" s="24" t="s">
        <v>63</v>
      </c>
      <c r="B9" s="2" t="s">
        <v>65</v>
      </c>
      <c r="C9" s="84">
        <f t="shared" si="0"/>
        <v>-3.8075965071936675E-2</v>
      </c>
    </row>
    <row r="10" spans="1:3" ht="25.5" customHeight="1" x14ac:dyDescent="0.2">
      <c r="A10" s="24" t="s">
        <v>28</v>
      </c>
      <c r="B10" s="2" t="s">
        <v>40</v>
      </c>
      <c r="C10" s="84">
        <f t="shared" si="0"/>
        <v>-3.8075965071936675E-2</v>
      </c>
    </row>
    <row r="11" spans="1:3" ht="25.5" customHeight="1" x14ac:dyDescent="0.2">
      <c r="A11" s="24" t="s">
        <v>29</v>
      </c>
      <c r="B11" s="2" t="s">
        <v>41</v>
      </c>
      <c r="C11" s="84">
        <f t="shared" si="0"/>
        <v>-3.8075965071936675E-2</v>
      </c>
    </row>
    <row r="12" spans="1:3" ht="25.5" customHeight="1" x14ac:dyDescent="0.2">
      <c r="A12" s="24" t="s">
        <v>39</v>
      </c>
      <c r="B12" s="2" t="s">
        <v>38</v>
      </c>
      <c r="C12" s="84">
        <f t="shared" si="0"/>
        <v>-3.8075965071936675E-2</v>
      </c>
    </row>
    <row r="13" spans="1:3" ht="25.5" customHeight="1" x14ac:dyDescent="0.2">
      <c r="A13" s="24" t="s">
        <v>16</v>
      </c>
      <c r="B13" s="2" t="s">
        <v>59</v>
      </c>
      <c r="C13" s="84">
        <f t="shared" si="0"/>
        <v>-3.8075965071936675E-2</v>
      </c>
    </row>
    <row r="14" spans="1:3" ht="25.5" customHeight="1" x14ac:dyDescent="0.2">
      <c r="A14" s="24" t="s">
        <v>30</v>
      </c>
      <c r="B14" s="2" t="s">
        <v>17</v>
      </c>
      <c r="C14" s="84">
        <f t="shared" si="0"/>
        <v>-3.8075965071936675E-2</v>
      </c>
    </row>
    <row r="15" spans="1:3" ht="25.5" customHeight="1" x14ac:dyDescent="0.2">
      <c r="A15" s="24" t="s">
        <v>31</v>
      </c>
      <c r="B15" s="2" t="s">
        <v>18</v>
      </c>
      <c r="C15" s="84">
        <f t="shared" si="0"/>
        <v>-3.8075965071936675E-2</v>
      </c>
    </row>
    <row r="16" spans="1:3" ht="25.5" customHeight="1" x14ac:dyDescent="0.2">
      <c r="A16" s="24" t="s">
        <v>32</v>
      </c>
      <c r="B16" s="2" t="s">
        <v>19</v>
      </c>
      <c r="C16" s="84">
        <f t="shared" si="0"/>
        <v>-3.8075965071936675E-2</v>
      </c>
    </row>
    <row r="17" spans="1:3" ht="25.5" customHeight="1" x14ac:dyDescent="0.2">
      <c r="A17" s="24" t="s">
        <v>54</v>
      </c>
      <c r="B17" s="2" t="s">
        <v>55</v>
      </c>
      <c r="C17" s="84">
        <f t="shared" si="0"/>
        <v>-3.8075965071936675E-2</v>
      </c>
    </row>
    <row r="18" spans="1:3" ht="25.5" customHeight="1" x14ac:dyDescent="0.2">
      <c r="A18" s="24" t="s">
        <v>33</v>
      </c>
      <c r="B18" s="2" t="s">
        <v>22</v>
      </c>
      <c r="C18" s="84">
        <f t="shared" si="0"/>
        <v>-3.8075965071936675E-2</v>
      </c>
    </row>
    <row r="19" spans="1:3" ht="25.5" customHeight="1" x14ac:dyDescent="0.2">
      <c r="A19" s="24" t="s">
        <v>60</v>
      </c>
      <c r="B19" s="2" t="s">
        <v>56</v>
      </c>
      <c r="C19" s="84">
        <f t="shared" si="0"/>
        <v>-3.8075965071936675E-2</v>
      </c>
    </row>
    <row r="20" spans="1:3" ht="25.5" customHeight="1" x14ac:dyDescent="0.2">
      <c r="A20" s="24" t="s">
        <v>34</v>
      </c>
      <c r="B20" s="2" t="s">
        <v>57</v>
      </c>
      <c r="C20" s="84">
        <f t="shared" si="0"/>
        <v>-3.8075965071936675E-2</v>
      </c>
    </row>
    <row r="21" spans="1:3" ht="25.5" customHeight="1" x14ac:dyDescent="0.2">
      <c r="A21" s="24" t="s">
        <v>44</v>
      </c>
      <c r="B21" s="2" t="s">
        <v>42</v>
      </c>
      <c r="C21" s="84">
        <f t="shared" si="0"/>
        <v>-3.8075965071936675E-2</v>
      </c>
    </row>
    <row r="22" spans="1:3" ht="25.5" customHeight="1" x14ac:dyDescent="0.2">
      <c r="A22" s="24" t="s">
        <v>45</v>
      </c>
      <c r="B22" s="2" t="s">
        <v>43</v>
      </c>
      <c r="C22" s="84">
        <f t="shared" si="0"/>
        <v>-3.8075965071936675E-2</v>
      </c>
    </row>
    <row r="23" spans="1:3" ht="25.5" customHeight="1" x14ac:dyDescent="0.2">
      <c r="A23" s="24" t="s">
        <v>71</v>
      </c>
      <c r="B23" s="2" t="s">
        <v>70</v>
      </c>
      <c r="C23" s="84">
        <f t="shared" si="0"/>
        <v>-3.8075965071936675E-2</v>
      </c>
    </row>
    <row r="24" spans="1:3" ht="25.5" customHeight="1" x14ac:dyDescent="0.2">
      <c r="A24" s="24" t="s">
        <v>76</v>
      </c>
      <c r="B24" s="2" t="s">
        <v>77</v>
      </c>
      <c r="C24" s="84">
        <f t="shared" si="0"/>
        <v>-3.8075965071936675E-2</v>
      </c>
    </row>
    <row r="25" spans="1:3" ht="25.5" customHeight="1" thickBot="1" x14ac:dyDescent="0.25">
      <c r="A25" s="85" t="s">
        <v>97</v>
      </c>
      <c r="B25" s="86" t="s">
        <v>98</v>
      </c>
      <c r="C25" s="87">
        <f t="shared" si="0"/>
        <v>-3.8075965071936675E-2</v>
      </c>
    </row>
    <row r="26" spans="1:3" x14ac:dyDescent="0.2">
      <c r="A26" s="37"/>
      <c r="B26" s="38"/>
      <c r="C26" s="39"/>
    </row>
    <row r="27" spans="1:3" x14ac:dyDescent="0.2">
      <c r="A27" s="8" t="s">
        <v>72</v>
      </c>
      <c r="B27" s="40"/>
      <c r="C27" s="41"/>
    </row>
    <row r="28" spans="1:3" x14ac:dyDescent="0.2">
      <c r="A28" s="8"/>
      <c r="B28" s="40"/>
      <c r="C28" s="41"/>
    </row>
    <row r="29" spans="1:3" x14ac:dyDescent="0.2">
      <c r="A29" s="8"/>
      <c r="B29" s="40"/>
      <c r="C29" s="41"/>
    </row>
    <row r="30" spans="1:3" x14ac:dyDescent="0.2">
      <c r="A30" s="103"/>
      <c r="B30" s="104"/>
      <c r="C30" s="105"/>
    </row>
    <row r="31" spans="1:3" ht="13.5" thickBot="1" x14ac:dyDescent="0.25">
      <c r="A31" s="106"/>
      <c r="B31" s="107"/>
      <c r="C31" s="108"/>
    </row>
    <row r="32" spans="1:3" x14ac:dyDescent="0.2">
      <c r="C32" s="9"/>
    </row>
    <row r="33" spans="3:3" x14ac:dyDescent="0.2">
      <c r="C33" s="12"/>
    </row>
    <row r="34" spans="3:3" x14ac:dyDescent="0.2">
      <c r="C34" s="9"/>
    </row>
    <row r="35" spans="3:3" x14ac:dyDescent="0.2">
      <c r="C35" s="9"/>
    </row>
    <row r="36" spans="3:3" x14ac:dyDescent="0.2">
      <c r="C36" s="9"/>
    </row>
    <row r="37" spans="3:3" x14ac:dyDescent="0.2">
      <c r="C37" s="9"/>
    </row>
    <row r="38" spans="3:3" x14ac:dyDescent="0.2">
      <c r="C38" s="9"/>
    </row>
    <row r="39" spans="3:3" x14ac:dyDescent="0.2">
      <c r="C39" s="9"/>
    </row>
    <row r="40" spans="3:3" x14ac:dyDescent="0.2">
      <c r="C40" s="9"/>
    </row>
  </sheetData>
  <mergeCells count="3">
    <mergeCell ref="A1:C1"/>
    <mergeCell ref="A30:C30"/>
    <mergeCell ref="A31:C3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16" workbookViewId="0">
      <selection activeCell="G8" sqref="G8"/>
    </sheetView>
  </sheetViews>
  <sheetFormatPr defaultRowHeight="12.75" x14ac:dyDescent="0.2"/>
  <cols>
    <col min="1" max="1" width="30.28515625" customWidth="1"/>
    <col min="2" max="2" width="29.140625" customWidth="1"/>
    <col min="3" max="3" width="27.7109375" customWidth="1"/>
    <col min="4" max="4" width="8.85546875" customWidth="1"/>
  </cols>
  <sheetData>
    <row r="1" spans="1:3" s="1" customFormat="1" ht="18.75" thickBot="1" x14ac:dyDescent="0.3">
      <c r="A1" s="101" t="s">
        <v>101</v>
      </c>
      <c r="B1" s="102"/>
      <c r="C1" s="102"/>
    </row>
    <row r="2" spans="1:3" s="23" customFormat="1" ht="68.25" customHeight="1" thickBot="1" x14ac:dyDescent="0.25">
      <c r="A2" s="36" t="s">
        <v>66</v>
      </c>
      <c r="B2" s="36" t="s">
        <v>67</v>
      </c>
      <c r="C2" s="19" t="s">
        <v>82</v>
      </c>
    </row>
    <row r="3" spans="1:3" ht="25.5" customHeight="1" x14ac:dyDescent="0.2">
      <c r="A3" s="28" t="s">
        <v>61</v>
      </c>
      <c r="B3" s="29" t="s">
        <v>64</v>
      </c>
      <c r="C3" s="88">
        <f>+ROUND('Pass Through (F) Ex GST'!C3*1.1,3)</f>
        <v>-4.2000000000000003E-2</v>
      </c>
    </row>
    <row r="4" spans="1:3" ht="25.5" customHeight="1" x14ac:dyDescent="0.2">
      <c r="A4" s="24" t="s">
        <v>26</v>
      </c>
      <c r="B4" s="2" t="s">
        <v>13</v>
      </c>
      <c r="C4" s="83">
        <f>+ROUND('Pass Through (F) Ex GST'!C4*1.1,3)</f>
        <v>-4.2000000000000003E-2</v>
      </c>
    </row>
    <row r="5" spans="1:3" ht="25.5" customHeight="1" x14ac:dyDescent="0.2">
      <c r="A5" s="24" t="s">
        <v>48</v>
      </c>
      <c r="B5" s="2" t="s">
        <v>49</v>
      </c>
      <c r="C5" s="83"/>
    </row>
    <row r="6" spans="1:3" ht="25.5" customHeight="1" x14ac:dyDescent="0.2">
      <c r="A6" s="24" t="s">
        <v>27</v>
      </c>
      <c r="B6" s="2" t="s">
        <v>14</v>
      </c>
      <c r="C6" s="83"/>
    </row>
    <row r="7" spans="1:3" ht="25.5" customHeight="1" x14ac:dyDescent="0.2">
      <c r="A7" s="24" t="s">
        <v>50</v>
      </c>
      <c r="B7" s="2" t="s">
        <v>51</v>
      </c>
      <c r="C7" s="84">
        <f>+ROUND('Pass Through (F) Ex GST'!C7*1.1,3)</f>
        <v>-4.2000000000000003E-2</v>
      </c>
    </row>
    <row r="8" spans="1:3" ht="25.5" customHeight="1" x14ac:dyDescent="0.2">
      <c r="A8" s="24" t="s">
        <v>52</v>
      </c>
      <c r="B8" s="2" t="s">
        <v>53</v>
      </c>
      <c r="C8" s="84">
        <f>+ROUND('Pass Through (F) Ex GST'!C8*1.1,3)</f>
        <v>-4.2000000000000003E-2</v>
      </c>
    </row>
    <row r="9" spans="1:3" ht="25.5" customHeight="1" x14ac:dyDescent="0.2">
      <c r="A9" s="24" t="s">
        <v>63</v>
      </c>
      <c r="B9" s="2" t="s">
        <v>65</v>
      </c>
      <c r="C9" s="84">
        <f>+ROUND('Pass Through (F) Ex GST'!C9*1.1,3)</f>
        <v>-4.2000000000000003E-2</v>
      </c>
    </row>
    <row r="10" spans="1:3" ht="25.5" customHeight="1" x14ac:dyDescent="0.2">
      <c r="A10" s="24" t="s">
        <v>28</v>
      </c>
      <c r="B10" s="2" t="s">
        <v>40</v>
      </c>
      <c r="C10" s="84">
        <f>+ROUND('Pass Through (F) Ex GST'!C10*1.1,3)</f>
        <v>-4.2000000000000003E-2</v>
      </c>
    </row>
    <row r="11" spans="1:3" ht="25.5" customHeight="1" x14ac:dyDescent="0.2">
      <c r="A11" s="24" t="s">
        <v>29</v>
      </c>
      <c r="B11" s="2" t="s">
        <v>41</v>
      </c>
      <c r="C11" s="84">
        <f>+ROUND('Pass Through (F) Ex GST'!C11*1.1,3)</f>
        <v>-4.2000000000000003E-2</v>
      </c>
    </row>
    <row r="12" spans="1:3" ht="25.5" customHeight="1" x14ac:dyDescent="0.2">
      <c r="A12" s="24" t="s">
        <v>39</v>
      </c>
      <c r="B12" s="2" t="s">
        <v>38</v>
      </c>
      <c r="C12" s="84">
        <f>+ROUND('Pass Through (F) Ex GST'!C12*1.1,3)</f>
        <v>-4.2000000000000003E-2</v>
      </c>
    </row>
    <row r="13" spans="1:3" ht="25.5" customHeight="1" x14ac:dyDescent="0.2">
      <c r="A13" s="24" t="s">
        <v>16</v>
      </c>
      <c r="B13" s="2" t="s">
        <v>59</v>
      </c>
      <c r="C13" s="84">
        <f>+ROUND('Pass Through (F) Ex GST'!C13*1.1,3)</f>
        <v>-4.2000000000000003E-2</v>
      </c>
    </row>
    <row r="14" spans="1:3" ht="25.5" customHeight="1" x14ac:dyDescent="0.2">
      <c r="A14" s="24" t="s">
        <v>30</v>
      </c>
      <c r="B14" s="2" t="s">
        <v>17</v>
      </c>
      <c r="C14" s="84">
        <f>+ROUND('Pass Through (F) Ex GST'!C14*1.1,3)</f>
        <v>-4.2000000000000003E-2</v>
      </c>
    </row>
    <row r="15" spans="1:3" ht="25.5" customHeight="1" x14ac:dyDescent="0.2">
      <c r="A15" s="24" t="s">
        <v>31</v>
      </c>
      <c r="B15" s="2" t="s">
        <v>18</v>
      </c>
      <c r="C15" s="84">
        <f>+ROUND('Pass Through (F) Ex GST'!C15*1.1,3)</f>
        <v>-4.2000000000000003E-2</v>
      </c>
    </row>
    <row r="16" spans="1:3" ht="25.5" customHeight="1" x14ac:dyDescent="0.2">
      <c r="A16" s="24" t="s">
        <v>32</v>
      </c>
      <c r="B16" s="2" t="s">
        <v>19</v>
      </c>
      <c r="C16" s="84">
        <f>+ROUND('Pass Through (F) Ex GST'!C16*1.1,3)</f>
        <v>-4.2000000000000003E-2</v>
      </c>
    </row>
    <row r="17" spans="1:3" ht="25.5" customHeight="1" x14ac:dyDescent="0.2">
      <c r="A17" s="24" t="s">
        <v>54</v>
      </c>
      <c r="B17" s="2" t="s">
        <v>55</v>
      </c>
      <c r="C17" s="84">
        <f>+ROUND('Pass Through (F) Ex GST'!C17*1.1,3)</f>
        <v>-4.2000000000000003E-2</v>
      </c>
    </row>
    <row r="18" spans="1:3" ht="25.5" customHeight="1" x14ac:dyDescent="0.2">
      <c r="A18" s="24" t="s">
        <v>33</v>
      </c>
      <c r="B18" s="2" t="s">
        <v>22</v>
      </c>
      <c r="C18" s="84">
        <f>+ROUND('Pass Through (F) Ex GST'!C18*1.1,3)</f>
        <v>-4.2000000000000003E-2</v>
      </c>
    </row>
    <row r="19" spans="1:3" ht="25.5" customHeight="1" x14ac:dyDescent="0.2">
      <c r="A19" s="24" t="s">
        <v>60</v>
      </c>
      <c r="B19" s="2" t="s">
        <v>56</v>
      </c>
      <c r="C19" s="84">
        <f>+ROUND('Pass Through (F) Ex GST'!C19*1.1,3)</f>
        <v>-4.2000000000000003E-2</v>
      </c>
    </row>
    <row r="20" spans="1:3" ht="25.5" customHeight="1" x14ac:dyDescent="0.2">
      <c r="A20" s="24" t="s">
        <v>34</v>
      </c>
      <c r="B20" s="2" t="s">
        <v>57</v>
      </c>
      <c r="C20" s="84">
        <f>+ROUND('Pass Through (F) Ex GST'!C20*1.1,3)</f>
        <v>-4.2000000000000003E-2</v>
      </c>
    </row>
    <row r="21" spans="1:3" ht="25.5" customHeight="1" x14ac:dyDescent="0.2">
      <c r="A21" s="24" t="s">
        <v>44</v>
      </c>
      <c r="B21" s="2" t="s">
        <v>42</v>
      </c>
      <c r="C21" s="84">
        <f>+ROUND('Pass Through (F) Ex GST'!C21*1.1,3)</f>
        <v>-4.2000000000000003E-2</v>
      </c>
    </row>
    <row r="22" spans="1:3" ht="25.5" customHeight="1" x14ac:dyDescent="0.2">
      <c r="A22" s="24" t="s">
        <v>45</v>
      </c>
      <c r="B22" s="2" t="s">
        <v>43</v>
      </c>
      <c r="C22" s="84">
        <f>+ROUND('Pass Through (F) Ex GST'!C22*1.1,3)</f>
        <v>-4.2000000000000003E-2</v>
      </c>
    </row>
    <row r="23" spans="1:3" ht="25.5" customHeight="1" x14ac:dyDescent="0.2">
      <c r="A23" s="24" t="s">
        <v>71</v>
      </c>
      <c r="B23" s="2" t="s">
        <v>70</v>
      </c>
      <c r="C23" s="84">
        <f>+ROUND('Pass Through (F) Ex GST'!C23*1.1,3)</f>
        <v>-4.2000000000000003E-2</v>
      </c>
    </row>
    <row r="24" spans="1:3" ht="25.5" customHeight="1" x14ac:dyDescent="0.2">
      <c r="A24" s="24" t="s">
        <v>76</v>
      </c>
      <c r="B24" s="2" t="s">
        <v>77</v>
      </c>
      <c r="C24" s="83">
        <f>+ROUND('Pass Through (F) Ex GST'!C24*1.1,3)</f>
        <v>-4.2000000000000003E-2</v>
      </c>
    </row>
    <row r="25" spans="1:3" ht="25.5" customHeight="1" thickBot="1" x14ac:dyDescent="0.25">
      <c r="A25" s="85" t="s">
        <v>97</v>
      </c>
      <c r="B25" s="86" t="s">
        <v>98</v>
      </c>
      <c r="C25" s="89">
        <f>+ROUND('Pass Through (F) Ex GST'!C25*1.1,3)</f>
        <v>-4.2000000000000003E-2</v>
      </c>
    </row>
    <row r="26" spans="1:3" x14ac:dyDescent="0.2">
      <c r="A26" s="37"/>
      <c r="B26" s="38"/>
      <c r="C26" s="39"/>
    </row>
    <row r="27" spans="1:3" x14ac:dyDescent="0.2">
      <c r="A27" s="8" t="s">
        <v>72</v>
      </c>
      <c r="B27" s="40"/>
      <c r="C27" s="41"/>
    </row>
    <row r="28" spans="1:3" x14ac:dyDescent="0.2">
      <c r="A28" s="8"/>
      <c r="B28" s="40"/>
      <c r="C28" s="41"/>
    </row>
    <row r="29" spans="1:3" x14ac:dyDescent="0.2">
      <c r="A29" s="8"/>
      <c r="B29" s="40"/>
      <c r="C29" s="41"/>
    </row>
    <row r="30" spans="1:3" x14ac:dyDescent="0.2">
      <c r="A30" s="103"/>
      <c r="B30" s="104"/>
      <c r="C30" s="105"/>
    </row>
    <row r="31" spans="1:3" ht="13.5" thickBot="1" x14ac:dyDescent="0.25">
      <c r="A31" s="106"/>
      <c r="B31" s="107"/>
      <c r="C31" s="108"/>
    </row>
    <row r="32" spans="1:3" x14ac:dyDescent="0.2">
      <c r="C32" s="9"/>
    </row>
    <row r="33" spans="3:3" x14ac:dyDescent="0.2">
      <c r="C33" s="12"/>
    </row>
    <row r="34" spans="3:3" x14ac:dyDescent="0.2">
      <c r="C34" s="9"/>
    </row>
    <row r="35" spans="3:3" x14ac:dyDescent="0.2">
      <c r="C35" s="9"/>
    </row>
    <row r="36" spans="3:3" x14ac:dyDescent="0.2">
      <c r="C36" s="9"/>
    </row>
    <row r="37" spans="3:3" x14ac:dyDescent="0.2">
      <c r="C37" s="9"/>
    </row>
    <row r="38" spans="3:3" x14ac:dyDescent="0.2">
      <c r="C38" s="9"/>
    </row>
    <row r="39" spans="3:3" x14ac:dyDescent="0.2">
      <c r="C39" s="9"/>
    </row>
    <row r="40" spans="3:3" x14ac:dyDescent="0.2">
      <c r="C40" s="9"/>
    </row>
  </sheetData>
  <mergeCells count="3">
    <mergeCell ref="A1:C1"/>
    <mergeCell ref="A30:C30"/>
    <mergeCell ref="A31:C3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A54052FA26E24089E3F53E16A0CB0B" ma:contentTypeVersion="0" ma:contentTypeDescription="Create a new document." ma:contentTypeScope="" ma:versionID="dde153ad4d789c714a6eef2f883cf8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492ED6-57C6-48A3-A57C-541B979F4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34E4997-7C59-4B3D-A482-8536E402EF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9118DD-7E08-498B-9CEE-B2D3A96D08E6}">
  <ds:schemaRefs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DUOS Ex GST</vt:lpstr>
      <vt:lpstr>TUOS Ex GST</vt:lpstr>
      <vt:lpstr>NUOS Ex GST</vt:lpstr>
      <vt:lpstr>PFIT TFIT ex GST</vt:lpstr>
      <vt:lpstr>Prescribed Ex GST</vt:lpstr>
      <vt:lpstr>DUOS GST</vt:lpstr>
      <vt:lpstr>TUOS GST</vt:lpstr>
      <vt:lpstr>NUOS GST</vt:lpstr>
      <vt:lpstr>PFIT TFIT GST</vt:lpstr>
      <vt:lpstr>Prescribed GST</vt:lpstr>
      <vt:lpstr>Pass Through (F) Ex GST</vt:lpstr>
      <vt:lpstr>Pass Through (F) GST</vt:lpstr>
      <vt:lpstr>'DUOS Ex GST'!Print_Area</vt:lpstr>
      <vt:lpstr>'TUOS Ex GST'!Print_Area</vt:lpstr>
    </vt:vector>
  </TitlesOfParts>
  <Company>Alinta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sbrenn</dc:creator>
  <cp:lastModifiedBy>Harrison Stephen</cp:lastModifiedBy>
  <cp:lastPrinted>2014-12-10T05:44:53Z</cp:lastPrinted>
  <dcterms:created xsi:type="dcterms:W3CDTF">2006-10-23T06:08:22Z</dcterms:created>
  <dcterms:modified xsi:type="dcterms:W3CDTF">2014-12-10T06:01:55Z</dcterms:modified>
</cp:coreProperties>
</file>