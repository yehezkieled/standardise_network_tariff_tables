
<file path=[Content_Types].xml><?xml version="1.0" encoding="utf-8"?>
<Types xmlns="http://schemas.openxmlformats.org/package/2006/content-types">
  <Default Extension="bin" ContentType="application/vnd.openxmlformats-officedocument.oleObject"/>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comments1.xml" ContentType="application/vnd.openxmlformats-officedocument.spreadsheetml.comments+xml"/>
  <Override PartName="/xl/printerSettings/printerSettings4.bin" ContentType="application/vnd.openxmlformats-officedocument.spreadsheetml.printerSettings"/>
  <Override PartName="/xl/comments2.xml" ContentType="application/vnd.openxmlformats-officedocument.spreadsheetml.comments+xml"/>
  <Override PartName="/xl/printerSettings/printerSettings5.bin" ContentType="application/vnd.openxmlformats-officedocument.spreadsheetml.printerSettings"/>
  <Override PartName="/xl/comments3.xml" ContentType="application/vnd.openxmlformats-officedocument.spreadsheetml.comments+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comments4.xml" ContentType="application/vnd.openxmlformats-officedocument.spreadsheetml.comments+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comments5.xml" ContentType="application/vnd.openxmlformats-officedocument.spreadsheetml.comments+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G:\Operations\UE NETWORK MANAGEMENT\9. Revenue Management\9.3 Revenue\Tariffs &amp; Charges\Tariff Submissions\DUOS\2019\Submissions\Draft\"/>
    </mc:Choice>
  </mc:AlternateContent>
  <bookViews>
    <workbookView xWindow="240" yWindow="-30" windowWidth="20115" windowHeight="9180" tabRatio="871"/>
  </bookViews>
  <sheets>
    <sheet name="NOTES" sheetId="29" r:id="rId1"/>
    <sheet name="Formulae" sheetId="1" r:id="rId2"/>
    <sheet name="Model update" sheetId="4" r:id="rId3"/>
    <sheet name="2019 Unmetered supply" sheetId="6" r:id="rId4"/>
    <sheet name="Metering" sheetId="28" r:id="rId5"/>
    <sheet name="Prop2019DistTar" sheetId="5" r:id="rId6"/>
    <sheet name="2019DistRevCapForm" sheetId="2" r:id="rId7"/>
    <sheet name="2019DistTarRebalCont" sheetId="9" r:id="rId8"/>
    <sheet name="Est2018DistRev" sheetId="13" r:id="rId9"/>
    <sheet name="Prop2019TransTar" sheetId="15" r:id="rId10"/>
    <sheet name="Est2018TransRev" sheetId="14" r:id="rId11"/>
    <sheet name="2019TransRevCont" sheetId="23" r:id="rId12"/>
    <sheet name="TUoS cost audit template" sheetId="20" r:id="rId13"/>
    <sheet name="Prop2019JSTar" sheetId="17" r:id="rId14"/>
    <sheet name="Est2018JSRev" sheetId="18" r:id="rId15"/>
    <sheet name="2019JSRevCont" sheetId="27" r:id="rId16"/>
    <sheet name="JS cost audit template" sheetId="24" r:id="rId17"/>
    <sheet name="Prop2019TSSComp" sheetId="30" r:id="rId18"/>
    <sheet name="Indicative prices for 2020" sheetId="31" r:id="rId19"/>
  </sheets>
  <definedNames>
    <definedName name="_xlnm._FilterDatabase" localSheetId="7" hidden="1">'2019DistTarRebalCont'!$B$38:$DO$98</definedName>
    <definedName name="_ftn1" localSheetId="1">Formulae!#REF!</definedName>
    <definedName name="_ftnref1" localSheetId="1">Formulae!#REF!</definedName>
    <definedName name="_Ref432575057" localSheetId="1">Formulae!#REF!</definedName>
    <definedName name="_Ref432594810" localSheetId="1">Formulae!#REF!</definedName>
    <definedName name="_Ref433108207" localSheetId="1">Formulae!#REF!</definedName>
    <definedName name="_xlnm.Print_Area" localSheetId="18">'Indicative prices for 2020'!$B$1:$P$30</definedName>
    <definedName name="_xlnm.Print_Area" localSheetId="17">Prop2019TSSComp!$B$1:$AD$30</definedName>
    <definedName name="solver_adj" localSheetId="6" hidden="1">'2019DistRevCapForm'!$D$9</definedName>
    <definedName name="solver_adj" localSheetId="4" hidden="1">Metering!$F$25</definedName>
    <definedName name="solver_cvg" localSheetId="6" hidden="1">0.0001</definedName>
    <definedName name="solver_cvg" localSheetId="4" hidden="1">0.0001</definedName>
    <definedName name="solver_drv" localSheetId="6" hidden="1">2</definedName>
    <definedName name="solver_drv" localSheetId="4" hidden="1">1</definedName>
    <definedName name="solver_eng" localSheetId="6" hidden="1">3</definedName>
    <definedName name="solver_eng" localSheetId="4" hidden="1">3</definedName>
    <definedName name="solver_est" localSheetId="6" hidden="1">1</definedName>
    <definedName name="solver_est" localSheetId="4" hidden="1">1</definedName>
    <definedName name="solver_itr" localSheetId="6" hidden="1">2147483647</definedName>
    <definedName name="solver_itr" localSheetId="4" hidden="1">2147483647</definedName>
    <definedName name="solver_lhs1" localSheetId="6" hidden="1">'2019DistRevCapForm'!$D$9</definedName>
    <definedName name="solver_lhs1" localSheetId="4" hidden="1">Metering!$D$25</definedName>
    <definedName name="solver_lhs2" localSheetId="6" hidden="1">'2019DistRevCapForm'!$D$9</definedName>
    <definedName name="solver_lhs2" localSheetId="4" hidden="1">Metering!$F$25</definedName>
    <definedName name="solver_lhs3" localSheetId="6" hidden="1">'2019DistRevCapForm'!$E$10</definedName>
    <definedName name="solver_lhs3" localSheetId="4" hidden="1">Metering!$F$25</definedName>
    <definedName name="solver_mip" localSheetId="6" hidden="1">2147483647</definedName>
    <definedName name="solver_mip" localSheetId="4" hidden="1">2147483647</definedName>
    <definedName name="solver_mni" localSheetId="6" hidden="1">30</definedName>
    <definedName name="solver_mni" localSheetId="4" hidden="1">30</definedName>
    <definedName name="solver_mrt" localSheetId="6" hidden="1">0.075</definedName>
    <definedName name="solver_mrt" localSheetId="4" hidden="1">0.075</definedName>
    <definedName name="solver_msl" localSheetId="6" hidden="1">2</definedName>
    <definedName name="solver_msl" localSheetId="4" hidden="1">2</definedName>
    <definedName name="solver_neg" localSheetId="6" hidden="1">1</definedName>
    <definedName name="solver_neg" localSheetId="4" hidden="1">1</definedName>
    <definedName name="solver_nod" localSheetId="6" hidden="1">2147483647</definedName>
    <definedName name="solver_nod" localSheetId="4" hidden="1">2147483647</definedName>
    <definedName name="solver_num" localSheetId="6" hidden="1">3</definedName>
    <definedName name="solver_num" localSheetId="4" hidden="1">3</definedName>
    <definedName name="solver_nwt" localSheetId="6" hidden="1">1</definedName>
    <definedName name="solver_nwt" localSheetId="4" hidden="1">1</definedName>
    <definedName name="solver_opt" localSheetId="6" hidden="1">'2019DistRevCapForm'!$D$10</definedName>
    <definedName name="solver_opt" localSheetId="4" hidden="1">Metering!$F$26</definedName>
    <definedName name="solver_pre" localSheetId="6" hidden="1">0.000001</definedName>
    <definedName name="solver_pre" localSheetId="4" hidden="1">0.000001</definedName>
    <definedName name="solver_rbv" localSheetId="6" hidden="1">2</definedName>
    <definedName name="solver_rbv" localSheetId="4" hidden="1">1</definedName>
    <definedName name="solver_rel1" localSheetId="6" hidden="1">1</definedName>
    <definedName name="solver_rel1" localSheetId="4" hidden="1">1</definedName>
    <definedName name="solver_rel2" localSheetId="6" hidden="1">3</definedName>
    <definedName name="solver_rel2" localSheetId="4" hidden="1">1</definedName>
    <definedName name="solver_rel3" localSheetId="6" hidden="1">1</definedName>
    <definedName name="solver_rel3" localSheetId="4" hidden="1">3</definedName>
    <definedName name="solver_rhs1" localSheetId="6" hidden="1">2</definedName>
    <definedName name="solver_rhs1" localSheetId="4" hidden="1">Metering!$D$26</definedName>
    <definedName name="solver_rhs2" localSheetId="6" hidden="1">0</definedName>
    <definedName name="solver_rhs2" localSheetId="4" hidden="1">2</definedName>
    <definedName name="solver_rhs3" localSheetId="6" hidden="1">0</definedName>
    <definedName name="solver_rhs3" localSheetId="4" hidden="1">0</definedName>
    <definedName name="solver_rlx" localSheetId="6" hidden="1">2</definedName>
    <definedName name="solver_rlx" localSheetId="4" hidden="1">2</definedName>
    <definedName name="solver_rsd" localSheetId="6" hidden="1">0</definedName>
    <definedName name="solver_rsd" localSheetId="4" hidden="1">0</definedName>
    <definedName name="solver_scl" localSheetId="6" hidden="1">2</definedName>
    <definedName name="solver_scl" localSheetId="4" hidden="1">1</definedName>
    <definedName name="solver_sho" localSheetId="6" hidden="1">2</definedName>
    <definedName name="solver_sho" localSheetId="4" hidden="1">2</definedName>
    <definedName name="solver_ssz" localSheetId="6" hidden="1">100</definedName>
    <definedName name="solver_ssz" localSheetId="4" hidden="1">100</definedName>
    <definedName name="solver_tim" localSheetId="6" hidden="1">2147483647</definedName>
    <definedName name="solver_tim" localSheetId="4" hidden="1">2147483647</definedName>
    <definedName name="solver_tol" localSheetId="6" hidden="1">0.01</definedName>
    <definedName name="solver_tol" localSheetId="4" hidden="1">0.01</definedName>
    <definedName name="solver_typ" localSheetId="6" hidden="1">2</definedName>
    <definedName name="solver_typ" localSheetId="4" hidden="1">2</definedName>
    <definedName name="solver_val" localSheetId="6" hidden="1">0</definedName>
    <definedName name="solver_val" localSheetId="4" hidden="1">0</definedName>
    <definedName name="solver_ver" localSheetId="6" hidden="1">3</definedName>
    <definedName name="solver_ver" localSheetId="4" hidden="1">3</definedName>
  </definedNames>
  <calcPr calcId="152511"/>
</workbook>
</file>

<file path=xl/calcChain.xml><?xml version="1.0" encoding="utf-8"?>
<calcChain xmlns="http://schemas.openxmlformats.org/spreadsheetml/2006/main">
  <c r="B83" i="4" l="1"/>
  <c r="A83" i="4"/>
  <c r="B82" i="4"/>
  <c r="A82" i="4"/>
  <c r="B81" i="4"/>
  <c r="A81" i="4"/>
  <c r="B80" i="4"/>
  <c r="A80" i="4"/>
  <c r="B79" i="4"/>
  <c r="A79" i="4"/>
  <c r="B70" i="4"/>
  <c r="B69" i="4"/>
  <c r="B68" i="4"/>
  <c r="B67" i="4"/>
  <c r="B66" i="4"/>
  <c r="B58" i="4"/>
  <c r="B57" i="4"/>
  <c r="B56" i="4"/>
  <c r="B55" i="4"/>
  <c r="B54" i="4"/>
  <c r="B41" i="4"/>
  <c r="A41" i="4"/>
  <c r="B40" i="4"/>
  <c r="A40" i="4"/>
  <c r="B39" i="4"/>
  <c r="A39" i="4"/>
  <c r="B38" i="4"/>
  <c r="A38" i="4"/>
  <c r="B37" i="4"/>
  <c r="A37" i="4"/>
  <c r="A8" i="29" l="1"/>
  <c r="A10" i="29" s="1"/>
  <c r="A12" i="29" s="1"/>
  <c r="A14" i="29" s="1"/>
  <c r="A16" i="29" s="1"/>
  <c r="A18" i="29" s="1"/>
  <c r="A20" i="29" s="1"/>
  <c r="A22" i="29" s="1"/>
  <c r="A24" i="29" s="1"/>
  <c r="A26" i="29" s="1"/>
  <c r="A28" i="29" s="1"/>
  <c r="A30" i="29" s="1"/>
  <c r="A32" i="29" s="1"/>
  <c r="A34" i="29" s="1"/>
  <c r="D4" i="31" l="1"/>
  <c r="B3" i="31"/>
  <c r="B3" i="30"/>
  <c r="P5" i="31"/>
  <c r="O5" i="31"/>
  <c r="N5" i="31"/>
  <c r="M5" i="31"/>
  <c r="L5" i="31"/>
  <c r="K5" i="31"/>
  <c r="J5" i="31"/>
  <c r="I5" i="31"/>
  <c r="H5" i="31"/>
  <c r="G5" i="31"/>
  <c r="F5" i="31"/>
  <c r="E5" i="31"/>
  <c r="D5" i="31"/>
  <c r="X30" i="30" l="1"/>
  <c r="X29" i="30"/>
  <c r="X28" i="30"/>
  <c r="U30" i="30" l="1"/>
  <c r="U29" i="30"/>
  <c r="U28" i="30"/>
  <c r="P5" i="30"/>
  <c r="O5" i="30"/>
  <c r="N5" i="30"/>
  <c r="M5" i="30"/>
  <c r="L5" i="30"/>
  <c r="K5" i="30"/>
  <c r="J5" i="30"/>
  <c r="I5" i="30"/>
  <c r="H5" i="30"/>
  <c r="G5" i="30"/>
  <c r="F5" i="30"/>
  <c r="E5" i="30"/>
  <c r="D5" i="30"/>
  <c r="B26" i="31" l="1"/>
  <c r="B25" i="31"/>
  <c r="B30" i="31"/>
  <c r="B29" i="31"/>
  <c r="B28" i="31"/>
  <c r="B27" i="31"/>
  <c r="B24" i="31"/>
  <c r="B23" i="31"/>
  <c r="B22" i="31"/>
  <c r="B21" i="31"/>
  <c r="B20" i="31"/>
  <c r="B18" i="31"/>
  <c r="B19" i="31"/>
  <c r="B16" i="31"/>
  <c r="B15" i="31"/>
  <c r="B17" i="31"/>
  <c r="B13" i="31"/>
  <c r="B12" i="31"/>
  <c r="B11" i="31"/>
  <c r="B8" i="31"/>
  <c r="B7" i="31"/>
  <c r="B14" i="31"/>
  <c r="B10" i="31"/>
  <c r="B9" i="31"/>
  <c r="B6" i="31"/>
  <c r="AG4" i="30"/>
  <c r="R4" i="30"/>
  <c r="D4" i="30"/>
  <c r="AS65" i="30"/>
  <c r="AR65" i="30"/>
  <c r="AQ65" i="30"/>
  <c r="AP65" i="30"/>
  <c r="AO65" i="30"/>
  <c r="AN65" i="30"/>
  <c r="AM65" i="30"/>
  <c r="AL65" i="30"/>
  <c r="AK65" i="30"/>
  <c r="AJ65" i="30"/>
  <c r="AI65" i="30"/>
  <c r="AH65" i="30"/>
  <c r="AG65" i="30"/>
  <c r="AS64" i="30"/>
  <c r="AR64" i="30"/>
  <c r="AQ64" i="30"/>
  <c r="AP64" i="30"/>
  <c r="AO64" i="30"/>
  <c r="AN64" i="30"/>
  <c r="AM64" i="30"/>
  <c r="AL64" i="30"/>
  <c r="AK64" i="30"/>
  <c r="AJ64" i="30"/>
  <c r="AI64" i="30"/>
  <c r="AH64" i="30"/>
  <c r="AG64" i="30"/>
  <c r="AS63" i="30"/>
  <c r="AR63" i="30"/>
  <c r="AQ63" i="30"/>
  <c r="AP63" i="30"/>
  <c r="AO63" i="30"/>
  <c r="AN63" i="30"/>
  <c r="AM63" i="30"/>
  <c r="AL63" i="30"/>
  <c r="AK63" i="30"/>
  <c r="AJ63" i="30"/>
  <c r="AI63" i="30"/>
  <c r="AH63" i="30"/>
  <c r="AG63" i="30"/>
  <c r="AS62" i="30"/>
  <c r="AR62" i="30"/>
  <c r="AQ62" i="30"/>
  <c r="AP62" i="30"/>
  <c r="AO62" i="30"/>
  <c r="AN62" i="30"/>
  <c r="AM62" i="30"/>
  <c r="AL62" i="30"/>
  <c r="AK62" i="30"/>
  <c r="AJ62" i="30"/>
  <c r="AI62" i="30"/>
  <c r="AH62" i="30"/>
  <c r="AG62" i="30"/>
  <c r="AS61" i="30"/>
  <c r="AR61" i="30"/>
  <c r="AQ61" i="30"/>
  <c r="AP61" i="30"/>
  <c r="AO61" i="30"/>
  <c r="AN61" i="30"/>
  <c r="AM61" i="30"/>
  <c r="AL61" i="30"/>
  <c r="AK61" i="30"/>
  <c r="AJ61" i="30"/>
  <c r="AI61" i="30"/>
  <c r="AH61" i="30"/>
  <c r="AG61" i="30"/>
  <c r="AS60" i="30"/>
  <c r="AR60" i="30"/>
  <c r="AQ60" i="30"/>
  <c r="AP60" i="30"/>
  <c r="AO60" i="30"/>
  <c r="AN60" i="30"/>
  <c r="AM60" i="30"/>
  <c r="AL60" i="30"/>
  <c r="AK60" i="30"/>
  <c r="AJ60" i="30"/>
  <c r="AI60" i="30"/>
  <c r="AH60" i="30"/>
  <c r="AG60" i="30"/>
  <c r="AS59" i="30"/>
  <c r="AR59" i="30"/>
  <c r="AQ59" i="30"/>
  <c r="AP59" i="30"/>
  <c r="AO59" i="30"/>
  <c r="AN59" i="30"/>
  <c r="AM59" i="30"/>
  <c r="AL59" i="30"/>
  <c r="AK59" i="30"/>
  <c r="AJ59" i="30"/>
  <c r="AI59" i="30"/>
  <c r="AH59" i="30"/>
  <c r="AG59" i="30"/>
  <c r="AS58" i="30"/>
  <c r="AR58" i="30"/>
  <c r="AQ58" i="30"/>
  <c r="AP58" i="30"/>
  <c r="AO58" i="30"/>
  <c r="AN58" i="30"/>
  <c r="AM58" i="30"/>
  <c r="AL58" i="30"/>
  <c r="AK58" i="30"/>
  <c r="AJ58" i="30"/>
  <c r="AI58" i="30"/>
  <c r="AH58" i="30"/>
  <c r="AG58" i="30"/>
  <c r="AS57" i="30"/>
  <c r="AR57" i="30"/>
  <c r="AQ57" i="30"/>
  <c r="AP57" i="30"/>
  <c r="AO57" i="30"/>
  <c r="AN57" i="30"/>
  <c r="AM57" i="30"/>
  <c r="AL57" i="30"/>
  <c r="AK57" i="30"/>
  <c r="AJ57" i="30"/>
  <c r="AI57" i="30"/>
  <c r="AH57" i="30"/>
  <c r="AG57" i="30"/>
  <c r="AS56" i="30"/>
  <c r="AR56" i="30"/>
  <c r="AQ56" i="30"/>
  <c r="AP56" i="30"/>
  <c r="AO56" i="30"/>
  <c r="AN56" i="30"/>
  <c r="AM56" i="30"/>
  <c r="AL56" i="30"/>
  <c r="AK56" i="30"/>
  <c r="AJ56" i="30"/>
  <c r="AI56" i="30"/>
  <c r="AH56" i="30"/>
  <c r="AG56" i="30"/>
  <c r="AS55" i="30"/>
  <c r="AR55" i="30"/>
  <c r="AQ55" i="30"/>
  <c r="AP55" i="30"/>
  <c r="AO55" i="30"/>
  <c r="AN55" i="30"/>
  <c r="AM55" i="30"/>
  <c r="AL55" i="30"/>
  <c r="AK55" i="30"/>
  <c r="AJ55" i="30"/>
  <c r="AI55" i="30"/>
  <c r="AH55" i="30"/>
  <c r="AG55" i="30"/>
  <c r="AS54" i="30"/>
  <c r="AR54" i="30"/>
  <c r="AQ54" i="30"/>
  <c r="AP54" i="30"/>
  <c r="AO54" i="30"/>
  <c r="AN54" i="30"/>
  <c r="AM54" i="30"/>
  <c r="AL54" i="30"/>
  <c r="AK54" i="30"/>
  <c r="AJ54" i="30"/>
  <c r="AI54" i="30"/>
  <c r="AH54" i="30"/>
  <c r="AG54" i="30"/>
  <c r="AS53" i="30"/>
  <c r="AR53" i="30"/>
  <c r="AQ53" i="30"/>
  <c r="AP53" i="30"/>
  <c r="AO53" i="30"/>
  <c r="AN53" i="30"/>
  <c r="AM53" i="30"/>
  <c r="AL53" i="30"/>
  <c r="AK53" i="30"/>
  <c r="AJ53" i="30"/>
  <c r="AI53" i="30"/>
  <c r="AH53" i="30"/>
  <c r="AG53" i="30"/>
  <c r="AS52" i="30"/>
  <c r="AR52" i="30"/>
  <c r="AQ52" i="30"/>
  <c r="AP52" i="30"/>
  <c r="AO52" i="30"/>
  <c r="AN52" i="30"/>
  <c r="AM52" i="30"/>
  <c r="AL52" i="30"/>
  <c r="AK52" i="30"/>
  <c r="AJ52" i="30"/>
  <c r="AI52" i="30"/>
  <c r="AH52" i="30"/>
  <c r="AG52" i="30"/>
  <c r="AS51" i="30"/>
  <c r="AR51" i="30"/>
  <c r="AQ51" i="30"/>
  <c r="AP51" i="30"/>
  <c r="AO51" i="30"/>
  <c r="AN51" i="30"/>
  <c r="AM51" i="30"/>
  <c r="AL51" i="30"/>
  <c r="AK51" i="30"/>
  <c r="AJ51" i="30"/>
  <c r="AI51" i="30"/>
  <c r="AH51" i="30"/>
  <c r="AG51" i="30"/>
  <c r="AS50" i="30"/>
  <c r="AR50" i="30"/>
  <c r="AQ50" i="30"/>
  <c r="AP50" i="30"/>
  <c r="AO50" i="30"/>
  <c r="AN50" i="30"/>
  <c r="AM50" i="30"/>
  <c r="AL50" i="30"/>
  <c r="AK50" i="30"/>
  <c r="AJ50" i="30"/>
  <c r="AI50" i="30"/>
  <c r="AH50" i="30"/>
  <c r="AG50" i="30"/>
  <c r="AS49" i="30"/>
  <c r="AR49" i="30"/>
  <c r="AQ49" i="30"/>
  <c r="AP49" i="30"/>
  <c r="AO49" i="30"/>
  <c r="AN49" i="30"/>
  <c r="AM49" i="30"/>
  <c r="AL49" i="30"/>
  <c r="AK49" i="30"/>
  <c r="AJ49" i="30"/>
  <c r="AI49" i="30"/>
  <c r="AH49" i="30"/>
  <c r="AG49" i="30"/>
  <c r="AS48" i="30"/>
  <c r="AR48" i="30"/>
  <c r="AQ48" i="30"/>
  <c r="AP48" i="30"/>
  <c r="AO48" i="30"/>
  <c r="AN48" i="30"/>
  <c r="AM48" i="30"/>
  <c r="AL48" i="30"/>
  <c r="AK48" i="30"/>
  <c r="AJ48" i="30"/>
  <c r="AI48" i="30"/>
  <c r="AH48" i="30"/>
  <c r="AG48" i="30"/>
  <c r="AS47" i="30"/>
  <c r="AR47" i="30"/>
  <c r="AQ47" i="30"/>
  <c r="AP47" i="30"/>
  <c r="AO47" i="30"/>
  <c r="AN47" i="30"/>
  <c r="AM47" i="30"/>
  <c r="AL47" i="30"/>
  <c r="AK47" i="30"/>
  <c r="AJ47" i="30"/>
  <c r="AI47" i="30"/>
  <c r="AH47" i="30"/>
  <c r="AG47" i="30"/>
  <c r="AS46" i="30"/>
  <c r="AR46" i="30"/>
  <c r="AQ46" i="30"/>
  <c r="AP46" i="30"/>
  <c r="AO46" i="30"/>
  <c r="AN46" i="30"/>
  <c r="AM46" i="30"/>
  <c r="AL46" i="30"/>
  <c r="AK46" i="30"/>
  <c r="AJ46" i="30"/>
  <c r="AI46" i="30"/>
  <c r="AH46" i="30"/>
  <c r="AG46" i="30"/>
  <c r="AS45" i="30"/>
  <c r="AR45" i="30"/>
  <c r="AQ45" i="30"/>
  <c r="AP45" i="30"/>
  <c r="AO45" i="30"/>
  <c r="AN45" i="30"/>
  <c r="AM45" i="30"/>
  <c r="AL45" i="30"/>
  <c r="AK45" i="30"/>
  <c r="AJ45" i="30"/>
  <c r="AI45" i="30"/>
  <c r="AH45" i="30"/>
  <c r="AG45" i="30"/>
  <c r="AS44" i="30"/>
  <c r="AR44" i="30"/>
  <c r="AQ44" i="30"/>
  <c r="AP44" i="30"/>
  <c r="AO44" i="30"/>
  <c r="AN44" i="30"/>
  <c r="AM44" i="30"/>
  <c r="AL44" i="30"/>
  <c r="AK44" i="30"/>
  <c r="AJ44" i="30"/>
  <c r="AI44" i="30"/>
  <c r="AH44" i="30"/>
  <c r="AG44" i="30"/>
  <c r="AS43" i="30"/>
  <c r="AR43" i="30"/>
  <c r="AQ43" i="30"/>
  <c r="AP43" i="30"/>
  <c r="AO43" i="30"/>
  <c r="AN43" i="30"/>
  <c r="AM43" i="30"/>
  <c r="AL43" i="30"/>
  <c r="AK43" i="30"/>
  <c r="AJ43" i="30"/>
  <c r="AI43" i="30"/>
  <c r="AH43" i="30"/>
  <c r="AG43" i="30"/>
  <c r="AS42" i="30"/>
  <c r="AR42" i="30"/>
  <c r="AQ42" i="30"/>
  <c r="AP42" i="30"/>
  <c r="AO42" i="30"/>
  <c r="AN42" i="30"/>
  <c r="AM42" i="30"/>
  <c r="AL42" i="30"/>
  <c r="AK42" i="30"/>
  <c r="AJ42" i="30"/>
  <c r="AI42" i="30"/>
  <c r="AH42" i="30"/>
  <c r="AG42" i="30"/>
  <c r="AS41" i="30"/>
  <c r="AR41" i="30"/>
  <c r="AQ41" i="30"/>
  <c r="AP41" i="30"/>
  <c r="AO41" i="30"/>
  <c r="AN41" i="30"/>
  <c r="AM41" i="30"/>
  <c r="AL41" i="30"/>
  <c r="AK41" i="30"/>
  <c r="AJ41" i="30"/>
  <c r="AI41" i="30"/>
  <c r="AH41" i="30"/>
  <c r="AG41" i="30"/>
  <c r="AS40" i="30"/>
  <c r="AR40" i="30"/>
  <c r="AQ40" i="30"/>
  <c r="AP40" i="30"/>
  <c r="AO40" i="30"/>
  <c r="AN40" i="30"/>
  <c r="AM40" i="30"/>
  <c r="AL40" i="30"/>
  <c r="AK40" i="30"/>
  <c r="AJ40" i="30"/>
  <c r="AI40" i="30"/>
  <c r="AH40" i="30"/>
  <c r="AG40" i="30"/>
  <c r="AS39" i="30"/>
  <c r="AR39" i="30"/>
  <c r="AQ39" i="30"/>
  <c r="AP39" i="30"/>
  <c r="AO39" i="30"/>
  <c r="AN39" i="30"/>
  <c r="AM39" i="30"/>
  <c r="AL39" i="30"/>
  <c r="AK39" i="30"/>
  <c r="AJ39" i="30"/>
  <c r="AI39" i="30"/>
  <c r="AH39" i="30"/>
  <c r="AG39" i="30"/>
  <c r="AS38" i="30"/>
  <c r="AR38" i="30"/>
  <c r="AQ38" i="30"/>
  <c r="AP38" i="30"/>
  <c r="AO38" i="30"/>
  <c r="AN38" i="30"/>
  <c r="AM38" i="30"/>
  <c r="AL38" i="30"/>
  <c r="AK38" i="30"/>
  <c r="AJ38" i="30"/>
  <c r="AI38" i="30"/>
  <c r="AH38" i="30"/>
  <c r="AG38" i="30"/>
  <c r="AS37" i="30"/>
  <c r="AR37" i="30"/>
  <c r="AQ37" i="30"/>
  <c r="AP37" i="30"/>
  <c r="AO37" i="30"/>
  <c r="AN37" i="30"/>
  <c r="AM37" i="30"/>
  <c r="AL37" i="30"/>
  <c r="AK37" i="30"/>
  <c r="AJ37" i="30"/>
  <c r="AI37" i="30"/>
  <c r="AH37" i="30"/>
  <c r="AG37" i="30"/>
  <c r="AS36" i="30"/>
  <c r="AR36" i="30"/>
  <c r="AQ36" i="30"/>
  <c r="AP36" i="30"/>
  <c r="AO36" i="30"/>
  <c r="AN36" i="30"/>
  <c r="AM36" i="30"/>
  <c r="AL36" i="30"/>
  <c r="AK36" i="30"/>
  <c r="AJ36" i="30"/>
  <c r="AI36" i="30"/>
  <c r="AH36" i="30"/>
  <c r="AG36" i="30"/>
  <c r="AS35" i="30"/>
  <c r="AR35" i="30"/>
  <c r="AQ35" i="30"/>
  <c r="AP35" i="30"/>
  <c r="AO35" i="30"/>
  <c r="AN35" i="30"/>
  <c r="AM35" i="30"/>
  <c r="AL35" i="30"/>
  <c r="AK35" i="30"/>
  <c r="AJ35" i="30"/>
  <c r="AI35" i="30"/>
  <c r="AH35" i="30"/>
  <c r="AG35" i="30"/>
  <c r="AS34" i="30"/>
  <c r="AR34" i="30"/>
  <c r="AQ34" i="30"/>
  <c r="AP34" i="30"/>
  <c r="AO34" i="30"/>
  <c r="AN34" i="30"/>
  <c r="AM34" i="30"/>
  <c r="AL34" i="30"/>
  <c r="AK34" i="30"/>
  <c r="AJ34" i="30"/>
  <c r="AI34" i="30"/>
  <c r="AH34" i="30"/>
  <c r="AG34" i="30"/>
  <c r="AS33" i="30"/>
  <c r="AR33" i="30"/>
  <c r="AQ33" i="30"/>
  <c r="AP33" i="30"/>
  <c r="AO33" i="30"/>
  <c r="AN33" i="30"/>
  <c r="AM33" i="30"/>
  <c r="AL33" i="30"/>
  <c r="AK33" i="30"/>
  <c r="AJ33" i="30"/>
  <c r="AI33" i="30"/>
  <c r="AH33" i="30"/>
  <c r="AG33" i="30"/>
  <c r="AS32" i="30"/>
  <c r="AR32" i="30"/>
  <c r="AQ32" i="30"/>
  <c r="AP32" i="30"/>
  <c r="AO32" i="30"/>
  <c r="AN32" i="30"/>
  <c r="AM32" i="30"/>
  <c r="AL32" i="30"/>
  <c r="AK32" i="30"/>
  <c r="AJ32" i="30"/>
  <c r="AI32" i="30"/>
  <c r="AH32" i="30"/>
  <c r="AG32" i="30"/>
  <c r="AS31" i="30"/>
  <c r="AR31" i="30"/>
  <c r="AQ31" i="30"/>
  <c r="AP31" i="30"/>
  <c r="AO31" i="30"/>
  <c r="AN31" i="30"/>
  <c r="AM31" i="30"/>
  <c r="AL31" i="30"/>
  <c r="AK31" i="30"/>
  <c r="AJ31" i="30"/>
  <c r="AI31" i="30"/>
  <c r="AH31" i="30"/>
  <c r="AG31" i="30"/>
  <c r="AT34" i="30" l="1" a="1"/>
  <c r="AT34" i="30" s="1"/>
  <c r="AT38" i="30" a="1"/>
  <c r="AT38" i="30" s="1"/>
  <c r="AT42" i="30" a="1"/>
  <c r="AT42" i="30" s="1"/>
  <c r="AT46" i="30" a="1"/>
  <c r="AT46" i="30" s="1"/>
  <c r="AT50" i="30" a="1"/>
  <c r="AT50" i="30" s="1"/>
  <c r="AT54" i="30" a="1"/>
  <c r="AT54" i="30" s="1"/>
  <c r="AT58" i="30" a="1"/>
  <c r="AT58" i="30" s="1"/>
  <c r="AT62" i="30" a="1"/>
  <c r="AT62" i="30" s="1"/>
  <c r="AT31" i="30" a="1"/>
  <c r="AT31" i="30" s="1"/>
  <c r="AT35" i="30" a="1"/>
  <c r="AT35" i="30" s="1"/>
  <c r="AT39" i="30" a="1"/>
  <c r="AT39" i="30" s="1"/>
  <c r="AT43" i="30" a="1"/>
  <c r="AT43" i="30" s="1"/>
  <c r="AT47" i="30" a="1"/>
  <c r="AT47" i="30" s="1"/>
  <c r="AT51" i="30" a="1"/>
  <c r="AT51" i="30" s="1"/>
  <c r="AT55" i="30" a="1"/>
  <c r="AT55" i="30" s="1"/>
  <c r="AT59" i="30" a="1"/>
  <c r="AT59" i="30" s="1"/>
  <c r="AT63" i="30" a="1"/>
  <c r="AT63" i="30" s="1"/>
  <c r="AT64" i="30" a="1"/>
  <c r="AT64" i="30" s="1"/>
  <c r="AT32" i="30" a="1"/>
  <c r="AT32" i="30" s="1"/>
  <c r="AT33" i="30" a="1"/>
  <c r="AT33" i="30" s="1"/>
  <c r="AT36" i="30" a="1"/>
  <c r="AT36" i="30" s="1"/>
  <c r="AT37" i="30" a="1"/>
  <c r="AT37" i="30" s="1"/>
  <c r="AT40" i="30" a="1"/>
  <c r="AT40" i="30" s="1"/>
  <c r="AT41" i="30" a="1"/>
  <c r="AT41" i="30" s="1"/>
  <c r="AT44" i="30" a="1"/>
  <c r="AT44" i="30" s="1"/>
  <c r="AT45" i="30" a="1"/>
  <c r="AT45" i="30" s="1"/>
  <c r="AT48" i="30" a="1"/>
  <c r="AT48" i="30" s="1"/>
  <c r="AT49" i="30" a="1"/>
  <c r="AT49" i="30" s="1"/>
  <c r="AT52" i="30" a="1"/>
  <c r="AT52" i="30" s="1"/>
  <c r="AT53" i="30" a="1"/>
  <c r="AT53" i="30" s="1"/>
  <c r="AT56" i="30" a="1"/>
  <c r="AT56" i="30" s="1"/>
  <c r="AT57" i="30" a="1"/>
  <c r="AT57" i="30" s="1"/>
  <c r="AT60" i="30" a="1"/>
  <c r="AT60" i="30" s="1"/>
  <c r="AT61" i="30" a="1"/>
  <c r="AT61" i="30" s="1"/>
  <c r="AT65" i="30" a="1"/>
  <c r="AT65" i="30" s="1"/>
  <c r="A133" i="4" l="1"/>
  <c r="C30" i="5" l="1"/>
  <c r="C29" i="5"/>
  <c r="C28" i="5"/>
  <c r="C27" i="5"/>
  <c r="C26" i="5"/>
  <c r="C25" i="5"/>
  <c r="C24" i="5"/>
  <c r="C22" i="5"/>
  <c r="C21" i="5"/>
  <c r="C20" i="5"/>
  <c r="C19" i="5"/>
  <c r="C18" i="5"/>
  <c r="C17" i="5"/>
  <c r="C16" i="5"/>
  <c r="C15" i="5"/>
  <c r="C14" i="5"/>
  <c r="C13" i="5"/>
  <c r="C12" i="5"/>
  <c r="C11" i="5"/>
  <c r="C10" i="5"/>
  <c r="C9" i="5"/>
  <c r="C8" i="5"/>
  <c r="C7" i="5"/>
  <c r="B30" i="5" l="1"/>
  <c r="B29" i="5"/>
  <c r="B28" i="5"/>
  <c r="B27" i="5"/>
  <c r="B26" i="5"/>
  <c r="B25" i="5"/>
  <c r="B24" i="5"/>
  <c r="C23" i="5"/>
  <c r="B23" i="5" s="1"/>
  <c r="B22" i="5"/>
  <c r="B21" i="5"/>
  <c r="B20" i="5"/>
  <c r="B19" i="5"/>
  <c r="B18" i="5"/>
  <c r="B17" i="5"/>
  <c r="B16" i="5"/>
  <c r="B15" i="5"/>
  <c r="B14" i="5"/>
  <c r="B13" i="5"/>
  <c r="B12" i="5"/>
  <c r="B11" i="5"/>
  <c r="B10" i="5"/>
  <c r="B9" i="5"/>
  <c r="B8" i="5"/>
  <c r="C6" i="5"/>
  <c r="B6" i="5" s="1"/>
  <c r="B7" i="5"/>
  <c r="C13" i="30" l="1"/>
  <c r="C13" i="31"/>
  <c r="C17" i="30"/>
  <c r="C17" i="31"/>
  <c r="C21" i="30"/>
  <c r="C21" i="31"/>
  <c r="C29" i="30"/>
  <c r="C29" i="31"/>
  <c r="C7" i="30"/>
  <c r="C7" i="31"/>
  <c r="C10" i="30"/>
  <c r="C10" i="31"/>
  <c r="C14" i="30"/>
  <c r="C14" i="31"/>
  <c r="C18" i="30"/>
  <c r="C18" i="31"/>
  <c r="C22" i="30"/>
  <c r="C22" i="31"/>
  <c r="C26" i="30"/>
  <c r="C26" i="31"/>
  <c r="C30" i="30"/>
  <c r="C30" i="31"/>
  <c r="C23" i="30"/>
  <c r="C23" i="31"/>
  <c r="C6" i="30"/>
  <c r="C6" i="31"/>
  <c r="C11" i="30"/>
  <c r="C11" i="31"/>
  <c r="C15" i="30"/>
  <c r="C15" i="31"/>
  <c r="C19" i="30"/>
  <c r="C19" i="31"/>
  <c r="C27" i="30"/>
  <c r="C27" i="31"/>
  <c r="C8" i="30"/>
  <c r="C8" i="31"/>
  <c r="C12" i="30"/>
  <c r="C12" i="31"/>
  <c r="C16" i="30"/>
  <c r="C16" i="31"/>
  <c r="C20" i="30"/>
  <c r="C20" i="31"/>
  <c r="C24" i="30"/>
  <c r="C24" i="31"/>
  <c r="C28" i="30"/>
  <c r="C28" i="31"/>
  <c r="C9" i="30"/>
  <c r="C9" i="31"/>
  <c r="C25" i="30"/>
  <c r="C25" i="31"/>
  <c r="C41" i="27"/>
  <c r="C40" i="27"/>
  <c r="F21" i="20" l="1"/>
  <c r="F20" i="20"/>
  <c r="C51" i="2" l="1"/>
  <c r="D57" i="2" l="1"/>
  <c r="C276" i="4" l="1"/>
  <c r="C278" i="4" s="1"/>
  <c r="I275" i="4"/>
  <c r="G275" i="4"/>
  <c r="F275" i="4"/>
  <c r="F276" i="4" s="1"/>
  <c r="E275" i="4"/>
  <c r="E276" i="4" s="1"/>
  <c r="D275" i="4"/>
  <c r="D276" i="4" s="1"/>
  <c r="D278" i="4" l="1"/>
  <c r="E278" i="4" s="1"/>
  <c r="F278" i="4" s="1"/>
  <c r="H162" i="4" l="1"/>
  <c r="E159" i="4"/>
  <c r="D159" i="4"/>
  <c r="H153" i="4"/>
  <c r="E150" i="4"/>
  <c r="D150" i="4"/>
  <c r="A144" i="4"/>
  <c r="A142" i="4"/>
  <c r="A141" i="4"/>
  <c r="A140" i="4"/>
  <c r="A139" i="4"/>
  <c r="A138" i="4"/>
  <c r="E137" i="4"/>
  <c r="B137" i="4"/>
  <c r="C154" i="4" l="1"/>
  <c r="D154" i="4" s="1"/>
  <c r="E154" i="4" s="1"/>
  <c r="F154" i="4" s="1"/>
  <c r="G154" i="4" s="1"/>
  <c r="H154" i="4" s="1"/>
  <c r="E138" i="4" s="1"/>
  <c r="B141" i="4"/>
  <c r="B138" i="4"/>
  <c r="C163" i="4"/>
  <c r="D163" i="4" s="1"/>
  <c r="E163" i="4" s="1"/>
  <c r="F163" i="4" s="1"/>
  <c r="G163" i="4" s="1"/>
  <c r="H163" i="4" s="1"/>
  <c r="E142" i="4" s="1"/>
  <c r="F137" i="4"/>
  <c r="G137" i="4" s="1"/>
  <c r="H137" i="4" s="1"/>
  <c r="B142" i="4"/>
  <c r="B140" i="4"/>
  <c r="B139" i="4"/>
  <c r="C39" i="27"/>
  <c r="C35" i="27" s="1"/>
  <c r="C45" i="27" s="1"/>
  <c r="C58" i="27" s="1"/>
  <c r="D77" i="28" l="1"/>
  <c r="E88" i="28"/>
  <c r="E87" i="28"/>
  <c r="E86" i="28"/>
  <c r="E85" i="28"/>
  <c r="E84" i="28"/>
  <c r="C83" i="28"/>
  <c r="E83" i="28" s="1"/>
  <c r="C82" i="28"/>
  <c r="E82" i="28" s="1"/>
  <c r="C81" i="28"/>
  <c r="E81" i="28" s="1"/>
  <c r="C80" i="28"/>
  <c r="E80" i="28" s="1"/>
  <c r="E53" i="28"/>
  <c r="D52" i="28"/>
  <c r="D57" i="28" s="1"/>
  <c r="D70" i="28" s="1"/>
  <c r="E89" i="28" l="1"/>
  <c r="E49" i="28" s="1"/>
  <c r="F37" i="9"/>
  <c r="D20" i="9"/>
  <c r="C20" i="9"/>
  <c r="AD30" i="5" l="1"/>
  <c r="Z30" i="5"/>
  <c r="L30" i="30" s="1"/>
  <c r="AO30" i="30" s="1"/>
  <c r="Y30" i="5"/>
  <c r="K30" i="30" s="1"/>
  <c r="AN30" i="30" s="1"/>
  <c r="V30" i="5"/>
  <c r="H30" i="30" s="1"/>
  <c r="AK30" i="30" s="1"/>
  <c r="R30" i="5"/>
  <c r="AD29" i="5"/>
  <c r="AA29" i="5"/>
  <c r="W29" i="5"/>
  <c r="I29" i="30" s="1"/>
  <c r="AL29" i="30" s="1"/>
  <c r="V29" i="5"/>
  <c r="H29" i="30" s="1"/>
  <c r="AK29" i="30" s="1"/>
  <c r="S29" i="5"/>
  <c r="E29" i="30" s="1"/>
  <c r="AH29" i="30" s="1"/>
  <c r="AB28" i="5"/>
  <c r="AA28" i="5"/>
  <c r="X28" i="5"/>
  <c r="T28" i="5"/>
  <c r="S28" i="5"/>
  <c r="AC27" i="5"/>
  <c r="Y27" i="5"/>
  <c r="X27" i="5"/>
  <c r="U27" i="5"/>
  <c r="AD26" i="5"/>
  <c r="AC26" i="5"/>
  <c r="Z26" i="5"/>
  <c r="V26" i="5"/>
  <c r="U26" i="5"/>
  <c r="R26" i="5"/>
  <c r="AA25" i="5"/>
  <c r="Z25" i="5"/>
  <c r="W25" i="5"/>
  <c r="S25" i="5"/>
  <c r="R25" i="5"/>
  <c r="AB24" i="5"/>
  <c r="X24" i="5"/>
  <c r="W24" i="5"/>
  <c r="T24" i="5"/>
  <c r="AC23" i="5"/>
  <c r="AB23" i="5"/>
  <c r="Y23" i="5"/>
  <c r="U23" i="5"/>
  <c r="T23" i="5"/>
  <c r="AD22" i="5"/>
  <c r="Z22" i="5"/>
  <c r="Y22" i="5"/>
  <c r="V22" i="5"/>
  <c r="R22" i="5"/>
  <c r="AD21" i="5"/>
  <c r="AA21" i="5"/>
  <c r="W21" i="5"/>
  <c r="V21" i="5"/>
  <c r="S21" i="5"/>
  <c r="AB20" i="5"/>
  <c r="AA20" i="5"/>
  <c r="X20" i="5"/>
  <c r="T20" i="5"/>
  <c r="S20" i="5"/>
  <c r="AC19" i="5"/>
  <c r="Y19" i="5"/>
  <c r="X19" i="5"/>
  <c r="U19" i="5"/>
  <c r="AD18" i="5"/>
  <c r="AC18" i="5"/>
  <c r="Z18" i="5"/>
  <c r="V18" i="5"/>
  <c r="U18" i="5"/>
  <c r="R18" i="5"/>
  <c r="AA17" i="5"/>
  <c r="W17" i="5"/>
  <c r="S17" i="5"/>
  <c r="AB16" i="5"/>
  <c r="X16" i="5"/>
  <c r="T16" i="5"/>
  <c r="AC15" i="5"/>
  <c r="Y15" i="5"/>
  <c r="U15" i="5"/>
  <c r="AD14" i="5"/>
  <c r="Z14" i="5"/>
  <c r="V14" i="5"/>
  <c r="R14" i="5"/>
  <c r="AA13" i="5"/>
  <c r="W13" i="5"/>
  <c r="S13" i="5"/>
  <c r="AB12" i="5"/>
  <c r="X12" i="5"/>
  <c r="T12" i="5"/>
  <c r="AC11" i="5"/>
  <c r="Y11" i="5"/>
  <c r="U11" i="5"/>
  <c r="AD10" i="5"/>
  <c r="Z10" i="5"/>
  <c r="V10" i="5"/>
  <c r="R10" i="5"/>
  <c r="AA9" i="5"/>
  <c r="W9" i="5"/>
  <c r="S9" i="5"/>
  <c r="AB8" i="5"/>
  <c r="X8" i="5"/>
  <c r="T8" i="5"/>
  <c r="AC7" i="5"/>
  <c r="Y7" i="5"/>
  <c r="U7" i="5"/>
  <c r="AD6" i="5"/>
  <c r="Z6" i="5"/>
  <c r="V6" i="5"/>
  <c r="R6" i="5"/>
  <c r="B30" i="14"/>
  <c r="B29" i="14"/>
  <c r="B28" i="14"/>
  <c r="B27" i="14"/>
  <c r="B26" i="14"/>
  <c r="B25" i="14"/>
  <c r="B24" i="14"/>
  <c r="B23" i="14"/>
  <c r="B22" i="14"/>
  <c r="B21" i="14"/>
  <c r="B20" i="14"/>
  <c r="B19" i="14"/>
  <c r="B18" i="14"/>
  <c r="B17" i="14"/>
  <c r="B16" i="14"/>
  <c r="B15" i="14"/>
  <c r="B14" i="14"/>
  <c r="B13" i="14"/>
  <c r="B12" i="14"/>
  <c r="B11" i="14"/>
  <c r="B10" i="14"/>
  <c r="B9" i="14"/>
  <c r="B8" i="14"/>
  <c r="B7" i="14"/>
  <c r="B6" i="14"/>
  <c r="S6" i="5" l="1"/>
  <c r="W6" i="5"/>
  <c r="AA6" i="5"/>
  <c r="R7" i="5"/>
  <c r="V7" i="5"/>
  <c r="Z7" i="5"/>
  <c r="AD7" i="5"/>
  <c r="U8" i="5"/>
  <c r="Y8" i="5"/>
  <c r="AC8" i="5"/>
  <c r="T9" i="5"/>
  <c r="X9" i="5"/>
  <c r="AB9" i="5"/>
  <c r="S10" i="5"/>
  <c r="W10" i="5"/>
  <c r="AA10" i="5"/>
  <c r="R11" i="5"/>
  <c r="V11" i="5"/>
  <c r="Z11" i="5"/>
  <c r="AD11" i="5"/>
  <c r="U12" i="5"/>
  <c r="Y12" i="5"/>
  <c r="AC12" i="5"/>
  <c r="T13" i="5"/>
  <c r="X13" i="5"/>
  <c r="AB13" i="5"/>
  <c r="S14" i="5"/>
  <c r="W14" i="5"/>
  <c r="AA14" i="5"/>
  <c r="R15" i="5"/>
  <c r="V15" i="5"/>
  <c r="Z15" i="5"/>
  <c r="AD15" i="5"/>
  <c r="U16" i="5"/>
  <c r="Y16" i="5"/>
  <c r="AC16" i="5"/>
  <c r="T17" i="5"/>
  <c r="X17" i="5"/>
  <c r="AB17" i="5"/>
  <c r="S18" i="5"/>
  <c r="W18" i="5"/>
  <c r="AA18" i="5"/>
  <c r="R19" i="5"/>
  <c r="V19" i="5"/>
  <c r="Z19" i="5"/>
  <c r="AD19" i="5"/>
  <c r="U20" i="5"/>
  <c r="Y20" i="5"/>
  <c r="AC20" i="5"/>
  <c r="T21" i="5"/>
  <c r="X21" i="5"/>
  <c r="AB21" i="5"/>
  <c r="S22" i="5"/>
  <c r="W22" i="5"/>
  <c r="AA22" i="5"/>
  <c r="R23" i="5"/>
  <c r="V23" i="5"/>
  <c r="Z23" i="5"/>
  <c r="AD23" i="5"/>
  <c r="U24" i="5"/>
  <c r="Y24" i="5"/>
  <c r="AC24" i="5"/>
  <c r="T25" i="5"/>
  <c r="X25" i="5"/>
  <c r="AB25" i="5"/>
  <c r="S26" i="5"/>
  <c r="W26" i="5"/>
  <c r="AA26" i="5"/>
  <c r="R27" i="5"/>
  <c r="V27" i="5"/>
  <c r="Z27" i="5"/>
  <c r="AD27" i="5"/>
  <c r="U28" i="5"/>
  <c r="Y28" i="5"/>
  <c r="AC28" i="5"/>
  <c r="T29" i="5"/>
  <c r="F29" i="30" s="1"/>
  <c r="AI29" i="30" s="1"/>
  <c r="X29" i="5"/>
  <c r="AB29" i="5"/>
  <c r="S30" i="5"/>
  <c r="E30" i="30" s="1"/>
  <c r="AH30" i="30" s="1"/>
  <c r="W30" i="5"/>
  <c r="I30" i="30" s="1"/>
  <c r="AL30" i="30" s="1"/>
  <c r="AA30" i="5"/>
  <c r="T6" i="5"/>
  <c r="X6" i="5"/>
  <c r="AB6" i="5"/>
  <c r="S7" i="5"/>
  <c r="W7" i="5"/>
  <c r="AA7" i="5"/>
  <c r="R8" i="5"/>
  <c r="V8" i="5"/>
  <c r="Z8" i="5"/>
  <c r="AD8" i="5"/>
  <c r="U9" i="5"/>
  <c r="Y9" i="5"/>
  <c r="AC9" i="5"/>
  <c r="T10" i="5"/>
  <c r="X10" i="5"/>
  <c r="AB10" i="5"/>
  <c r="S11" i="5"/>
  <c r="W11" i="5"/>
  <c r="AA11" i="5"/>
  <c r="R12" i="5"/>
  <c r="V12" i="5"/>
  <c r="Z12" i="5"/>
  <c r="AD12" i="5"/>
  <c r="U13" i="5"/>
  <c r="Y13" i="5"/>
  <c r="AC13" i="5"/>
  <c r="T14" i="5"/>
  <c r="X14" i="5"/>
  <c r="AB14" i="5"/>
  <c r="S15" i="5"/>
  <c r="W15" i="5"/>
  <c r="AA15" i="5"/>
  <c r="R16" i="5"/>
  <c r="V16" i="5"/>
  <c r="Z16" i="5"/>
  <c r="AD16" i="5"/>
  <c r="U17" i="5"/>
  <c r="Y17" i="5"/>
  <c r="AC17" i="5"/>
  <c r="T18" i="5"/>
  <c r="X18" i="5"/>
  <c r="AB18" i="5"/>
  <c r="S19" i="5"/>
  <c r="W19" i="5"/>
  <c r="AA19" i="5"/>
  <c r="R20" i="5"/>
  <c r="V20" i="5"/>
  <c r="Z20" i="5"/>
  <c r="AD20" i="5"/>
  <c r="U21" i="5"/>
  <c r="Y21" i="5"/>
  <c r="AC21" i="5"/>
  <c r="T22" i="5"/>
  <c r="X22" i="5"/>
  <c r="AB22" i="5"/>
  <c r="S23" i="5"/>
  <c r="W23" i="5"/>
  <c r="AA23" i="5"/>
  <c r="R24" i="5"/>
  <c r="V24" i="5"/>
  <c r="Z24" i="5"/>
  <c r="AD24" i="5"/>
  <c r="U25" i="5"/>
  <c r="Y25" i="5"/>
  <c r="AC25" i="5"/>
  <c r="T26" i="5"/>
  <c r="X26" i="5"/>
  <c r="AB26" i="5"/>
  <c r="S27" i="5"/>
  <c r="W27" i="5"/>
  <c r="AA27" i="5"/>
  <c r="R28" i="5"/>
  <c r="V28" i="5"/>
  <c r="Z28" i="5"/>
  <c r="AD28" i="5"/>
  <c r="U29" i="5"/>
  <c r="Y29" i="5"/>
  <c r="K29" i="30" s="1"/>
  <c r="AN29" i="30" s="1"/>
  <c r="AC29" i="5"/>
  <c r="T30" i="5"/>
  <c r="F30" i="30" s="1"/>
  <c r="AI30" i="30" s="1"/>
  <c r="X30" i="5"/>
  <c r="AB30" i="5"/>
  <c r="U6" i="5"/>
  <c r="Y6" i="5"/>
  <c r="AC6" i="5"/>
  <c r="T7" i="5"/>
  <c r="X7" i="5"/>
  <c r="AB7" i="5"/>
  <c r="S8" i="5"/>
  <c r="W8" i="5"/>
  <c r="AA8" i="5"/>
  <c r="R9" i="5"/>
  <c r="V9" i="5"/>
  <c r="Z9" i="5"/>
  <c r="AD9" i="5"/>
  <c r="U10" i="5"/>
  <c r="Y10" i="5"/>
  <c r="AC10" i="5"/>
  <c r="T11" i="5"/>
  <c r="X11" i="5"/>
  <c r="AB11" i="5"/>
  <c r="S12" i="5"/>
  <c r="W12" i="5"/>
  <c r="AA12" i="5"/>
  <c r="R13" i="5"/>
  <c r="V13" i="5"/>
  <c r="Z13" i="5"/>
  <c r="AD13" i="5"/>
  <c r="U14" i="5"/>
  <c r="Y14" i="5"/>
  <c r="AC14" i="5"/>
  <c r="T15" i="5"/>
  <c r="X15" i="5"/>
  <c r="AB15" i="5"/>
  <c r="S16" i="5"/>
  <c r="W16" i="5"/>
  <c r="AA16" i="5"/>
  <c r="R17" i="5"/>
  <c r="V17" i="5"/>
  <c r="Z17" i="5"/>
  <c r="AD17" i="5"/>
  <c r="Y18" i="5"/>
  <c r="T19" i="5"/>
  <c r="AB19" i="5"/>
  <c r="W20" i="5"/>
  <c r="R21" i="5"/>
  <c r="Z21" i="5"/>
  <c r="U22" i="5"/>
  <c r="AC22" i="5"/>
  <c r="X23" i="5"/>
  <c r="S24" i="5"/>
  <c r="AA24" i="5"/>
  <c r="V25" i="5"/>
  <c r="AD25" i="5"/>
  <c r="Y26" i="5"/>
  <c r="T27" i="5"/>
  <c r="AB27" i="5"/>
  <c r="W28" i="5"/>
  <c r="R29" i="5"/>
  <c r="Z29" i="5"/>
  <c r="L29" i="30" s="1"/>
  <c r="AO29" i="30" s="1"/>
  <c r="U30" i="5"/>
  <c r="AC30" i="5"/>
  <c r="A111" i="4" l="1"/>
  <c r="A109" i="4"/>
  <c r="A108" i="4"/>
  <c r="A107" i="4"/>
  <c r="A106" i="4"/>
  <c r="A105" i="4"/>
  <c r="E104" i="4"/>
  <c r="F104" i="4" s="1"/>
  <c r="G104" i="4" s="1"/>
  <c r="H104" i="4" s="1"/>
  <c r="B104" i="4"/>
  <c r="A131" i="4"/>
  <c r="A130" i="4"/>
  <c r="A129" i="4"/>
  <c r="A128" i="4"/>
  <c r="A127" i="4"/>
  <c r="E126" i="4"/>
  <c r="F126" i="4" s="1"/>
  <c r="G126" i="4" s="1"/>
  <c r="H126" i="4" s="1"/>
  <c r="B126" i="4"/>
  <c r="B130" i="4" s="1"/>
  <c r="B108" i="4" l="1"/>
  <c r="B105" i="4"/>
  <c r="B107" i="4"/>
  <c r="B109" i="4"/>
  <c r="B106" i="4"/>
  <c r="B127" i="4"/>
  <c r="B129" i="4"/>
  <c r="B131" i="4"/>
  <c r="B128" i="4"/>
  <c r="B30" i="18" l="1"/>
  <c r="B29" i="18"/>
  <c r="AD30" i="14" l="1"/>
  <c r="AD30" i="18" s="1"/>
  <c r="AC30" i="14"/>
  <c r="AC30" i="18" s="1"/>
  <c r="AB30" i="14"/>
  <c r="AB30" i="18" s="1"/>
  <c r="AA30" i="14"/>
  <c r="AA30" i="18" s="1"/>
  <c r="Z30" i="14"/>
  <c r="Z30" i="18" s="1"/>
  <c r="Y30" i="14"/>
  <c r="Y30" i="18" s="1"/>
  <c r="X30" i="14"/>
  <c r="X30" i="18" s="1"/>
  <c r="W30" i="14"/>
  <c r="W30" i="18" s="1"/>
  <c r="V30" i="14"/>
  <c r="V30" i="18" s="1"/>
  <c r="U30" i="14"/>
  <c r="U30" i="18" s="1"/>
  <c r="T30" i="14"/>
  <c r="T30" i="18" s="1"/>
  <c r="S30" i="14"/>
  <c r="S30" i="18" s="1"/>
  <c r="R30" i="14"/>
  <c r="R30" i="18" s="1"/>
  <c r="AD29" i="14"/>
  <c r="AD29" i="18" s="1"/>
  <c r="AC29" i="14"/>
  <c r="AC29" i="18" s="1"/>
  <c r="AB29" i="14"/>
  <c r="AB29" i="18" s="1"/>
  <c r="AA29" i="14"/>
  <c r="AA29" i="18" s="1"/>
  <c r="Z29" i="14"/>
  <c r="Z29" i="18" s="1"/>
  <c r="Y29" i="14"/>
  <c r="Y29" i="18" s="1"/>
  <c r="X29" i="14"/>
  <c r="X29" i="18" s="1"/>
  <c r="W29" i="14"/>
  <c r="W29" i="18" s="1"/>
  <c r="V29" i="14"/>
  <c r="V29" i="18" s="1"/>
  <c r="U29" i="14"/>
  <c r="U29" i="18" s="1"/>
  <c r="T29" i="14"/>
  <c r="T29" i="18" s="1"/>
  <c r="S29" i="14"/>
  <c r="S29" i="18" s="1"/>
  <c r="R29" i="14"/>
  <c r="R29" i="18" s="1"/>
  <c r="AD28" i="14"/>
  <c r="AC28" i="14"/>
  <c r="AB28" i="14"/>
  <c r="AA28" i="14"/>
  <c r="Z28" i="14"/>
  <c r="Y28" i="14"/>
  <c r="X28" i="14"/>
  <c r="W28" i="14"/>
  <c r="V28" i="14"/>
  <c r="U28" i="14"/>
  <c r="T28" i="14"/>
  <c r="S28" i="14"/>
  <c r="R28" i="14"/>
  <c r="AD27" i="14"/>
  <c r="AC27" i="14"/>
  <c r="AB27" i="14"/>
  <c r="AA27" i="14"/>
  <c r="Z27" i="14"/>
  <c r="Y27" i="14"/>
  <c r="X27" i="14"/>
  <c r="W27" i="14"/>
  <c r="V27" i="14"/>
  <c r="U27" i="14"/>
  <c r="T27" i="14"/>
  <c r="S27" i="14"/>
  <c r="R27" i="14"/>
  <c r="AD26" i="14"/>
  <c r="AC26" i="14"/>
  <c r="AB26" i="14"/>
  <c r="AA26" i="14"/>
  <c r="Z26" i="14"/>
  <c r="Y26" i="14"/>
  <c r="X26" i="14"/>
  <c r="W26" i="14"/>
  <c r="V26" i="14"/>
  <c r="U26" i="14"/>
  <c r="T26" i="14"/>
  <c r="S26" i="14"/>
  <c r="R26" i="14"/>
  <c r="AD25" i="14"/>
  <c r="AC25" i="14"/>
  <c r="AB25" i="14"/>
  <c r="AA25" i="14"/>
  <c r="Z25" i="14"/>
  <c r="Y25" i="14"/>
  <c r="X25" i="14"/>
  <c r="W25" i="14"/>
  <c r="V25" i="14"/>
  <c r="U25" i="14"/>
  <c r="T25" i="14"/>
  <c r="S25" i="14"/>
  <c r="R25" i="14"/>
  <c r="AD24" i="14"/>
  <c r="AC24" i="14"/>
  <c r="AB24" i="14"/>
  <c r="AA24" i="14"/>
  <c r="Z24" i="14"/>
  <c r="Y24" i="14"/>
  <c r="X24" i="14"/>
  <c r="W24" i="14"/>
  <c r="V24" i="14"/>
  <c r="U24" i="14"/>
  <c r="T24" i="14"/>
  <c r="S24" i="14"/>
  <c r="R24" i="14"/>
  <c r="AD23" i="14"/>
  <c r="AC23" i="14"/>
  <c r="AB23" i="14"/>
  <c r="AA23" i="14"/>
  <c r="Z23" i="14"/>
  <c r="Y23" i="14"/>
  <c r="X23" i="14"/>
  <c r="W23" i="14"/>
  <c r="V23" i="14"/>
  <c r="U23" i="14"/>
  <c r="T23" i="14"/>
  <c r="S23" i="14"/>
  <c r="R23" i="14"/>
  <c r="AD22" i="14"/>
  <c r="AC22" i="14"/>
  <c r="AB22" i="14"/>
  <c r="AA22" i="14"/>
  <c r="Z22" i="14"/>
  <c r="Y22" i="14"/>
  <c r="X22" i="14"/>
  <c r="W22" i="14"/>
  <c r="V22" i="14"/>
  <c r="U22" i="14"/>
  <c r="T22" i="14"/>
  <c r="S22" i="14"/>
  <c r="R22" i="14"/>
  <c r="AD21" i="14"/>
  <c r="AC21" i="14"/>
  <c r="AB21" i="14"/>
  <c r="AA21" i="14"/>
  <c r="Z21" i="14"/>
  <c r="Y21" i="14"/>
  <c r="X21" i="14"/>
  <c r="W21" i="14"/>
  <c r="V21" i="14"/>
  <c r="U21" i="14"/>
  <c r="T21" i="14"/>
  <c r="S21" i="14"/>
  <c r="R21" i="14"/>
  <c r="AD20" i="14"/>
  <c r="AC20" i="14"/>
  <c r="AB20" i="14"/>
  <c r="AA20" i="14"/>
  <c r="Z20" i="14"/>
  <c r="Y20" i="14"/>
  <c r="X20" i="14"/>
  <c r="W20" i="14"/>
  <c r="V20" i="14"/>
  <c r="U20" i="14"/>
  <c r="T20" i="14"/>
  <c r="S20" i="14"/>
  <c r="R20" i="14"/>
  <c r="AD19" i="14"/>
  <c r="AC19" i="14"/>
  <c r="AB19" i="14"/>
  <c r="AA19" i="14"/>
  <c r="Z19" i="14"/>
  <c r="Y19" i="14"/>
  <c r="X19" i="14"/>
  <c r="W19" i="14"/>
  <c r="V19" i="14"/>
  <c r="U19" i="14"/>
  <c r="T19" i="14"/>
  <c r="S19" i="14"/>
  <c r="R19" i="14"/>
  <c r="AD18" i="14"/>
  <c r="AC18" i="14"/>
  <c r="AB18" i="14"/>
  <c r="AA18" i="14"/>
  <c r="Z18" i="14"/>
  <c r="Y18" i="14"/>
  <c r="X18" i="14"/>
  <c r="W18" i="14"/>
  <c r="V18" i="14"/>
  <c r="U18" i="14"/>
  <c r="T18" i="14"/>
  <c r="S18" i="14"/>
  <c r="R18" i="14"/>
  <c r="AD17" i="14"/>
  <c r="AC17" i="14"/>
  <c r="AB17" i="14"/>
  <c r="AA17" i="14"/>
  <c r="Z17" i="14"/>
  <c r="Y17" i="14"/>
  <c r="X17" i="14"/>
  <c r="W17" i="14"/>
  <c r="V17" i="14"/>
  <c r="U17" i="14"/>
  <c r="T17" i="14"/>
  <c r="S17" i="14"/>
  <c r="R17" i="14"/>
  <c r="AD16" i="14"/>
  <c r="AC16" i="14"/>
  <c r="AB16" i="14"/>
  <c r="AA16" i="14"/>
  <c r="Z16" i="14"/>
  <c r="Y16" i="14"/>
  <c r="X16" i="14"/>
  <c r="W16" i="14"/>
  <c r="V16" i="14"/>
  <c r="U16" i="14"/>
  <c r="T16" i="14"/>
  <c r="S16" i="14"/>
  <c r="R16" i="14"/>
  <c r="AD15" i="14"/>
  <c r="AC15" i="14"/>
  <c r="AB15" i="14"/>
  <c r="AA15" i="14"/>
  <c r="Z15" i="14"/>
  <c r="Y15" i="14"/>
  <c r="X15" i="14"/>
  <c r="W15" i="14"/>
  <c r="V15" i="14"/>
  <c r="U15" i="14"/>
  <c r="T15" i="14"/>
  <c r="S15" i="14"/>
  <c r="R15" i="14"/>
  <c r="AD14" i="14"/>
  <c r="AC14" i="14"/>
  <c r="AB14" i="14"/>
  <c r="AA14" i="14"/>
  <c r="Z14" i="14"/>
  <c r="Y14" i="14"/>
  <c r="X14" i="14"/>
  <c r="W14" i="14"/>
  <c r="V14" i="14"/>
  <c r="U14" i="14"/>
  <c r="T14" i="14"/>
  <c r="S14" i="14"/>
  <c r="R14" i="14"/>
  <c r="AD13" i="14"/>
  <c r="AC13" i="14"/>
  <c r="AB13" i="14"/>
  <c r="AA13" i="14"/>
  <c r="Z13" i="14"/>
  <c r="Y13" i="14"/>
  <c r="X13" i="14"/>
  <c r="W13" i="14"/>
  <c r="V13" i="14"/>
  <c r="U13" i="14"/>
  <c r="T13" i="14"/>
  <c r="S13" i="14"/>
  <c r="R13" i="14"/>
  <c r="AD12" i="14"/>
  <c r="AC12" i="14"/>
  <c r="AB12" i="14"/>
  <c r="AA12" i="14"/>
  <c r="Z12" i="14"/>
  <c r="Y12" i="14"/>
  <c r="X12" i="14"/>
  <c r="W12" i="14"/>
  <c r="V12" i="14"/>
  <c r="U12" i="14"/>
  <c r="T12" i="14"/>
  <c r="S12" i="14"/>
  <c r="R12" i="14"/>
  <c r="AD11" i="14"/>
  <c r="AC11" i="14"/>
  <c r="AB11" i="14"/>
  <c r="AA11" i="14"/>
  <c r="Z11" i="14"/>
  <c r="Y11" i="14"/>
  <c r="X11" i="14"/>
  <c r="W11" i="14"/>
  <c r="V11" i="14"/>
  <c r="U11" i="14"/>
  <c r="T11" i="14"/>
  <c r="S11" i="14"/>
  <c r="R11" i="14"/>
  <c r="AD10" i="14"/>
  <c r="AC10" i="14"/>
  <c r="AB10" i="14"/>
  <c r="AA10" i="14"/>
  <c r="Z10" i="14"/>
  <c r="Y10" i="14"/>
  <c r="X10" i="14"/>
  <c r="W10" i="14"/>
  <c r="V10" i="14"/>
  <c r="U10" i="14"/>
  <c r="T10" i="14"/>
  <c r="S10" i="14"/>
  <c r="R10" i="14"/>
  <c r="AD9" i="14"/>
  <c r="AC9" i="14"/>
  <c r="AB9" i="14"/>
  <c r="AA9" i="14"/>
  <c r="Z9" i="14"/>
  <c r="Y9" i="14"/>
  <c r="X9" i="14"/>
  <c r="W9" i="14"/>
  <c r="V9" i="14"/>
  <c r="U9" i="14"/>
  <c r="T9" i="14"/>
  <c r="S9" i="14"/>
  <c r="R9" i="14"/>
  <c r="AD8" i="14"/>
  <c r="AC8" i="14"/>
  <c r="AB8" i="14"/>
  <c r="AA8" i="14"/>
  <c r="Z8" i="14"/>
  <c r="Y8" i="14"/>
  <c r="X8" i="14"/>
  <c r="W8" i="14"/>
  <c r="V8" i="14"/>
  <c r="U8" i="14"/>
  <c r="T8" i="14"/>
  <c r="S8" i="14"/>
  <c r="R8" i="14"/>
  <c r="AD7" i="14"/>
  <c r="AC7" i="14"/>
  <c r="AB7" i="14"/>
  <c r="AA7" i="14"/>
  <c r="Z7" i="14"/>
  <c r="Y7" i="14"/>
  <c r="X7" i="14"/>
  <c r="W7" i="14"/>
  <c r="V7" i="14"/>
  <c r="U7" i="14"/>
  <c r="T7" i="14"/>
  <c r="S7" i="14"/>
  <c r="R7" i="14"/>
  <c r="AD6" i="14"/>
  <c r="AC6" i="14"/>
  <c r="AB6" i="14"/>
  <c r="AA6" i="14"/>
  <c r="Z6" i="14"/>
  <c r="Y6" i="14"/>
  <c r="X6" i="14"/>
  <c r="W6" i="14"/>
  <c r="V6" i="14"/>
  <c r="U6" i="14"/>
  <c r="T6" i="14"/>
  <c r="S6" i="14"/>
  <c r="R6" i="14"/>
  <c r="AR29" i="13"/>
  <c r="AQ29" i="13"/>
  <c r="AP29" i="13"/>
  <c r="AN29" i="13"/>
  <c r="AM29" i="13"/>
  <c r="AL29" i="13"/>
  <c r="AJ29" i="13"/>
  <c r="AI29" i="13"/>
  <c r="AH29" i="13"/>
  <c r="AF29" i="13"/>
  <c r="AG29" i="13" l="1"/>
  <c r="AK29" i="13"/>
  <c r="AO29" i="13"/>
  <c r="AS29" i="13" l="1"/>
  <c r="T29" i="15"/>
  <c r="T29" i="17" s="1"/>
  <c r="X29" i="15"/>
  <c r="X29" i="17" s="1"/>
  <c r="AB29" i="15"/>
  <c r="AB29" i="17" s="1"/>
  <c r="S30" i="15"/>
  <c r="S30" i="17" s="1"/>
  <c r="W30" i="15"/>
  <c r="W30" i="17" s="1"/>
  <c r="AA30" i="15"/>
  <c r="AA30" i="17" s="1"/>
  <c r="U29" i="15"/>
  <c r="U29" i="17" s="1"/>
  <c r="Y29" i="15"/>
  <c r="Y29" i="17" s="1"/>
  <c r="AC29" i="15"/>
  <c r="AC29" i="17" s="1"/>
  <c r="T30" i="15"/>
  <c r="T30" i="17" s="1"/>
  <c r="X30" i="15"/>
  <c r="X30" i="17" s="1"/>
  <c r="AB30" i="15"/>
  <c r="AB30" i="17" s="1"/>
  <c r="B30" i="15"/>
  <c r="B30" i="17"/>
  <c r="R29" i="15"/>
  <c r="R29" i="17" s="1"/>
  <c r="V29" i="15"/>
  <c r="V29" i="17" s="1"/>
  <c r="Z29" i="15"/>
  <c r="Z29" i="17" s="1"/>
  <c r="AD29" i="15"/>
  <c r="AD29" i="17" s="1"/>
  <c r="U30" i="15"/>
  <c r="U30" i="17" s="1"/>
  <c r="Y30" i="15"/>
  <c r="Y30" i="17" s="1"/>
  <c r="AC30" i="15"/>
  <c r="AC30" i="17" s="1"/>
  <c r="B29" i="15"/>
  <c r="B29" i="17"/>
  <c r="S29" i="15"/>
  <c r="S29" i="17" s="1"/>
  <c r="W29" i="15"/>
  <c r="W29" i="17" s="1"/>
  <c r="AA29" i="15"/>
  <c r="AA29" i="17" s="1"/>
  <c r="R30" i="15"/>
  <c r="R30" i="17" s="1"/>
  <c r="V30" i="15"/>
  <c r="V30" i="17" s="1"/>
  <c r="Z30" i="15"/>
  <c r="Z30" i="17" s="1"/>
  <c r="AD30" i="15"/>
  <c r="AD30" i="17" s="1"/>
  <c r="D119" i="4" l="1"/>
  <c r="F33" i="9"/>
  <c r="F32" i="9"/>
  <c r="F31" i="9"/>
  <c r="F30" i="9"/>
  <c r="F29" i="9"/>
  <c r="F28" i="9"/>
  <c r="F27" i="9"/>
  <c r="E98" i="9"/>
  <c r="D98" i="9"/>
  <c r="A98" i="9" a="1"/>
  <c r="A98" i="9"/>
  <c r="E97" i="9"/>
  <c r="D97" i="9"/>
  <c r="A97" i="9" a="1"/>
  <c r="A97" i="9"/>
  <c r="E96" i="9"/>
  <c r="D96" i="9"/>
  <c r="A96" i="9" a="1"/>
  <c r="A96" i="9"/>
  <c r="E95" i="9"/>
  <c r="D95" i="9"/>
  <c r="A95" i="9" a="1"/>
  <c r="A95" i="9"/>
  <c r="E94" i="9"/>
  <c r="D94" i="9"/>
  <c r="A94" i="9" a="1"/>
  <c r="A94" i="9"/>
  <c r="E93" i="9"/>
  <c r="D93" i="9"/>
  <c r="A93" i="9" a="1"/>
  <c r="A93" i="9"/>
  <c r="E92" i="9"/>
  <c r="D92" i="9"/>
  <c r="A92" i="9" a="1"/>
  <c r="A92" i="9"/>
  <c r="E91" i="9"/>
  <c r="D91" i="9"/>
  <c r="A91" i="9" a="1"/>
  <c r="A91" i="9"/>
  <c r="E90" i="9"/>
  <c r="D90" i="9"/>
  <c r="A90" i="9" a="1"/>
  <c r="A90" i="9"/>
  <c r="E89" i="9"/>
  <c r="D89" i="9"/>
  <c r="A89" i="9" a="1"/>
  <c r="A89" i="9"/>
  <c r="E88" i="9"/>
  <c r="D88" i="9"/>
  <c r="A88" i="9" a="1"/>
  <c r="A88" i="9"/>
  <c r="E87" i="9"/>
  <c r="D87" i="9"/>
  <c r="A87" i="9" a="1"/>
  <c r="A87" i="9"/>
  <c r="E86" i="9"/>
  <c r="D86" i="9"/>
  <c r="A86" i="9" a="1"/>
  <c r="A86" i="9"/>
  <c r="E85" i="9"/>
  <c r="D85" i="9"/>
  <c r="A85" i="9" a="1"/>
  <c r="A85" i="9"/>
  <c r="E84" i="9"/>
  <c r="D84" i="9"/>
  <c r="A84" i="9" a="1"/>
  <c r="A84" i="9"/>
  <c r="E83" i="9"/>
  <c r="D83" i="9"/>
  <c r="A83" i="9" a="1"/>
  <c r="A83" i="9"/>
  <c r="E82" i="9"/>
  <c r="D82" i="9"/>
  <c r="A82" i="9" a="1"/>
  <c r="A82" i="9"/>
  <c r="E81" i="9"/>
  <c r="D81" i="9"/>
  <c r="A81" i="9" a="1"/>
  <c r="A81" i="9"/>
  <c r="E80" i="9"/>
  <c r="D80" i="9"/>
  <c r="A80" i="9" a="1"/>
  <c r="A80" i="9"/>
  <c r="E79" i="9"/>
  <c r="D79" i="9"/>
  <c r="A79" i="9" a="1"/>
  <c r="A79" i="9"/>
  <c r="E78" i="9"/>
  <c r="D78" i="9"/>
  <c r="A78" i="9" a="1"/>
  <c r="A78" i="9"/>
  <c r="E77" i="9"/>
  <c r="D77" i="9"/>
  <c r="A77" i="9" a="1"/>
  <c r="A77" i="9"/>
  <c r="E76" i="9"/>
  <c r="D76" i="9"/>
  <c r="A76" i="9" a="1"/>
  <c r="A76" i="9" s="1"/>
  <c r="E75" i="9"/>
  <c r="D75" i="9"/>
  <c r="A75" i="9" a="1"/>
  <c r="A75" i="9" s="1"/>
  <c r="E74" i="9"/>
  <c r="D74" i="9"/>
  <c r="A74" i="9" a="1"/>
  <c r="A74" i="9" s="1"/>
  <c r="E73" i="9"/>
  <c r="D73" i="9"/>
  <c r="A73" i="9" a="1"/>
  <c r="A73" i="9" s="1"/>
  <c r="E72" i="9"/>
  <c r="D72" i="9"/>
  <c r="A72" i="9" a="1"/>
  <c r="A72" i="9" s="1"/>
  <c r="E71" i="9"/>
  <c r="D71" i="9"/>
  <c r="A71" i="9" a="1"/>
  <c r="A71" i="9" s="1"/>
  <c r="E70" i="9"/>
  <c r="D70" i="9"/>
  <c r="A70" i="9" a="1"/>
  <c r="A70" i="9" s="1"/>
  <c r="E69" i="9"/>
  <c r="D69" i="9"/>
  <c r="A69" i="9" a="1"/>
  <c r="A69" i="9" s="1"/>
  <c r="E68" i="9"/>
  <c r="D68" i="9"/>
  <c r="A68" i="9" a="1"/>
  <c r="A68" i="9" s="1"/>
  <c r="E67" i="9"/>
  <c r="D67" i="9"/>
  <c r="A67" i="9" a="1"/>
  <c r="A67" i="9" s="1"/>
  <c r="E66" i="9"/>
  <c r="D66" i="9"/>
  <c r="A66" i="9" s="1" a="1"/>
  <c r="A66" i="9" s="1"/>
  <c r="E65" i="9"/>
  <c r="D65" i="9"/>
  <c r="A65" i="9" s="1" a="1"/>
  <c r="A65" i="9" s="1"/>
  <c r="E64" i="9"/>
  <c r="D64" i="9"/>
  <c r="A64" i="9" s="1" a="1"/>
  <c r="A64" i="9" s="1"/>
  <c r="E63" i="9"/>
  <c r="D63" i="9"/>
  <c r="E62" i="9"/>
  <c r="D62" i="9"/>
  <c r="E61" i="9"/>
  <c r="D61" i="9"/>
  <c r="E60" i="9"/>
  <c r="D60" i="9"/>
  <c r="E59" i="9"/>
  <c r="D59" i="9"/>
  <c r="E58" i="9"/>
  <c r="D58" i="9"/>
  <c r="E57" i="9"/>
  <c r="D57" i="9"/>
  <c r="E56" i="9"/>
  <c r="D56" i="9"/>
  <c r="E55" i="9"/>
  <c r="D55" i="9"/>
  <c r="E54" i="9"/>
  <c r="D54" i="9"/>
  <c r="E53" i="9"/>
  <c r="D53" i="9"/>
  <c r="E52" i="9"/>
  <c r="D52" i="9"/>
  <c r="E51" i="9"/>
  <c r="D51" i="9"/>
  <c r="E50" i="9"/>
  <c r="D50" i="9"/>
  <c r="E49" i="9"/>
  <c r="D49" i="9"/>
  <c r="E48" i="9"/>
  <c r="D48" i="9"/>
  <c r="A48" i="9" s="1" a="1"/>
  <c r="E47" i="9"/>
  <c r="D47" i="9"/>
  <c r="A47" i="9" a="1"/>
  <c r="E46" i="9"/>
  <c r="D46" i="9"/>
  <c r="A46" i="9" a="1"/>
  <c r="E45" i="9"/>
  <c r="D45" i="9"/>
  <c r="E44" i="9"/>
  <c r="D44" i="9"/>
  <c r="A44" i="9" s="1" a="1"/>
  <c r="E43" i="9"/>
  <c r="D43" i="9"/>
  <c r="A43" i="9" a="1"/>
  <c r="E42" i="9"/>
  <c r="D42" i="9"/>
  <c r="A42" i="9" a="1"/>
  <c r="E41" i="9"/>
  <c r="D41" i="9"/>
  <c r="E40" i="9"/>
  <c r="D40" i="9"/>
  <c r="A40" i="9" s="1" a="1"/>
  <c r="E39" i="9"/>
  <c r="D39" i="9"/>
  <c r="A39" i="9" a="1"/>
  <c r="E33" i="9"/>
  <c r="D33" i="9"/>
  <c r="C33" i="9"/>
  <c r="E32" i="9"/>
  <c r="D32" i="9"/>
  <c r="C32" i="9"/>
  <c r="E31" i="9"/>
  <c r="D31" i="9"/>
  <c r="C31" i="9"/>
  <c r="E30" i="9"/>
  <c r="D30" i="9"/>
  <c r="C30" i="9"/>
  <c r="E29" i="9"/>
  <c r="D29" i="9"/>
  <c r="C29" i="9"/>
  <c r="E28" i="9"/>
  <c r="D28" i="9"/>
  <c r="C28" i="9"/>
  <c r="E27" i="9"/>
  <c r="D27" i="9"/>
  <c r="C27" i="9"/>
  <c r="AR65" i="18"/>
  <c r="AQ65" i="18"/>
  <c r="AP65" i="18"/>
  <c r="AO65" i="18"/>
  <c r="AN65" i="18"/>
  <c r="AM65" i="18"/>
  <c r="AL65" i="18"/>
  <c r="AK65" i="18"/>
  <c r="AJ65" i="18"/>
  <c r="AI65" i="18"/>
  <c r="AH65" i="18"/>
  <c r="AS65" i="18" s="1"/>
  <c r="AG65" i="18"/>
  <c r="AR64" i="18"/>
  <c r="AQ64" i="18"/>
  <c r="AP64" i="18"/>
  <c r="AO64" i="18"/>
  <c r="AN64" i="18"/>
  <c r="AM64" i="18"/>
  <c r="AL64" i="18"/>
  <c r="AK64" i="18"/>
  <c r="AJ64" i="18"/>
  <c r="AI64" i="18"/>
  <c r="AH64" i="18"/>
  <c r="AS64" i="18" s="1"/>
  <c r="AG64" i="18"/>
  <c r="AR63" i="18"/>
  <c r="AQ63" i="18"/>
  <c r="AP63" i="18"/>
  <c r="AO63" i="18"/>
  <c r="AN63" i="18"/>
  <c r="AM63" i="18"/>
  <c r="AL63" i="18"/>
  <c r="AK63" i="18"/>
  <c r="AJ63" i="18"/>
  <c r="AI63" i="18"/>
  <c r="AH63" i="18"/>
  <c r="AG63" i="18"/>
  <c r="AR62" i="18"/>
  <c r="AQ62" i="18"/>
  <c r="AP62" i="18"/>
  <c r="AO62" i="18"/>
  <c r="AN62" i="18"/>
  <c r="AM62" i="18"/>
  <c r="AL62" i="18"/>
  <c r="AK62" i="18"/>
  <c r="AJ62" i="18"/>
  <c r="AI62" i="18"/>
  <c r="AH62" i="18"/>
  <c r="AS62" i="18" s="1"/>
  <c r="AG62" i="18"/>
  <c r="AR61" i="18"/>
  <c r="AQ61" i="18"/>
  <c r="AP61" i="18"/>
  <c r="AO61" i="18"/>
  <c r="AN61" i="18"/>
  <c r="AM61" i="18"/>
  <c r="AL61" i="18"/>
  <c r="AK61" i="18"/>
  <c r="AJ61" i="18"/>
  <c r="AI61" i="18"/>
  <c r="AH61" i="18"/>
  <c r="AS61" i="18" s="1"/>
  <c r="AG61" i="18"/>
  <c r="AR60" i="18"/>
  <c r="AQ60" i="18"/>
  <c r="AP60" i="18"/>
  <c r="AO60" i="18"/>
  <c r="AN60" i="18"/>
  <c r="AM60" i="18"/>
  <c r="AL60" i="18"/>
  <c r="AK60" i="18"/>
  <c r="AJ60" i="18"/>
  <c r="AI60" i="18"/>
  <c r="AH60" i="18"/>
  <c r="AG60" i="18"/>
  <c r="AR59" i="18"/>
  <c r="AQ59" i="18"/>
  <c r="AP59" i="18"/>
  <c r="AO59" i="18"/>
  <c r="AN59" i="18"/>
  <c r="AM59" i="18"/>
  <c r="AL59" i="18"/>
  <c r="AK59" i="18"/>
  <c r="AJ59" i="18"/>
  <c r="AI59" i="18"/>
  <c r="AH59" i="18"/>
  <c r="AG59" i="18"/>
  <c r="AR58" i="18"/>
  <c r="AQ58" i="18"/>
  <c r="AP58" i="18"/>
  <c r="AO58" i="18"/>
  <c r="AN58" i="18"/>
  <c r="AM58" i="18"/>
  <c r="AL58" i="18"/>
  <c r="AK58" i="18"/>
  <c r="AJ58" i="18"/>
  <c r="AI58" i="18"/>
  <c r="AH58" i="18"/>
  <c r="AS58" i="18" s="1"/>
  <c r="AG58" i="18"/>
  <c r="AR57" i="18"/>
  <c r="AQ57" i="18"/>
  <c r="AP57" i="18"/>
  <c r="AO57" i="18"/>
  <c r="AN57" i="18"/>
  <c r="AM57" i="18"/>
  <c r="AL57" i="18"/>
  <c r="AK57" i="18"/>
  <c r="AJ57" i="18"/>
  <c r="AI57" i="18"/>
  <c r="AH57" i="18"/>
  <c r="AS57" i="18" s="1"/>
  <c r="AG57" i="18"/>
  <c r="AR56" i="18"/>
  <c r="AQ56" i="18"/>
  <c r="AP56" i="18"/>
  <c r="AO56" i="18"/>
  <c r="AN56" i="18"/>
  <c r="AM56" i="18"/>
  <c r="AL56" i="18"/>
  <c r="AK56" i="18"/>
  <c r="AJ56" i="18"/>
  <c r="AI56" i="18"/>
  <c r="AH56" i="18"/>
  <c r="AS56" i="18" s="1"/>
  <c r="AG56" i="18"/>
  <c r="AR55" i="18"/>
  <c r="AQ55" i="18"/>
  <c r="AP55" i="18"/>
  <c r="AO55" i="18"/>
  <c r="AN55" i="18"/>
  <c r="AM55" i="18"/>
  <c r="AL55" i="18"/>
  <c r="AK55" i="18"/>
  <c r="AJ55" i="18"/>
  <c r="AI55" i="18"/>
  <c r="AH55" i="18"/>
  <c r="AG55" i="18"/>
  <c r="AR54" i="18"/>
  <c r="AQ54" i="18"/>
  <c r="AP54" i="18"/>
  <c r="AO54" i="18"/>
  <c r="AN54" i="18"/>
  <c r="AM54" i="18"/>
  <c r="AL54" i="18"/>
  <c r="AK54" i="18"/>
  <c r="AJ54" i="18"/>
  <c r="AI54" i="18"/>
  <c r="AH54" i="18"/>
  <c r="AS54" i="18" s="1"/>
  <c r="AG54" i="18"/>
  <c r="AR53" i="18"/>
  <c r="AQ53" i="18"/>
  <c r="AP53" i="18"/>
  <c r="AO53" i="18"/>
  <c r="AN53" i="18"/>
  <c r="AM53" i="18"/>
  <c r="AL53" i="18"/>
  <c r="AK53" i="18"/>
  <c r="AJ53" i="18"/>
  <c r="AI53" i="18"/>
  <c r="AH53" i="18"/>
  <c r="AS53" i="18" s="1"/>
  <c r="AG53" i="18"/>
  <c r="AR52" i="18"/>
  <c r="AQ52" i="18"/>
  <c r="AP52" i="18"/>
  <c r="AO52" i="18"/>
  <c r="AN52" i="18"/>
  <c r="AM52" i="18"/>
  <c r="AL52" i="18"/>
  <c r="AK52" i="18"/>
  <c r="AJ52" i="18"/>
  <c r="AI52" i="18"/>
  <c r="AH52" i="18"/>
  <c r="AG52" i="18"/>
  <c r="AR51" i="18"/>
  <c r="AQ51" i="18"/>
  <c r="AP51" i="18"/>
  <c r="AO51" i="18"/>
  <c r="AN51" i="18"/>
  <c r="AM51" i="18"/>
  <c r="AL51" i="18"/>
  <c r="AK51" i="18"/>
  <c r="AJ51" i="18"/>
  <c r="AI51" i="18"/>
  <c r="AH51" i="18"/>
  <c r="AG51" i="18"/>
  <c r="AR50" i="18"/>
  <c r="AQ50" i="18"/>
  <c r="AP50" i="18"/>
  <c r="AO50" i="18"/>
  <c r="AN50" i="18"/>
  <c r="AM50" i="18"/>
  <c r="AL50" i="18"/>
  <c r="AK50" i="18"/>
  <c r="AJ50" i="18"/>
  <c r="AI50" i="18"/>
  <c r="AH50" i="18"/>
  <c r="AS50" i="18" s="1"/>
  <c r="AG50" i="18"/>
  <c r="AR49" i="18"/>
  <c r="AQ49" i="18"/>
  <c r="AP49" i="18"/>
  <c r="AO49" i="18"/>
  <c r="AN49" i="18"/>
  <c r="AM49" i="18"/>
  <c r="AL49" i="18"/>
  <c r="AK49" i="18"/>
  <c r="AJ49" i="18"/>
  <c r="AI49" i="18"/>
  <c r="AH49" i="18"/>
  <c r="AG49" i="18"/>
  <c r="AR48" i="18"/>
  <c r="AQ48" i="18"/>
  <c r="AP48" i="18"/>
  <c r="AO48" i="18"/>
  <c r="AN48" i="18"/>
  <c r="AM48" i="18"/>
  <c r="AL48" i="18"/>
  <c r="AK48" i="18"/>
  <c r="AJ48" i="18"/>
  <c r="AI48" i="18"/>
  <c r="AH48" i="18"/>
  <c r="AS48" i="18" s="1"/>
  <c r="AG48" i="18"/>
  <c r="AR47" i="18"/>
  <c r="AQ47" i="18"/>
  <c r="AP47" i="18"/>
  <c r="AO47" i="18"/>
  <c r="AN47" i="18"/>
  <c r="AM47" i="18"/>
  <c r="AL47" i="18"/>
  <c r="AK47" i="18"/>
  <c r="AJ47" i="18"/>
  <c r="AI47" i="18"/>
  <c r="AH47" i="18"/>
  <c r="AG47" i="18"/>
  <c r="AR46" i="18"/>
  <c r="AQ46" i="18"/>
  <c r="AP46" i="18"/>
  <c r="AO46" i="18"/>
  <c r="AN46" i="18"/>
  <c r="AM46" i="18"/>
  <c r="AL46" i="18"/>
  <c r="AK46" i="18"/>
  <c r="AJ46" i="18"/>
  <c r="AI46" i="18"/>
  <c r="AH46" i="18"/>
  <c r="AS46" i="18" s="1"/>
  <c r="AG46" i="18"/>
  <c r="AR45" i="18"/>
  <c r="AQ45" i="18"/>
  <c r="AP45" i="18"/>
  <c r="AO45" i="18"/>
  <c r="AN45" i="18"/>
  <c r="AM45" i="18"/>
  <c r="AL45" i="18"/>
  <c r="AK45" i="18"/>
  <c r="AJ45" i="18"/>
  <c r="AI45" i="18"/>
  <c r="AH45" i="18"/>
  <c r="AS45" i="18" s="1"/>
  <c r="AG45" i="18"/>
  <c r="AR44" i="18"/>
  <c r="AQ44" i="18"/>
  <c r="AP44" i="18"/>
  <c r="AO44" i="18"/>
  <c r="AN44" i="18"/>
  <c r="AM44" i="18"/>
  <c r="AL44" i="18"/>
  <c r="AK44" i="18"/>
  <c r="AJ44" i="18"/>
  <c r="AI44" i="18"/>
  <c r="AH44" i="18"/>
  <c r="AG44" i="18"/>
  <c r="AR43" i="18"/>
  <c r="AQ43" i="18"/>
  <c r="AP43" i="18"/>
  <c r="AO43" i="18"/>
  <c r="AN43" i="18"/>
  <c r="AM43" i="18"/>
  <c r="AL43" i="18"/>
  <c r="AK43" i="18"/>
  <c r="AJ43" i="18"/>
  <c r="AI43" i="18"/>
  <c r="AH43" i="18"/>
  <c r="AG43" i="18"/>
  <c r="AR42" i="18"/>
  <c r="AQ42" i="18"/>
  <c r="AP42" i="18"/>
  <c r="AO42" i="18"/>
  <c r="AN42" i="18"/>
  <c r="AM42" i="18"/>
  <c r="AL42" i="18"/>
  <c r="AK42" i="18"/>
  <c r="AJ42" i="18"/>
  <c r="AI42" i="18"/>
  <c r="AH42" i="18"/>
  <c r="AS42" i="18" s="1"/>
  <c r="AG42" i="18"/>
  <c r="AR41" i="18"/>
  <c r="AQ41" i="18"/>
  <c r="AP41" i="18"/>
  <c r="AO41" i="18"/>
  <c r="AN41" i="18"/>
  <c r="AM41" i="18"/>
  <c r="AL41" i="18"/>
  <c r="AK41" i="18"/>
  <c r="AJ41" i="18"/>
  <c r="AI41" i="18"/>
  <c r="AH41" i="18"/>
  <c r="AS41" i="18" s="1"/>
  <c r="AG41" i="18"/>
  <c r="AR40" i="18"/>
  <c r="AQ40" i="18"/>
  <c r="AP40" i="18"/>
  <c r="AO40" i="18"/>
  <c r="AN40" i="18"/>
  <c r="AM40" i="18"/>
  <c r="AL40" i="18"/>
  <c r="AK40" i="18"/>
  <c r="AJ40" i="18"/>
  <c r="AI40" i="18"/>
  <c r="AH40" i="18"/>
  <c r="AS40" i="18" s="1"/>
  <c r="AG40" i="18"/>
  <c r="AR39" i="18"/>
  <c r="AQ39" i="18"/>
  <c r="AP39" i="18"/>
  <c r="AO39" i="18"/>
  <c r="AN39" i="18"/>
  <c r="AM39" i="18"/>
  <c r="AL39" i="18"/>
  <c r="AK39" i="18"/>
  <c r="AJ39" i="18"/>
  <c r="AI39" i="18"/>
  <c r="AH39" i="18"/>
  <c r="AG39" i="18"/>
  <c r="AR38" i="18"/>
  <c r="AQ38" i="18"/>
  <c r="AP38" i="18"/>
  <c r="AO38" i="18"/>
  <c r="AN38" i="18"/>
  <c r="AM38" i="18"/>
  <c r="AL38" i="18"/>
  <c r="AK38" i="18"/>
  <c r="AJ38" i="18"/>
  <c r="AI38" i="18"/>
  <c r="AH38" i="18"/>
  <c r="AS38" i="18" s="1"/>
  <c r="AG38" i="18"/>
  <c r="AR37" i="18"/>
  <c r="AQ37" i="18"/>
  <c r="AP37" i="18"/>
  <c r="AO37" i="18"/>
  <c r="AN37" i="18"/>
  <c r="AM37" i="18"/>
  <c r="AL37" i="18"/>
  <c r="AK37" i="18"/>
  <c r="AJ37" i="18"/>
  <c r="AI37" i="18"/>
  <c r="AH37" i="18"/>
  <c r="AG37" i="18"/>
  <c r="AR36" i="18"/>
  <c r="AQ36" i="18"/>
  <c r="AP36" i="18"/>
  <c r="AO36" i="18"/>
  <c r="AN36" i="18"/>
  <c r="AM36" i="18"/>
  <c r="AL36" i="18"/>
  <c r="AK36" i="18"/>
  <c r="AJ36" i="18"/>
  <c r="AI36" i="18"/>
  <c r="AH36" i="18"/>
  <c r="AS36" i="18" s="1"/>
  <c r="AG36" i="18"/>
  <c r="AR35" i="18"/>
  <c r="AQ35" i="18"/>
  <c r="AP35" i="18"/>
  <c r="AO35" i="18"/>
  <c r="AN35" i="18"/>
  <c r="AM35" i="18"/>
  <c r="AL35" i="18"/>
  <c r="AK35" i="18"/>
  <c r="AJ35" i="18"/>
  <c r="AI35" i="18"/>
  <c r="AH35" i="18"/>
  <c r="AG35" i="18"/>
  <c r="AR34" i="18"/>
  <c r="AQ34" i="18"/>
  <c r="AP34" i="18"/>
  <c r="AO34" i="18"/>
  <c r="AN34" i="18"/>
  <c r="AM34" i="18"/>
  <c r="AL34" i="18"/>
  <c r="AK34" i="18"/>
  <c r="AJ34" i="18"/>
  <c r="AI34" i="18"/>
  <c r="AH34" i="18"/>
  <c r="AS34" i="18" s="1"/>
  <c r="AG34" i="18"/>
  <c r="AR33" i="18"/>
  <c r="AQ33" i="18"/>
  <c r="AP33" i="18"/>
  <c r="AO33" i="18"/>
  <c r="AN33" i="18"/>
  <c r="AM33" i="18"/>
  <c r="AL33" i="18"/>
  <c r="AK33" i="18"/>
  <c r="AJ33" i="18"/>
  <c r="AI33" i="18"/>
  <c r="AH33" i="18"/>
  <c r="AS33" i="18" s="1"/>
  <c r="AG33" i="18"/>
  <c r="AR32" i="18"/>
  <c r="AQ32" i="18"/>
  <c r="AP32" i="18"/>
  <c r="AO32" i="18"/>
  <c r="AN32" i="18"/>
  <c r="AM32" i="18"/>
  <c r="AL32" i="18"/>
  <c r="AK32" i="18"/>
  <c r="AJ32" i="18"/>
  <c r="AI32" i="18"/>
  <c r="AH32" i="18"/>
  <c r="AG32" i="18"/>
  <c r="AR31" i="18"/>
  <c r="AQ31" i="18"/>
  <c r="AP31" i="18"/>
  <c r="AO31" i="18"/>
  <c r="AN31" i="18"/>
  <c r="AM31" i="18"/>
  <c r="AL31" i="18"/>
  <c r="AK31" i="18"/>
  <c r="AJ31" i="18"/>
  <c r="AI31" i="18"/>
  <c r="AH31" i="18"/>
  <c r="AG31" i="18"/>
  <c r="AR30" i="18"/>
  <c r="AQ30" i="18"/>
  <c r="AP30" i="18"/>
  <c r="AO30" i="18"/>
  <c r="AN30" i="18"/>
  <c r="AM30" i="18"/>
  <c r="AL30" i="18"/>
  <c r="AK30" i="18"/>
  <c r="AJ30" i="18"/>
  <c r="AI30" i="18"/>
  <c r="AH30" i="18"/>
  <c r="AG30" i="18"/>
  <c r="AR29" i="18"/>
  <c r="AQ29" i="18"/>
  <c r="AP29" i="18"/>
  <c r="AO29" i="18"/>
  <c r="AN29" i="18"/>
  <c r="AM29" i="18"/>
  <c r="AL29" i="18"/>
  <c r="AK29" i="18"/>
  <c r="AJ29" i="18"/>
  <c r="AI29" i="18"/>
  <c r="AH29" i="18"/>
  <c r="AG29" i="18"/>
  <c r="AF65" i="18"/>
  <c r="AF64" i="18"/>
  <c r="AF63" i="18"/>
  <c r="AF62" i="18"/>
  <c r="AF61" i="18"/>
  <c r="AF60" i="18"/>
  <c r="AF59" i="18"/>
  <c r="AS59" i="18" s="1"/>
  <c r="AF58" i="18"/>
  <c r="AF57" i="18"/>
  <c r="AF56" i="18"/>
  <c r="AF55" i="18"/>
  <c r="AS55" i="18" s="1"/>
  <c r="AF54" i="18"/>
  <c r="AF53" i="18"/>
  <c r="AF52" i="18"/>
  <c r="AF51" i="18"/>
  <c r="AS51" i="18" s="1"/>
  <c r="AF50" i="18"/>
  <c r="AF49" i="18"/>
  <c r="AF48" i="18"/>
  <c r="AF47" i="18"/>
  <c r="AF46" i="18"/>
  <c r="AF45" i="18"/>
  <c r="AF44" i="18"/>
  <c r="AF43" i="18"/>
  <c r="AS43" i="18" s="1"/>
  <c r="AF42" i="18"/>
  <c r="AF41" i="18"/>
  <c r="AF40" i="18"/>
  <c r="AF39" i="18"/>
  <c r="AS39" i="18" s="1"/>
  <c r="AF38" i="18"/>
  <c r="AF37" i="18"/>
  <c r="AF36" i="18"/>
  <c r="AF35" i="18"/>
  <c r="AS35" i="18" s="1"/>
  <c r="AF34" i="18"/>
  <c r="AF33" i="18"/>
  <c r="AF32" i="18"/>
  <c r="AF31" i="18"/>
  <c r="AF30" i="18"/>
  <c r="AF29" i="18"/>
  <c r="AR65" i="17"/>
  <c r="AQ65" i="17"/>
  <c r="AP65" i="17"/>
  <c r="AO65" i="17"/>
  <c r="AN65" i="17"/>
  <c r="AM65" i="17"/>
  <c r="AL65" i="17"/>
  <c r="AK65" i="17"/>
  <c r="AJ65" i="17"/>
  <c r="AI65" i="17"/>
  <c r="AS65" i="17" s="1"/>
  <c r="AH65" i="17"/>
  <c r="AG65" i="17"/>
  <c r="AR64" i="17"/>
  <c r="AQ64" i="17"/>
  <c r="AP64" i="17"/>
  <c r="AO64" i="17"/>
  <c r="AN64" i="17"/>
  <c r="AM64" i="17"/>
  <c r="AL64" i="17"/>
  <c r="AK64" i="17"/>
  <c r="AJ64" i="17"/>
  <c r="AI64" i="17"/>
  <c r="AH64" i="17"/>
  <c r="AG64" i="17"/>
  <c r="AR63" i="17"/>
  <c r="AQ63" i="17"/>
  <c r="AP63" i="17"/>
  <c r="AO63" i="17"/>
  <c r="AN63" i="17"/>
  <c r="AM63" i="17"/>
  <c r="AL63" i="17"/>
  <c r="AK63" i="17"/>
  <c r="AJ63" i="17"/>
  <c r="AI63" i="17"/>
  <c r="AS63" i="17" s="1"/>
  <c r="AH63" i="17"/>
  <c r="AG63" i="17"/>
  <c r="AR62" i="17"/>
  <c r="AQ62" i="17"/>
  <c r="AP62" i="17"/>
  <c r="AO62" i="17"/>
  <c r="AN62" i="17"/>
  <c r="AM62" i="17"/>
  <c r="AL62" i="17"/>
  <c r="AK62" i="17"/>
  <c r="AJ62" i="17"/>
  <c r="AI62" i="17"/>
  <c r="AS62" i="17" s="1"/>
  <c r="AH62" i="17"/>
  <c r="AG62" i="17"/>
  <c r="AR61" i="17"/>
  <c r="AQ61" i="17"/>
  <c r="AP61" i="17"/>
  <c r="AO61" i="17"/>
  <c r="AN61" i="17"/>
  <c r="AM61" i="17"/>
  <c r="AL61" i="17"/>
  <c r="AK61" i="17"/>
  <c r="AJ61" i="17"/>
  <c r="AI61" i="17"/>
  <c r="AS61" i="17" s="1"/>
  <c r="AH61" i="17"/>
  <c r="AG61" i="17"/>
  <c r="AR60" i="17"/>
  <c r="AQ60" i="17"/>
  <c r="AP60" i="17"/>
  <c r="AO60" i="17"/>
  <c r="AN60" i="17"/>
  <c r="AM60" i="17"/>
  <c r="AL60" i="17"/>
  <c r="AK60" i="17"/>
  <c r="AJ60" i="17"/>
  <c r="AI60" i="17"/>
  <c r="AH60" i="17"/>
  <c r="AG60" i="17"/>
  <c r="AR59" i="17"/>
  <c r="AQ59" i="17"/>
  <c r="AP59" i="17"/>
  <c r="AO59" i="17"/>
  <c r="AN59" i="17"/>
  <c r="AM59" i="17"/>
  <c r="AL59" i="17"/>
  <c r="AK59" i="17"/>
  <c r="AJ59" i="17"/>
  <c r="AI59" i="17"/>
  <c r="AS59" i="17" s="1"/>
  <c r="AH59" i="17"/>
  <c r="AG59" i="17"/>
  <c r="AR58" i="17"/>
  <c r="AQ58" i="17"/>
  <c r="AP58" i="17"/>
  <c r="AO58" i="17"/>
  <c r="AN58" i="17"/>
  <c r="AM58" i="17"/>
  <c r="AL58" i="17"/>
  <c r="AK58" i="17"/>
  <c r="AJ58" i="17"/>
  <c r="AI58" i="17"/>
  <c r="AS58" i="17" s="1"/>
  <c r="AH58" i="17"/>
  <c r="AG58" i="17"/>
  <c r="AR57" i="17"/>
  <c r="AQ57" i="17"/>
  <c r="AP57" i="17"/>
  <c r="AO57" i="17"/>
  <c r="AN57" i="17"/>
  <c r="AM57" i="17"/>
  <c r="AL57" i="17"/>
  <c r="AK57" i="17"/>
  <c r="AJ57" i="17"/>
  <c r="AI57" i="17"/>
  <c r="AS57" i="17" s="1"/>
  <c r="AH57" i="17"/>
  <c r="AG57" i="17"/>
  <c r="AR56" i="17"/>
  <c r="AQ56" i="17"/>
  <c r="AP56" i="17"/>
  <c r="AO56" i="17"/>
  <c r="AN56" i="17"/>
  <c r="AM56" i="17"/>
  <c r="AL56" i="17"/>
  <c r="AK56" i="17"/>
  <c r="AJ56" i="17"/>
  <c r="AI56" i="17"/>
  <c r="AH56" i="17"/>
  <c r="AG56" i="17"/>
  <c r="AR55" i="17"/>
  <c r="AQ55" i="17"/>
  <c r="AP55" i="17"/>
  <c r="AO55" i="17"/>
  <c r="AN55" i="17"/>
  <c r="AM55" i="17"/>
  <c r="AL55" i="17"/>
  <c r="AK55" i="17"/>
  <c r="AJ55" i="17"/>
  <c r="AI55" i="17"/>
  <c r="AS55" i="17" s="1"/>
  <c r="AH55" i="17"/>
  <c r="AG55" i="17"/>
  <c r="AR54" i="17"/>
  <c r="AQ54" i="17"/>
  <c r="AP54" i="17"/>
  <c r="AO54" i="17"/>
  <c r="AN54" i="17"/>
  <c r="AM54" i="17"/>
  <c r="AL54" i="17"/>
  <c r="AK54" i="17"/>
  <c r="AJ54" i="17"/>
  <c r="AI54" i="17"/>
  <c r="AS54" i="17" s="1"/>
  <c r="AH54" i="17"/>
  <c r="AG54" i="17"/>
  <c r="AR53" i="17"/>
  <c r="AQ53" i="17"/>
  <c r="AP53" i="17"/>
  <c r="AO53" i="17"/>
  <c r="AN53" i="17"/>
  <c r="AM53" i="17"/>
  <c r="AL53" i="17"/>
  <c r="AK53" i="17"/>
  <c r="AJ53" i="17"/>
  <c r="AI53" i="17"/>
  <c r="AH53" i="17"/>
  <c r="AG53" i="17"/>
  <c r="AR52" i="17"/>
  <c r="AQ52" i="17"/>
  <c r="AP52" i="17"/>
  <c r="AO52" i="17"/>
  <c r="AN52" i="17"/>
  <c r="AM52" i="17"/>
  <c r="AL52" i="17"/>
  <c r="AK52" i="17"/>
  <c r="AJ52" i="17"/>
  <c r="AI52" i="17"/>
  <c r="AH52" i="17"/>
  <c r="AG52" i="17"/>
  <c r="AR51" i="17"/>
  <c r="AQ51" i="17"/>
  <c r="AP51" i="17"/>
  <c r="AO51" i="17"/>
  <c r="AN51" i="17"/>
  <c r="AM51" i="17"/>
  <c r="AL51" i="17"/>
  <c r="AK51" i="17"/>
  <c r="AJ51" i="17"/>
  <c r="AI51" i="17"/>
  <c r="AH51" i="17"/>
  <c r="AG51" i="17"/>
  <c r="AR50" i="17"/>
  <c r="AQ50" i="17"/>
  <c r="AP50" i="17"/>
  <c r="AO50" i="17"/>
  <c r="AN50" i="17"/>
  <c r="AM50" i="17"/>
  <c r="AL50" i="17"/>
  <c r="AK50" i="17"/>
  <c r="AJ50" i="17"/>
  <c r="AI50" i="17"/>
  <c r="AH50" i="17"/>
  <c r="AG50" i="17"/>
  <c r="AR49" i="17"/>
  <c r="AQ49" i="17"/>
  <c r="AP49" i="17"/>
  <c r="AO49" i="17"/>
  <c r="AN49" i="17"/>
  <c r="AM49" i="17"/>
  <c r="AL49" i="17"/>
  <c r="AK49" i="17"/>
  <c r="AJ49" i="17"/>
  <c r="AI49" i="17"/>
  <c r="AS49" i="17" s="1"/>
  <c r="AH49" i="17"/>
  <c r="AG49" i="17"/>
  <c r="AR48" i="17"/>
  <c r="AQ48" i="17"/>
  <c r="AP48" i="17"/>
  <c r="AO48" i="17"/>
  <c r="AN48" i="17"/>
  <c r="AM48" i="17"/>
  <c r="AL48" i="17"/>
  <c r="AK48" i="17"/>
  <c r="AJ48" i="17"/>
  <c r="AI48" i="17"/>
  <c r="AH48" i="17"/>
  <c r="AG48" i="17"/>
  <c r="AR47" i="17"/>
  <c r="AQ47" i="17"/>
  <c r="AP47" i="17"/>
  <c r="AO47" i="17"/>
  <c r="AN47" i="17"/>
  <c r="AM47" i="17"/>
  <c r="AL47" i="17"/>
  <c r="AK47" i="17"/>
  <c r="AJ47" i="17"/>
  <c r="AI47" i="17"/>
  <c r="AS47" i="17" s="1"/>
  <c r="AH47" i="17"/>
  <c r="AG47" i="17"/>
  <c r="AR46" i="17"/>
  <c r="AQ46" i="17"/>
  <c r="AP46" i="17"/>
  <c r="AO46" i="17"/>
  <c r="AN46" i="17"/>
  <c r="AM46" i="17"/>
  <c r="AL46" i="17"/>
  <c r="AK46" i="17"/>
  <c r="AJ46" i="17"/>
  <c r="AI46" i="17"/>
  <c r="AS46" i="17" s="1"/>
  <c r="AH46" i="17"/>
  <c r="AG46" i="17"/>
  <c r="AR45" i="17"/>
  <c r="AQ45" i="17"/>
  <c r="AP45" i="17"/>
  <c r="AO45" i="17"/>
  <c r="AN45" i="17"/>
  <c r="AM45" i="17"/>
  <c r="AL45" i="17"/>
  <c r="AK45" i="17"/>
  <c r="AJ45" i="17"/>
  <c r="AI45" i="17"/>
  <c r="AS45" i="17" s="1"/>
  <c r="AH45" i="17"/>
  <c r="AG45" i="17"/>
  <c r="AR44" i="17"/>
  <c r="AQ44" i="17"/>
  <c r="AP44" i="17"/>
  <c r="AO44" i="17"/>
  <c r="AN44" i="17"/>
  <c r="AM44" i="17"/>
  <c r="AL44" i="17"/>
  <c r="AK44" i="17"/>
  <c r="AJ44" i="17"/>
  <c r="AI44" i="17"/>
  <c r="AH44" i="17"/>
  <c r="AG44" i="17"/>
  <c r="AR43" i="17"/>
  <c r="AQ43" i="17"/>
  <c r="AP43" i="17"/>
  <c r="AO43" i="17"/>
  <c r="AN43" i="17"/>
  <c r="AM43" i="17"/>
  <c r="AL43" i="17"/>
  <c r="AK43" i="17"/>
  <c r="AJ43" i="17"/>
  <c r="AI43" i="17"/>
  <c r="AS43" i="17" s="1"/>
  <c r="AH43" i="17"/>
  <c r="AG43" i="17"/>
  <c r="AR42" i="17"/>
  <c r="AQ42" i="17"/>
  <c r="AP42" i="17"/>
  <c r="AO42" i="17"/>
  <c r="AN42" i="17"/>
  <c r="AM42" i="17"/>
  <c r="AL42" i="17"/>
  <c r="AK42" i="17"/>
  <c r="AJ42" i="17"/>
  <c r="AI42" i="17"/>
  <c r="AS42" i="17" s="1"/>
  <c r="AH42" i="17"/>
  <c r="AG42" i="17"/>
  <c r="AR41" i="17"/>
  <c r="AQ41" i="17"/>
  <c r="AP41" i="17"/>
  <c r="AO41" i="17"/>
  <c r="AN41" i="17"/>
  <c r="AM41" i="17"/>
  <c r="AL41" i="17"/>
  <c r="AK41" i="17"/>
  <c r="AJ41" i="17"/>
  <c r="AI41" i="17"/>
  <c r="AS41" i="17" s="1"/>
  <c r="AH41" i="17"/>
  <c r="AG41" i="17"/>
  <c r="AR40" i="17"/>
  <c r="AQ40" i="17"/>
  <c r="AP40" i="17"/>
  <c r="AO40" i="17"/>
  <c r="AN40" i="17"/>
  <c r="AM40" i="17"/>
  <c r="AL40" i="17"/>
  <c r="AK40" i="17"/>
  <c r="AJ40" i="17"/>
  <c r="AI40" i="17"/>
  <c r="AH40" i="17"/>
  <c r="AG40" i="17"/>
  <c r="AR39" i="17"/>
  <c r="AQ39" i="17"/>
  <c r="AP39" i="17"/>
  <c r="AO39" i="17"/>
  <c r="AN39" i="17"/>
  <c r="AM39" i="17"/>
  <c r="AL39" i="17"/>
  <c r="AK39" i="17"/>
  <c r="AJ39" i="17"/>
  <c r="AI39" i="17"/>
  <c r="AS39" i="17" s="1"/>
  <c r="AH39" i="17"/>
  <c r="AG39" i="17"/>
  <c r="AR38" i="17"/>
  <c r="AQ38" i="17"/>
  <c r="AP38" i="17"/>
  <c r="AO38" i="17"/>
  <c r="AN38" i="17"/>
  <c r="AM38" i="17"/>
  <c r="AL38" i="17"/>
  <c r="AK38" i="17"/>
  <c r="AJ38" i="17"/>
  <c r="AI38" i="17"/>
  <c r="AS38" i="17" s="1"/>
  <c r="AH38" i="17"/>
  <c r="AG38" i="17"/>
  <c r="AR37" i="17"/>
  <c r="AQ37" i="17"/>
  <c r="AP37" i="17"/>
  <c r="AO37" i="17"/>
  <c r="AN37" i="17"/>
  <c r="AM37" i="17"/>
  <c r="AL37" i="17"/>
  <c r="AK37" i="17"/>
  <c r="AJ37" i="17"/>
  <c r="AI37" i="17"/>
  <c r="AH37" i="17"/>
  <c r="AG37" i="17"/>
  <c r="AR36" i="17"/>
  <c r="AQ36" i="17"/>
  <c r="AP36" i="17"/>
  <c r="AO36" i="17"/>
  <c r="AN36" i="17"/>
  <c r="AM36" i="17"/>
  <c r="AL36" i="17"/>
  <c r="AK36" i="17"/>
  <c r="AJ36" i="17"/>
  <c r="AI36" i="17"/>
  <c r="AH36" i="17"/>
  <c r="AG36" i="17"/>
  <c r="AR35" i="17"/>
  <c r="AQ35" i="17"/>
  <c r="AP35" i="17"/>
  <c r="AO35" i="17"/>
  <c r="AN35" i="17"/>
  <c r="AM35" i="17"/>
  <c r="AL35" i="17"/>
  <c r="AK35" i="17"/>
  <c r="AJ35" i="17"/>
  <c r="AI35" i="17"/>
  <c r="AH35" i="17"/>
  <c r="AG35" i="17"/>
  <c r="AR34" i="17"/>
  <c r="AQ34" i="17"/>
  <c r="AP34" i="17"/>
  <c r="AO34" i="17"/>
  <c r="AN34" i="17"/>
  <c r="AM34" i="17"/>
  <c r="AL34" i="17"/>
  <c r="AK34" i="17"/>
  <c r="AJ34" i="17"/>
  <c r="AI34" i="17"/>
  <c r="AH34" i="17"/>
  <c r="AG34" i="17"/>
  <c r="AR33" i="17"/>
  <c r="AQ33" i="17"/>
  <c r="AP33" i="17"/>
  <c r="AO33" i="17"/>
  <c r="AN33" i="17"/>
  <c r="AM33" i="17"/>
  <c r="AL33" i="17"/>
  <c r="AK33" i="17"/>
  <c r="AJ33" i="17"/>
  <c r="AI33" i="17"/>
  <c r="AS33" i="17" s="1"/>
  <c r="AH33" i="17"/>
  <c r="AG33" i="17"/>
  <c r="AR32" i="17"/>
  <c r="AQ32" i="17"/>
  <c r="AP32" i="17"/>
  <c r="AO32" i="17"/>
  <c r="AN32" i="17"/>
  <c r="AM32" i="17"/>
  <c r="AL32" i="17"/>
  <c r="AK32" i="17"/>
  <c r="AJ32" i="17"/>
  <c r="AI32" i="17"/>
  <c r="AH32" i="17"/>
  <c r="AG32" i="17"/>
  <c r="AR31" i="17"/>
  <c r="AQ31" i="17"/>
  <c r="AP31" i="17"/>
  <c r="AO31" i="17"/>
  <c r="AN31" i="17"/>
  <c r="AM31" i="17"/>
  <c r="AL31" i="17"/>
  <c r="AK31" i="17"/>
  <c r="AJ31" i="17"/>
  <c r="AI31" i="17"/>
  <c r="AH31" i="17"/>
  <c r="AG31" i="17"/>
  <c r="AR30" i="17"/>
  <c r="AQ30" i="17"/>
  <c r="AP30" i="17"/>
  <c r="AO30" i="17"/>
  <c r="AN30" i="17"/>
  <c r="AM30" i="17"/>
  <c r="AL30" i="17"/>
  <c r="AK30" i="17"/>
  <c r="AJ30" i="17"/>
  <c r="AI30" i="17"/>
  <c r="AH30" i="17"/>
  <c r="AG30" i="17"/>
  <c r="AR29" i="17"/>
  <c r="AQ29" i="17"/>
  <c r="AP29" i="17"/>
  <c r="AO29" i="17"/>
  <c r="AN29" i="17"/>
  <c r="AM29" i="17"/>
  <c r="AL29" i="17"/>
  <c r="AK29" i="17"/>
  <c r="AJ29" i="17"/>
  <c r="AI29" i="17"/>
  <c r="AH29" i="17"/>
  <c r="AG29" i="17"/>
  <c r="AF65" i="17"/>
  <c r="AF64" i="17"/>
  <c r="AS64" i="17" s="1"/>
  <c r="AF63" i="17"/>
  <c r="AF62" i="17"/>
  <c r="AF61" i="17"/>
  <c r="AF60" i="17"/>
  <c r="AS60" i="17" s="1"/>
  <c r="AF59" i="17"/>
  <c r="AF58" i="17"/>
  <c r="AF57" i="17"/>
  <c r="AF56" i="17"/>
  <c r="AS56" i="17" s="1"/>
  <c r="AF55" i="17"/>
  <c r="AF54" i="17"/>
  <c r="AF53" i="17"/>
  <c r="AF52" i="17"/>
  <c r="AF51" i="17"/>
  <c r="AF50" i="17"/>
  <c r="AF49" i="17"/>
  <c r="AF48" i="17"/>
  <c r="AS48" i="17" s="1"/>
  <c r="AF47" i="17"/>
  <c r="AF46" i="17"/>
  <c r="AF45" i="17"/>
  <c r="AF44" i="17"/>
  <c r="AS44" i="17" s="1"/>
  <c r="AF43" i="17"/>
  <c r="AF42" i="17"/>
  <c r="AF41" i="17"/>
  <c r="AF40" i="17"/>
  <c r="AS40" i="17" s="1"/>
  <c r="AF39" i="17"/>
  <c r="AF38" i="17"/>
  <c r="AF37" i="17"/>
  <c r="AF36" i="17"/>
  <c r="AF35" i="17"/>
  <c r="AS35" i="17" s="1"/>
  <c r="AF34" i="17"/>
  <c r="AF33" i="17"/>
  <c r="AF32" i="17"/>
  <c r="AS32" i="17" s="1"/>
  <c r="AF31" i="17"/>
  <c r="AF30" i="17"/>
  <c r="AF29" i="17"/>
  <c r="AR65" i="14"/>
  <c r="AQ65" i="14"/>
  <c r="AP65" i="14"/>
  <c r="AO65" i="14"/>
  <c r="AN65" i="14"/>
  <c r="AM65" i="14"/>
  <c r="AL65" i="14"/>
  <c r="AK65" i="14"/>
  <c r="AJ65" i="14"/>
  <c r="AI65" i="14"/>
  <c r="AH65" i="14"/>
  <c r="AG65" i="14"/>
  <c r="AR64" i="14"/>
  <c r="AQ64" i="14"/>
  <c r="AP64" i="14"/>
  <c r="AO64" i="14"/>
  <c r="AN64" i="14"/>
  <c r="AM64" i="14"/>
  <c r="AL64" i="14"/>
  <c r="AK64" i="14"/>
  <c r="AJ64" i="14"/>
  <c r="AS64" i="14" s="1"/>
  <c r="AI64" i="14"/>
  <c r="AH64" i="14"/>
  <c r="AG64" i="14"/>
  <c r="AR63" i="14"/>
  <c r="AQ63" i="14"/>
  <c r="AP63" i="14"/>
  <c r="AO63" i="14"/>
  <c r="AN63" i="14"/>
  <c r="AM63" i="14"/>
  <c r="AL63" i="14"/>
  <c r="AK63" i="14"/>
  <c r="AJ63" i="14"/>
  <c r="AI63" i="14"/>
  <c r="AH63" i="14"/>
  <c r="AG63" i="14"/>
  <c r="AR62" i="14"/>
  <c r="AQ62" i="14"/>
  <c r="AP62" i="14"/>
  <c r="AO62" i="14"/>
  <c r="AN62" i="14"/>
  <c r="AM62" i="14"/>
  <c r="AL62" i="14"/>
  <c r="AK62" i="14"/>
  <c r="AJ62" i="14"/>
  <c r="AS62" i="14" s="1"/>
  <c r="AI62" i="14"/>
  <c r="AH62" i="14"/>
  <c r="AG62" i="14"/>
  <c r="AR61" i="14"/>
  <c r="AQ61" i="14"/>
  <c r="AP61" i="14"/>
  <c r="AO61" i="14"/>
  <c r="AN61" i="14"/>
  <c r="AM61" i="14"/>
  <c r="AL61" i="14"/>
  <c r="AK61" i="14"/>
  <c r="AJ61" i="14"/>
  <c r="AI61" i="14"/>
  <c r="AH61" i="14"/>
  <c r="AG61" i="14"/>
  <c r="AR60" i="14"/>
  <c r="AQ60" i="14"/>
  <c r="AP60" i="14"/>
  <c r="AO60" i="14"/>
  <c r="AN60" i="14"/>
  <c r="AM60" i="14"/>
  <c r="AL60" i="14"/>
  <c r="AK60" i="14"/>
  <c r="AJ60" i="14"/>
  <c r="AI60" i="14"/>
  <c r="AH60" i="14"/>
  <c r="AG60" i="14"/>
  <c r="AR59" i="14"/>
  <c r="AQ59" i="14"/>
  <c r="AP59" i="14"/>
  <c r="AO59" i="14"/>
  <c r="AN59" i="14"/>
  <c r="AM59" i="14"/>
  <c r="AL59" i="14"/>
  <c r="AK59" i="14"/>
  <c r="AJ59" i="14"/>
  <c r="AS59" i="14" s="1"/>
  <c r="AI59" i="14"/>
  <c r="AH59" i="14"/>
  <c r="AG59" i="14"/>
  <c r="AR58" i="14"/>
  <c r="AQ58" i="14"/>
  <c r="AP58" i="14"/>
  <c r="AO58" i="14"/>
  <c r="AN58" i="14"/>
  <c r="AM58" i="14"/>
  <c r="AL58" i="14"/>
  <c r="AK58" i="14"/>
  <c r="AJ58" i="14"/>
  <c r="AS58" i="14" s="1"/>
  <c r="AI58" i="14"/>
  <c r="AH58" i="14"/>
  <c r="AG58" i="14"/>
  <c r="AR57" i="14"/>
  <c r="AQ57" i="14"/>
  <c r="AP57" i="14"/>
  <c r="AO57" i="14"/>
  <c r="AN57" i="14"/>
  <c r="AM57" i="14"/>
  <c r="AL57" i="14"/>
  <c r="AK57" i="14"/>
  <c r="AJ57" i="14"/>
  <c r="AI57" i="14"/>
  <c r="AH57" i="14"/>
  <c r="AG57" i="14"/>
  <c r="AR56" i="14"/>
  <c r="AQ56" i="14"/>
  <c r="AP56" i="14"/>
  <c r="AO56" i="14"/>
  <c r="AN56" i="14"/>
  <c r="AM56" i="14"/>
  <c r="AL56" i="14"/>
  <c r="AK56" i="14"/>
  <c r="AJ56" i="14"/>
  <c r="AS56" i="14" s="1"/>
  <c r="AI56" i="14"/>
  <c r="AH56" i="14"/>
  <c r="AG56" i="14"/>
  <c r="AR55" i="14"/>
  <c r="AQ55" i="14"/>
  <c r="AP55" i="14"/>
  <c r="AO55" i="14"/>
  <c r="AN55" i="14"/>
  <c r="AM55" i="14"/>
  <c r="AL55" i="14"/>
  <c r="AK55" i="14"/>
  <c r="AJ55" i="14"/>
  <c r="AS55" i="14" s="1"/>
  <c r="AI55" i="14"/>
  <c r="AH55" i="14"/>
  <c r="AG55" i="14"/>
  <c r="AR54" i="14"/>
  <c r="AQ54" i="14"/>
  <c r="AP54" i="14"/>
  <c r="AO54" i="14"/>
  <c r="AN54" i="14"/>
  <c r="AM54" i="14"/>
  <c r="AL54" i="14"/>
  <c r="AK54" i="14"/>
  <c r="AJ54" i="14"/>
  <c r="AS54" i="14" s="1"/>
  <c r="AI54" i="14"/>
  <c r="AH54" i="14"/>
  <c r="AG54" i="14"/>
  <c r="AR53" i="14"/>
  <c r="AQ53" i="14"/>
  <c r="AP53" i="14"/>
  <c r="AO53" i="14"/>
  <c r="AN53" i="14"/>
  <c r="AM53" i="14"/>
  <c r="AL53" i="14"/>
  <c r="AK53" i="14"/>
  <c r="AJ53" i="14"/>
  <c r="AI53" i="14"/>
  <c r="AH53" i="14"/>
  <c r="AG53" i="14"/>
  <c r="AR52" i="14"/>
  <c r="AQ52" i="14"/>
  <c r="AP52" i="14"/>
  <c r="AO52" i="14"/>
  <c r="AN52" i="14"/>
  <c r="AM52" i="14"/>
  <c r="AL52" i="14"/>
  <c r="AK52" i="14"/>
  <c r="AJ52" i="14"/>
  <c r="AS52" i="14" s="1"/>
  <c r="AI52" i="14"/>
  <c r="AH52" i="14"/>
  <c r="AG52" i="14"/>
  <c r="AR51" i="14"/>
  <c r="AQ51" i="14"/>
  <c r="AP51" i="14"/>
  <c r="AO51" i="14"/>
  <c r="AN51" i="14"/>
  <c r="AM51" i="14"/>
  <c r="AL51" i="14"/>
  <c r="AK51" i="14"/>
  <c r="AJ51" i="14"/>
  <c r="AS51" i="14" s="1"/>
  <c r="AI51" i="14"/>
  <c r="AH51" i="14"/>
  <c r="AG51" i="14"/>
  <c r="AR50" i="14"/>
  <c r="AQ50" i="14"/>
  <c r="AP50" i="14"/>
  <c r="AO50" i="14"/>
  <c r="AN50" i="14"/>
  <c r="AM50" i="14"/>
  <c r="AL50" i="14"/>
  <c r="AK50" i="14"/>
  <c r="AJ50" i="14"/>
  <c r="AI50" i="14"/>
  <c r="AH50" i="14"/>
  <c r="AG50" i="14"/>
  <c r="AR49" i="14"/>
  <c r="AQ49" i="14"/>
  <c r="AP49" i="14"/>
  <c r="AO49" i="14"/>
  <c r="AN49" i="14"/>
  <c r="AM49" i="14"/>
  <c r="AL49" i="14"/>
  <c r="AK49" i="14"/>
  <c r="AJ49" i="14"/>
  <c r="AI49" i="14"/>
  <c r="AH49" i="14"/>
  <c r="AG49" i="14"/>
  <c r="AR48" i="14"/>
  <c r="AQ48" i="14"/>
  <c r="AP48" i="14"/>
  <c r="AO48" i="14"/>
  <c r="AN48" i="14"/>
  <c r="AM48" i="14"/>
  <c r="AL48" i="14"/>
  <c r="AK48" i="14"/>
  <c r="AJ48" i="14"/>
  <c r="AS48" i="14" s="1"/>
  <c r="AI48" i="14"/>
  <c r="AH48" i="14"/>
  <c r="AG48" i="14"/>
  <c r="AR47" i="14"/>
  <c r="AQ47" i="14"/>
  <c r="AP47" i="14"/>
  <c r="AO47" i="14"/>
  <c r="AN47" i="14"/>
  <c r="AM47" i="14"/>
  <c r="AL47" i="14"/>
  <c r="AK47" i="14"/>
  <c r="AJ47" i="14"/>
  <c r="AI47" i="14"/>
  <c r="AH47" i="14"/>
  <c r="AG47" i="14"/>
  <c r="AR46" i="14"/>
  <c r="AQ46" i="14"/>
  <c r="AP46" i="14"/>
  <c r="AO46" i="14"/>
  <c r="AN46" i="14"/>
  <c r="AM46" i="14"/>
  <c r="AL46" i="14"/>
  <c r="AK46" i="14"/>
  <c r="AJ46" i="14"/>
  <c r="AS46" i="14" s="1"/>
  <c r="AI46" i="14"/>
  <c r="AH46" i="14"/>
  <c r="AG46" i="14"/>
  <c r="AR45" i="14"/>
  <c r="AQ45" i="14"/>
  <c r="AP45" i="14"/>
  <c r="AO45" i="14"/>
  <c r="AN45" i="14"/>
  <c r="AM45" i="14"/>
  <c r="AL45" i="14"/>
  <c r="AK45" i="14"/>
  <c r="AJ45" i="14"/>
  <c r="AI45" i="14"/>
  <c r="AH45" i="14"/>
  <c r="AG45" i="14"/>
  <c r="AR44" i="14"/>
  <c r="AQ44" i="14"/>
  <c r="AP44" i="14"/>
  <c r="AO44" i="14"/>
  <c r="AN44" i="14"/>
  <c r="AM44" i="14"/>
  <c r="AL44" i="14"/>
  <c r="AK44" i="14"/>
  <c r="AJ44" i="14"/>
  <c r="AI44" i="14"/>
  <c r="AH44" i="14"/>
  <c r="AG44" i="14"/>
  <c r="AR43" i="14"/>
  <c r="AQ43" i="14"/>
  <c r="AP43" i="14"/>
  <c r="AO43" i="14"/>
  <c r="AN43" i="14"/>
  <c r="AM43" i="14"/>
  <c r="AL43" i="14"/>
  <c r="AK43" i="14"/>
  <c r="AJ43" i="14"/>
  <c r="AS43" i="14" s="1"/>
  <c r="AI43" i="14"/>
  <c r="AH43" i="14"/>
  <c r="AG43" i="14"/>
  <c r="AR42" i="14"/>
  <c r="AQ42" i="14"/>
  <c r="AP42" i="14"/>
  <c r="AO42" i="14"/>
  <c r="AN42" i="14"/>
  <c r="AM42" i="14"/>
  <c r="AL42" i="14"/>
  <c r="AK42" i="14"/>
  <c r="AJ42" i="14"/>
  <c r="AS42" i="14" s="1"/>
  <c r="AI42" i="14"/>
  <c r="AH42" i="14"/>
  <c r="AG42" i="14"/>
  <c r="AR41" i="14"/>
  <c r="AQ41" i="14"/>
  <c r="AP41" i="14"/>
  <c r="AO41" i="14"/>
  <c r="AN41" i="14"/>
  <c r="AM41" i="14"/>
  <c r="AL41" i="14"/>
  <c r="AK41" i="14"/>
  <c r="AJ41" i="14"/>
  <c r="AI41" i="14"/>
  <c r="AH41" i="14"/>
  <c r="AG41" i="14"/>
  <c r="AR40" i="14"/>
  <c r="AQ40" i="14"/>
  <c r="AP40" i="14"/>
  <c r="AO40" i="14"/>
  <c r="AN40" i="14"/>
  <c r="AM40" i="14"/>
  <c r="AL40" i="14"/>
  <c r="AK40" i="14"/>
  <c r="AJ40" i="14"/>
  <c r="AS40" i="14" s="1"/>
  <c r="AI40" i="14"/>
  <c r="AH40" i="14"/>
  <c r="AG40" i="14"/>
  <c r="AR39" i="14"/>
  <c r="AQ39" i="14"/>
  <c r="AP39" i="14"/>
  <c r="AO39" i="14"/>
  <c r="AN39" i="14"/>
  <c r="AM39" i="14"/>
  <c r="AL39" i="14"/>
  <c r="AK39" i="14"/>
  <c r="AJ39" i="14"/>
  <c r="AS39" i="14" s="1"/>
  <c r="AI39" i="14"/>
  <c r="AH39" i="14"/>
  <c r="AG39" i="14"/>
  <c r="AR38" i="14"/>
  <c r="AQ38" i="14"/>
  <c r="AP38" i="14"/>
  <c r="AO38" i="14"/>
  <c r="AN38" i="14"/>
  <c r="AM38" i="14"/>
  <c r="AL38" i="14"/>
  <c r="AK38" i="14"/>
  <c r="AJ38" i="14"/>
  <c r="AS38" i="14" s="1"/>
  <c r="AI38" i="14"/>
  <c r="AH38" i="14"/>
  <c r="AG38" i="14"/>
  <c r="AR37" i="14"/>
  <c r="AQ37" i="14"/>
  <c r="AP37" i="14"/>
  <c r="AO37" i="14"/>
  <c r="AN37" i="14"/>
  <c r="AM37" i="14"/>
  <c r="AL37" i="14"/>
  <c r="AK37" i="14"/>
  <c r="AJ37" i="14"/>
  <c r="AI37" i="14"/>
  <c r="AH37" i="14"/>
  <c r="AG37" i="14"/>
  <c r="AR36" i="14"/>
  <c r="AQ36" i="14"/>
  <c r="AP36" i="14"/>
  <c r="AO36" i="14"/>
  <c r="AN36" i="14"/>
  <c r="AM36" i="14"/>
  <c r="AL36" i="14"/>
  <c r="AK36" i="14"/>
  <c r="AJ36" i="14"/>
  <c r="AS36" i="14" s="1"/>
  <c r="AI36" i="14"/>
  <c r="AH36" i="14"/>
  <c r="AG36" i="14"/>
  <c r="AR35" i="14"/>
  <c r="AQ35" i="14"/>
  <c r="AP35" i="14"/>
  <c r="AO35" i="14"/>
  <c r="AN35" i="14"/>
  <c r="AM35" i="14"/>
  <c r="AL35" i="14"/>
  <c r="AK35" i="14"/>
  <c r="AJ35" i="14"/>
  <c r="AS35" i="14" s="1"/>
  <c r="AI35" i="14"/>
  <c r="AH35" i="14"/>
  <c r="AG35" i="14"/>
  <c r="AR34" i="14"/>
  <c r="AQ34" i="14"/>
  <c r="AP34" i="14"/>
  <c r="AO34" i="14"/>
  <c r="AN34" i="14"/>
  <c r="AM34" i="14"/>
  <c r="AL34" i="14"/>
  <c r="AK34" i="14"/>
  <c r="AJ34" i="14"/>
  <c r="AI34" i="14"/>
  <c r="AH34" i="14"/>
  <c r="AG34" i="14"/>
  <c r="AR33" i="14"/>
  <c r="AQ33" i="14"/>
  <c r="AP33" i="14"/>
  <c r="AO33" i="14"/>
  <c r="AN33" i="14"/>
  <c r="AM33" i="14"/>
  <c r="AL33" i="14"/>
  <c r="AK33" i="14"/>
  <c r="AJ33" i="14"/>
  <c r="AI33" i="14"/>
  <c r="AH33" i="14"/>
  <c r="AG33" i="14"/>
  <c r="AR32" i="14"/>
  <c r="AQ32" i="14"/>
  <c r="AP32" i="14"/>
  <c r="AO32" i="14"/>
  <c r="AN32" i="14"/>
  <c r="AM32" i="14"/>
  <c r="AL32" i="14"/>
  <c r="AK32" i="14"/>
  <c r="AJ32" i="14"/>
  <c r="AS32" i="14" s="1"/>
  <c r="AI32" i="14"/>
  <c r="AH32" i="14"/>
  <c r="AG32" i="14"/>
  <c r="AR31" i="14"/>
  <c r="AQ31" i="14"/>
  <c r="AP31" i="14"/>
  <c r="AO31" i="14"/>
  <c r="AN31" i="14"/>
  <c r="AM31" i="14"/>
  <c r="AL31" i="14"/>
  <c r="AK31" i="14"/>
  <c r="AJ31" i="14"/>
  <c r="AI31" i="14"/>
  <c r="AH31" i="14"/>
  <c r="AG31" i="14"/>
  <c r="AR30" i="14"/>
  <c r="AQ30" i="14"/>
  <c r="AP30" i="14"/>
  <c r="AO30" i="14"/>
  <c r="AN30" i="14"/>
  <c r="AM30" i="14"/>
  <c r="AL30" i="14"/>
  <c r="AK30" i="14"/>
  <c r="AJ30" i="14"/>
  <c r="AI30" i="14"/>
  <c r="AH30" i="14"/>
  <c r="AG30" i="14"/>
  <c r="AR29" i="14"/>
  <c r="AQ29" i="14"/>
  <c r="AP29" i="14"/>
  <c r="AO29" i="14"/>
  <c r="AN29" i="14"/>
  <c r="AM29" i="14"/>
  <c r="AL29" i="14"/>
  <c r="AK29" i="14"/>
  <c r="AJ29" i="14"/>
  <c r="AI29" i="14"/>
  <c r="AH29" i="14"/>
  <c r="AG29" i="14"/>
  <c r="AR28" i="14"/>
  <c r="AQ28" i="14"/>
  <c r="AP28" i="14"/>
  <c r="AO28" i="14"/>
  <c r="AN28" i="14"/>
  <c r="AM28" i="14"/>
  <c r="AL28" i="14"/>
  <c r="AK28" i="14"/>
  <c r="AJ28" i="14"/>
  <c r="AI28" i="14"/>
  <c r="AH28" i="14"/>
  <c r="AG28" i="14"/>
  <c r="AR27" i="14"/>
  <c r="AQ27" i="14"/>
  <c r="AP27" i="14"/>
  <c r="AO27" i="14"/>
  <c r="AN27" i="14"/>
  <c r="AM27" i="14"/>
  <c r="AL27" i="14"/>
  <c r="AK27" i="14"/>
  <c r="AJ27" i="14"/>
  <c r="AI27" i="14"/>
  <c r="AH27" i="14"/>
  <c r="AG27" i="14"/>
  <c r="AR26" i="14"/>
  <c r="AQ26" i="14"/>
  <c r="AP26" i="14"/>
  <c r="AO26" i="14"/>
  <c r="AN26" i="14"/>
  <c r="AM26" i="14"/>
  <c r="AL26" i="14"/>
  <c r="AK26" i="14"/>
  <c r="AJ26" i="14"/>
  <c r="AI26" i="14"/>
  <c r="AH26" i="14"/>
  <c r="AG26" i="14"/>
  <c r="AR25" i="14"/>
  <c r="AQ25" i="14"/>
  <c r="AP25" i="14"/>
  <c r="AO25" i="14"/>
  <c r="AN25" i="14"/>
  <c r="AM25" i="14"/>
  <c r="AL25" i="14"/>
  <c r="AK25" i="14"/>
  <c r="AJ25" i="14"/>
  <c r="AI25" i="14"/>
  <c r="AH25" i="14"/>
  <c r="AG25" i="14"/>
  <c r="AR24" i="14"/>
  <c r="AQ24" i="14"/>
  <c r="AP24" i="14"/>
  <c r="AO24" i="14"/>
  <c r="AN24" i="14"/>
  <c r="AM24" i="14"/>
  <c r="AL24" i="14"/>
  <c r="AK24" i="14"/>
  <c r="AJ24" i="14"/>
  <c r="AI24" i="14"/>
  <c r="AH24" i="14"/>
  <c r="AG24" i="14"/>
  <c r="AR23" i="14"/>
  <c r="AQ23" i="14"/>
  <c r="AP23" i="14"/>
  <c r="AO23" i="14"/>
  <c r="AN23" i="14"/>
  <c r="AM23" i="14"/>
  <c r="AL23" i="14"/>
  <c r="AK23" i="14"/>
  <c r="AJ23" i="14"/>
  <c r="AI23" i="14"/>
  <c r="AH23" i="14"/>
  <c r="AG23" i="14"/>
  <c r="AR22" i="14"/>
  <c r="AQ22" i="14"/>
  <c r="AP22" i="14"/>
  <c r="AO22" i="14"/>
  <c r="AN22" i="14"/>
  <c r="AM22" i="14"/>
  <c r="AL22" i="14"/>
  <c r="AK22" i="14"/>
  <c r="AJ22" i="14"/>
  <c r="AI22" i="14"/>
  <c r="AH22" i="14"/>
  <c r="AG22" i="14"/>
  <c r="AR21" i="14"/>
  <c r="AQ21" i="14"/>
  <c r="AP21" i="14"/>
  <c r="AO21" i="14"/>
  <c r="AN21" i="14"/>
  <c r="AM21" i="14"/>
  <c r="AL21" i="14"/>
  <c r="AK21" i="14"/>
  <c r="AJ21" i="14"/>
  <c r="AI21" i="14"/>
  <c r="AH21" i="14"/>
  <c r="AG21" i="14"/>
  <c r="AR20" i="14"/>
  <c r="AQ20" i="14"/>
  <c r="AP20" i="14"/>
  <c r="AO20" i="14"/>
  <c r="AN20" i="14"/>
  <c r="AM20" i="14"/>
  <c r="AL20" i="14"/>
  <c r="AK20" i="14"/>
  <c r="AJ20" i="14"/>
  <c r="AI20" i="14"/>
  <c r="AH20" i="14"/>
  <c r="AG20" i="14"/>
  <c r="AR19" i="14"/>
  <c r="AQ19" i="14"/>
  <c r="AP19" i="14"/>
  <c r="AO19" i="14"/>
  <c r="AN19" i="14"/>
  <c r="AM19" i="14"/>
  <c r="AL19" i="14"/>
  <c r="AK19" i="14"/>
  <c r="AJ19" i="14"/>
  <c r="AI19" i="14"/>
  <c r="AH19" i="14"/>
  <c r="AG19" i="14"/>
  <c r="AR18" i="14"/>
  <c r="AQ18" i="14"/>
  <c r="AP18" i="14"/>
  <c r="AO18" i="14"/>
  <c r="AN18" i="14"/>
  <c r="AM18" i="14"/>
  <c r="AL18" i="14"/>
  <c r="AK18" i="14"/>
  <c r="AJ18" i="14"/>
  <c r="AI18" i="14"/>
  <c r="AH18" i="14"/>
  <c r="AG18" i="14"/>
  <c r="AR17" i="14"/>
  <c r="AQ17" i="14"/>
  <c r="AP17" i="14"/>
  <c r="AO17" i="14"/>
  <c r="AN17" i="14"/>
  <c r="AM17" i="14"/>
  <c r="AL17" i="14"/>
  <c r="AK17" i="14"/>
  <c r="AJ17" i="14"/>
  <c r="AI17" i="14"/>
  <c r="AH17" i="14"/>
  <c r="AG17" i="14"/>
  <c r="AR16" i="14"/>
  <c r="AQ16" i="14"/>
  <c r="AP16" i="14"/>
  <c r="AO16" i="14"/>
  <c r="AN16" i="14"/>
  <c r="AM16" i="14"/>
  <c r="AL16" i="14"/>
  <c r="AK16" i="14"/>
  <c r="AJ16" i="14"/>
  <c r="AI16" i="14"/>
  <c r="AH16" i="14"/>
  <c r="AG16" i="14"/>
  <c r="AR15" i="14"/>
  <c r="AQ15" i="14"/>
  <c r="AP15" i="14"/>
  <c r="AO15" i="14"/>
  <c r="AN15" i="14"/>
  <c r="AM15" i="14"/>
  <c r="AL15" i="14"/>
  <c r="AK15" i="14"/>
  <c r="AJ15" i="14"/>
  <c r="AI15" i="14"/>
  <c r="AH15" i="14"/>
  <c r="AG15" i="14"/>
  <c r="AR14" i="14"/>
  <c r="AQ14" i="14"/>
  <c r="AP14" i="14"/>
  <c r="AO14" i="14"/>
  <c r="AN14" i="14"/>
  <c r="AM14" i="14"/>
  <c r="AL14" i="14"/>
  <c r="AK14" i="14"/>
  <c r="AJ14" i="14"/>
  <c r="AI14" i="14"/>
  <c r="AH14" i="14"/>
  <c r="AG14" i="14"/>
  <c r="AR13" i="14"/>
  <c r="AQ13" i="14"/>
  <c r="AP13" i="14"/>
  <c r="AO13" i="14"/>
  <c r="AN13" i="14"/>
  <c r="AM13" i="14"/>
  <c r="AL13" i="14"/>
  <c r="AK13" i="14"/>
  <c r="AJ13" i="14"/>
  <c r="AI13" i="14"/>
  <c r="AH13" i="14"/>
  <c r="AG13" i="14"/>
  <c r="AR12" i="14"/>
  <c r="AQ12" i="14"/>
  <c r="AP12" i="14"/>
  <c r="AO12" i="14"/>
  <c r="AN12" i="14"/>
  <c r="AM12" i="14"/>
  <c r="AL12" i="14"/>
  <c r="AK12" i="14"/>
  <c r="AJ12" i="14"/>
  <c r="AI12" i="14"/>
  <c r="AH12" i="14"/>
  <c r="AG12" i="14"/>
  <c r="AR11" i="14"/>
  <c r="AQ11" i="14"/>
  <c r="AP11" i="14"/>
  <c r="AO11" i="14"/>
  <c r="AN11" i="14"/>
  <c r="AM11" i="14"/>
  <c r="AL11" i="14"/>
  <c r="AK11" i="14"/>
  <c r="AJ11" i="14"/>
  <c r="AI11" i="14"/>
  <c r="AH11" i="14"/>
  <c r="AG11" i="14"/>
  <c r="AR10" i="14"/>
  <c r="AQ10" i="14"/>
  <c r="AP10" i="14"/>
  <c r="AO10" i="14"/>
  <c r="AN10" i="14"/>
  <c r="AM10" i="14"/>
  <c r="AL10" i="14"/>
  <c r="AK10" i="14"/>
  <c r="AJ10" i="14"/>
  <c r="AI10" i="14"/>
  <c r="AH10" i="14"/>
  <c r="AG10" i="14"/>
  <c r="AR9" i="14"/>
  <c r="AQ9" i="14"/>
  <c r="AP9" i="14"/>
  <c r="AO9" i="14"/>
  <c r="AN9" i="14"/>
  <c r="AM9" i="14"/>
  <c r="AL9" i="14"/>
  <c r="AK9" i="14"/>
  <c r="AJ9" i="14"/>
  <c r="AI9" i="14"/>
  <c r="AH9" i="14"/>
  <c r="AG9" i="14"/>
  <c r="AR8" i="14"/>
  <c r="AQ8" i="14"/>
  <c r="AP8" i="14"/>
  <c r="AO8" i="14"/>
  <c r="AN8" i="14"/>
  <c r="AM8" i="14"/>
  <c r="AL8" i="14"/>
  <c r="AK8" i="14"/>
  <c r="AJ8" i="14"/>
  <c r="AI8" i="14"/>
  <c r="AH8" i="14"/>
  <c r="AG8" i="14"/>
  <c r="AR7" i="14"/>
  <c r="AQ7" i="14"/>
  <c r="AP7" i="14"/>
  <c r="AO7" i="14"/>
  <c r="AN7" i="14"/>
  <c r="AM7" i="14"/>
  <c r="AL7" i="14"/>
  <c r="AK7" i="14"/>
  <c r="AJ7" i="14"/>
  <c r="AI7" i="14"/>
  <c r="AH7" i="14"/>
  <c r="AG7" i="14"/>
  <c r="AR6" i="14"/>
  <c r="AR66" i="14" s="1"/>
  <c r="AQ6" i="14"/>
  <c r="AQ66" i="14" s="1"/>
  <c r="AP6" i="14"/>
  <c r="AP66" i="14" s="1"/>
  <c r="AO6" i="14"/>
  <c r="AO66" i="14" s="1"/>
  <c r="AN6" i="14"/>
  <c r="AN66" i="14" s="1"/>
  <c r="AM6" i="14"/>
  <c r="AM66" i="14" s="1"/>
  <c r="AL6" i="14"/>
  <c r="AL66" i="14" s="1"/>
  <c r="AK6" i="14"/>
  <c r="AK66" i="14" s="1"/>
  <c r="AJ6" i="14"/>
  <c r="AJ66" i="14" s="1"/>
  <c r="AI6" i="14"/>
  <c r="AI66" i="14" s="1"/>
  <c r="AH6" i="14"/>
  <c r="AH66" i="14" s="1"/>
  <c r="AG6" i="14"/>
  <c r="AG66" i="14" s="1"/>
  <c r="AF65" i="14"/>
  <c r="AF64" i="14"/>
  <c r="AF63" i="14"/>
  <c r="AF62" i="14"/>
  <c r="AF61" i="14"/>
  <c r="AS61" i="14" s="1"/>
  <c r="AF60" i="14"/>
  <c r="AF59" i="14"/>
  <c r="AF58" i="14"/>
  <c r="AF57" i="14"/>
  <c r="AS57" i="14" s="1"/>
  <c r="AF56" i="14"/>
  <c r="AF55" i="14"/>
  <c r="AF54" i="14"/>
  <c r="AF53" i="14"/>
  <c r="AS53" i="14" s="1"/>
  <c r="AF52" i="14"/>
  <c r="AF51" i="14"/>
  <c r="AF50" i="14"/>
  <c r="AF49" i="14"/>
  <c r="AF48" i="14"/>
  <c r="AF47" i="14"/>
  <c r="AF46" i="14"/>
  <c r="AF45" i="14"/>
  <c r="AS45" i="14" s="1"/>
  <c r="AF44" i="14"/>
  <c r="AF43" i="14"/>
  <c r="AF42" i="14"/>
  <c r="AF41" i="14"/>
  <c r="AS41" i="14" s="1"/>
  <c r="AF40" i="14"/>
  <c r="AF39" i="14"/>
  <c r="AF38" i="14"/>
  <c r="AF37" i="14"/>
  <c r="AS37" i="14" s="1"/>
  <c r="AF36" i="14"/>
  <c r="AF35" i="14"/>
  <c r="AF34" i="14"/>
  <c r="AF33" i="14"/>
  <c r="AF32" i="14"/>
  <c r="AF31" i="14"/>
  <c r="AF30" i="14"/>
  <c r="AF29" i="14"/>
  <c r="AF28" i="14"/>
  <c r="AF27" i="14"/>
  <c r="AF26" i="14"/>
  <c r="AF25" i="14"/>
  <c r="AF24" i="14"/>
  <c r="AF23" i="14"/>
  <c r="AF22" i="14"/>
  <c r="AF21" i="14"/>
  <c r="AF20" i="14"/>
  <c r="AF19" i="14"/>
  <c r="AF18" i="14"/>
  <c r="AF17" i="14"/>
  <c r="AF16" i="14"/>
  <c r="AF15" i="14"/>
  <c r="AF14" i="14"/>
  <c r="AF13" i="14"/>
  <c r="AF12" i="14"/>
  <c r="AF11" i="14"/>
  <c r="AF10" i="14"/>
  <c r="AF9" i="14"/>
  <c r="AF8" i="14"/>
  <c r="AF7" i="14"/>
  <c r="AF6" i="14"/>
  <c r="AR65" i="15"/>
  <c r="AQ65" i="15"/>
  <c r="AP65" i="15"/>
  <c r="AO65" i="15"/>
  <c r="AN65" i="15"/>
  <c r="AM65" i="15"/>
  <c r="AL65" i="15"/>
  <c r="AK65" i="15"/>
  <c r="AJ65" i="15"/>
  <c r="AI65" i="15"/>
  <c r="AH65" i="15"/>
  <c r="AG65" i="15"/>
  <c r="AR64" i="15"/>
  <c r="AQ64" i="15"/>
  <c r="AP64" i="15"/>
  <c r="AO64" i="15"/>
  <c r="AN64" i="15"/>
  <c r="AM64" i="15"/>
  <c r="AL64" i="15"/>
  <c r="AK64" i="15"/>
  <c r="AJ64" i="15"/>
  <c r="AS64" i="15" s="1"/>
  <c r="AI64" i="15"/>
  <c r="AH64" i="15"/>
  <c r="AG64" i="15"/>
  <c r="AR63" i="15"/>
  <c r="AQ63" i="15"/>
  <c r="AP63" i="15"/>
  <c r="AO63" i="15"/>
  <c r="AN63" i="15"/>
  <c r="AM63" i="15"/>
  <c r="AL63" i="15"/>
  <c r="AK63" i="15"/>
  <c r="AJ63" i="15"/>
  <c r="AI63" i="15"/>
  <c r="AH63" i="15"/>
  <c r="AG63" i="15"/>
  <c r="AR62" i="15"/>
  <c r="AQ62" i="15"/>
  <c r="AP62" i="15"/>
  <c r="AO62" i="15"/>
  <c r="AN62" i="15"/>
  <c r="AM62" i="15"/>
  <c r="AL62" i="15"/>
  <c r="AK62" i="15"/>
  <c r="AJ62" i="15"/>
  <c r="AS62" i="15" s="1"/>
  <c r="AI62" i="15"/>
  <c r="AH62" i="15"/>
  <c r="AG62" i="15"/>
  <c r="AR61" i="15"/>
  <c r="AQ61" i="15"/>
  <c r="AP61" i="15"/>
  <c r="AO61" i="15"/>
  <c r="AN61" i="15"/>
  <c r="AM61" i="15"/>
  <c r="AL61" i="15"/>
  <c r="AK61" i="15"/>
  <c r="AJ61" i="15"/>
  <c r="AI61" i="15"/>
  <c r="AH61" i="15"/>
  <c r="AG61" i="15"/>
  <c r="AR60" i="15"/>
  <c r="AQ60" i="15"/>
  <c r="AP60" i="15"/>
  <c r="AO60" i="15"/>
  <c r="AN60" i="15"/>
  <c r="AM60" i="15"/>
  <c r="AL60" i="15"/>
  <c r="AK60" i="15"/>
  <c r="AJ60" i="15"/>
  <c r="AS60" i="15" s="1"/>
  <c r="AI60" i="15"/>
  <c r="AH60" i="15"/>
  <c r="AG60" i="15"/>
  <c r="AR59" i="15"/>
  <c r="AQ59" i="15"/>
  <c r="AP59" i="15"/>
  <c r="AO59" i="15"/>
  <c r="AN59" i="15"/>
  <c r="AM59" i="15"/>
  <c r="AL59" i="15"/>
  <c r="AK59" i="15"/>
  <c r="AJ59" i="15"/>
  <c r="AS59" i="15" s="1"/>
  <c r="AI59" i="15"/>
  <c r="AH59" i="15"/>
  <c r="AG59" i="15"/>
  <c r="AR58" i="15"/>
  <c r="AQ58" i="15"/>
  <c r="AP58" i="15"/>
  <c r="AO58" i="15"/>
  <c r="AN58" i="15"/>
  <c r="AM58" i="15"/>
  <c r="AL58" i="15"/>
  <c r="AK58" i="15"/>
  <c r="AJ58" i="15"/>
  <c r="AS58" i="15" s="1"/>
  <c r="AI58" i="15"/>
  <c r="AH58" i="15"/>
  <c r="AG58" i="15"/>
  <c r="AR57" i="15"/>
  <c r="AQ57" i="15"/>
  <c r="AP57" i="15"/>
  <c r="AO57" i="15"/>
  <c r="AN57" i="15"/>
  <c r="AM57" i="15"/>
  <c r="AL57" i="15"/>
  <c r="AK57" i="15"/>
  <c r="AJ57" i="15"/>
  <c r="AI57" i="15"/>
  <c r="AH57" i="15"/>
  <c r="AG57" i="15"/>
  <c r="AR56" i="15"/>
  <c r="AQ56" i="15"/>
  <c r="AP56" i="15"/>
  <c r="AO56" i="15"/>
  <c r="AN56" i="15"/>
  <c r="AM56" i="15"/>
  <c r="AL56" i="15"/>
  <c r="AK56" i="15"/>
  <c r="AJ56" i="15"/>
  <c r="AS56" i="15" s="1"/>
  <c r="AI56" i="15"/>
  <c r="AH56" i="15"/>
  <c r="AG56" i="15"/>
  <c r="AR55" i="15"/>
  <c r="AQ55" i="15"/>
  <c r="AP55" i="15"/>
  <c r="AO55" i="15"/>
  <c r="AN55" i="15"/>
  <c r="AM55" i="15"/>
  <c r="AL55" i="15"/>
  <c r="AK55" i="15"/>
  <c r="AJ55" i="15"/>
  <c r="AI55" i="15"/>
  <c r="AH55" i="15"/>
  <c r="AG55" i="15"/>
  <c r="AR54" i="15"/>
  <c r="AQ54" i="15"/>
  <c r="AP54" i="15"/>
  <c r="AO54" i="15"/>
  <c r="AN54" i="15"/>
  <c r="AM54" i="15"/>
  <c r="AL54" i="15"/>
  <c r="AK54" i="15"/>
  <c r="AJ54" i="15"/>
  <c r="AI54" i="15"/>
  <c r="AH54" i="15"/>
  <c r="AG54" i="15"/>
  <c r="AR53" i="15"/>
  <c r="AQ53" i="15"/>
  <c r="AP53" i="15"/>
  <c r="AO53" i="15"/>
  <c r="AN53" i="15"/>
  <c r="AM53" i="15"/>
  <c r="AL53" i="15"/>
  <c r="AK53" i="15"/>
  <c r="AJ53" i="15"/>
  <c r="AI53" i="15"/>
  <c r="AH53" i="15"/>
  <c r="AG53" i="15"/>
  <c r="AR52" i="15"/>
  <c r="AQ52" i="15"/>
  <c r="AP52" i="15"/>
  <c r="AO52" i="15"/>
  <c r="AN52" i="15"/>
  <c r="AM52" i="15"/>
  <c r="AL52" i="15"/>
  <c r="AK52" i="15"/>
  <c r="AJ52" i="15"/>
  <c r="AS52" i="15" s="1"/>
  <c r="AI52" i="15"/>
  <c r="AH52" i="15"/>
  <c r="AG52" i="15"/>
  <c r="AR51" i="15"/>
  <c r="AQ51" i="15"/>
  <c r="AP51" i="15"/>
  <c r="AO51" i="15"/>
  <c r="AN51" i="15"/>
  <c r="AM51" i="15"/>
  <c r="AL51" i="15"/>
  <c r="AK51" i="15"/>
  <c r="AJ51" i="15"/>
  <c r="AS51" i="15" s="1"/>
  <c r="AI51" i="15"/>
  <c r="AH51" i="15"/>
  <c r="AG51" i="15"/>
  <c r="AR50" i="15"/>
  <c r="AQ50" i="15"/>
  <c r="AP50" i="15"/>
  <c r="AO50" i="15"/>
  <c r="AN50" i="15"/>
  <c r="AM50" i="15"/>
  <c r="AL50" i="15"/>
  <c r="AK50" i="15"/>
  <c r="AJ50" i="15"/>
  <c r="AS50" i="15" s="1"/>
  <c r="AI50" i="15"/>
  <c r="AH50" i="15"/>
  <c r="AG50" i="15"/>
  <c r="AR49" i="15"/>
  <c r="AQ49" i="15"/>
  <c r="AP49" i="15"/>
  <c r="AO49" i="15"/>
  <c r="AN49" i="15"/>
  <c r="AM49" i="15"/>
  <c r="AL49" i="15"/>
  <c r="AK49" i="15"/>
  <c r="AJ49" i="15"/>
  <c r="AI49" i="15"/>
  <c r="AH49" i="15"/>
  <c r="AG49" i="15"/>
  <c r="AR48" i="15"/>
  <c r="AQ48" i="15"/>
  <c r="AP48" i="15"/>
  <c r="AO48" i="15"/>
  <c r="AN48" i="15"/>
  <c r="AM48" i="15"/>
  <c r="AL48" i="15"/>
  <c r="AK48" i="15"/>
  <c r="AJ48" i="15"/>
  <c r="AS48" i="15" s="1"/>
  <c r="AI48" i="15"/>
  <c r="AH48" i="15"/>
  <c r="AG48" i="15"/>
  <c r="AR47" i="15"/>
  <c r="AQ47" i="15"/>
  <c r="AP47" i="15"/>
  <c r="AO47" i="15"/>
  <c r="AN47" i="15"/>
  <c r="AM47" i="15"/>
  <c r="AL47" i="15"/>
  <c r="AK47" i="15"/>
  <c r="AJ47" i="15"/>
  <c r="AI47" i="15"/>
  <c r="AH47" i="15"/>
  <c r="AG47" i="15"/>
  <c r="AR46" i="15"/>
  <c r="AQ46" i="15"/>
  <c r="AP46" i="15"/>
  <c r="AO46" i="15"/>
  <c r="AN46" i="15"/>
  <c r="AM46" i="15"/>
  <c r="AL46" i="15"/>
  <c r="AK46" i="15"/>
  <c r="AJ46" i="15"/>
  <c r="AI46" i="15"/>
  <c r="AH46" i="15"/>
  <c r="AG46" i="15"/>
  <c r="AR45" i="15"/>
  <c r="AQ45" i="15"/>
  <c r="AP45" i="15"/>
  <c r="AO45" i="15"/>
  <c r="AN45" i="15"/>
  <c r="AM45" i="15"/>
  <c r="AL45" i="15"/>
  <c r="AK45" i="15"/>
  <c r="AJ45" i="15"/>
  <c r="AI45" i="15"/>
  <c r="AH45" i="15"/>
  <c r="AG45" i="15"/>
  <c r="AR44" i="15"/>
  <c r="AQ44" i="15"/>
  <c r="AP44" i="15"/>
  <c r="AO44" i="15"/>
  <c r="AN44" i="15"/>
  <c r="AM44" i="15"/>
  <c r="AL44" i="15"/>
  <c r="AK44" i="15"/>
  <c r="AJ44" i="15"/>
  <c r="AS44" i="15" s="1"/>
  <c r="AI44" i="15"/>
  <c r="AH44" i="15"/>
  <c r="AG44" i="15"/>
  <c r="AR43" i="15"/>
  <c r="AQ43" i="15"/>
  <c r="AP43" i="15"/>
  <c r="AO43" i="15"/>
  <c r="AN43" i="15"/>
  <c r="AM43" i="15"/>
  <c r="AL43" i="15"/>
  <c r="AK43" i="15"/>
  <c r="AJ43" i="15"/>
  <c r="AS43" i="15" s="1"/>
  <c r="AI43" i="15"/>
  <c r="AH43" i="15"/>
  <c r="AG43" i="15"/>
  <c r="AR42" i="15"/>
  <c r="AQ42" i="15"/>
  <c r="AP42" i="15"/>
  <c r="AO42" i="15"/>
  <c r="AN42" i="15"/>
  <c r="AM42" i="15"/>
  <c r="AL42" i="15"/>
  <c r="AK42" i="15"/>
  <c r="AJ42" i="15"/>
  <c r="AS42" i="15" s="1"/>
  <c r="AI42" i="15"/>
  <c r="AH42" i="15"/>
  <c r="AG42" i="15"/>
  <c r="AR41" i="15"/>
  <c r="AQ41" i="15"/>
  <c r="AP41" i="15"/>
  <c r="AO41" i="15"/>
  <c r="AN41" i="15"/>
  <c r="AM41" i="15"/>
  <c r="AL41" i="15"/>
  <c r="AK41" i="15"/>
  <c r="AJ41" i="15"/>
  <c r="AI41" i="15"/>
  <c r="AH41" i="15"/>
  <c r="AG41" i="15"/>
  <c r="AR40" i="15"/>
  <c r="AQ40" i="15"/>
  <c r="AP40" i="15"/>
  <c r="AO40" i="15"/>
  <c r="AN40" i="15"/>
  <c r="AM40" i="15"/>
  <c r="AL40" i="15"/>
  <c r="AK40" i="15"/>
  <c r="AJ40" i="15"/>
  <c r="AS40" i="15" s="1"/>
  <c r="AI40" i="15"/>
  <c r="AH40" i="15"/>
  <c r="AG40" i="15"/>
  <c r="AR39" i="15"/>
  <c r="AQ39" i="15"/>
  <c r="AP39" i="15"/>
  <c r="AO39" i="15"/>
  <c r="AN39" i="15"/>
  <c r="AM39" i="15"/>
  <c r="AL39" i="15"/>
  <c r="AK39" i="15"/>
  <c r="AJ39" i="15"/>
  <c r="AI39" i="15"/>
  <c r="AH39" i="15"/>
  <c r="AG39" i="15"/>
  <c r="AR38" i="15"/>
  <c r="AQ38" i="15"/>
  <c r="AP38" i="15"/>
  <c r="AO38" i="15"/>
  <c r="AN38" i="15"/>
  <c r="AM38" i="15"/>
  <c r="AL38" i="15"/>
  <c r="AK38" i="15"/>
  <c r="AJ38" i="15"/>
  <c r="AI38" i="15"/>
  <c r="AH38" i="15"/>
  <c r="AG38" i="15"/>
  <c r="AR37" i="15"/>
  <c r="AQ37" i="15"/>
  <c r="AP37" i="15"/>
  <c r="AO37" i="15"/>
  <c r="AN37" i="15"/>
  <c r="AM37" i="15"/>
  <c r="AL37" i="15"/>
  <c r="AK37" i="15"/>
  <c r="AJ37" i="15"/>
  <c r="AI37" i="15"/>
  <c r="AH37" i="15"/>
  <c r="AG37" i="15"/>
  <c r="AR36" i="15"/>
  <c r="AQ36" i="15"/>
  <c r="AP36" i="15"/>
  <c r="AO36" i="15"/>
  <c r="AN36" i="15"/>
  <c r="AM36" i="15"/>
  <c r="AL36" i="15"/>
  <c r="AK36" i="15"/>
  <c r="AJ36" i="15"/>
  <c r="AS36" i="15" s="1"/>
  <c r="AI36" i="15"/>
  <c r="AH36" i="15"/>
  <c r="AG36" i="15"/>
  <c r="AR35" i="15"/>
  <c r="AQ35" i="15"/>
  <c r="AP35" i="15"/>
  <c r="AO35" i="15"/>
  <c r="AN35" i="15"/>
  <c r="AM35" i="15"/>
  <c r="AL35" i="15"/>
  <c r="AK35" i="15"/>
  <c r="AJ35" i="15"/>
  <c r="AS35" i="15" s="1"/>
  <c r="AI35" i="15"/>
  <c r="AH35" i="15"/>
  <c r="AG35" i="15"/>
  <c r="AR34" i="15"/>
  <c r="AQ34" i="15"/>
  <c r="AP34" i="15"/>
  <c r="AO34" i="15"/>
  <c r="AN34" i="15"/>
  <c r="AM34" i="15"/>
  <c r="AL34" i="15"/>
  <c r="AK34" i="15"/>
  <c r="AJ34" i="15"/>
  <c r="AS34" i="15" s="1"/>
  <c r="AI34" i="15"/>
  <c r="AH34" i="15"/>
  <c r="AG34" i="15"/>
  <c r="AR33" i="15"/>
  <c r="AQ33" i="15"/>
  <c r="AP33" i="15"/>
  <c r="AO33" i="15"/>
  <c r="AN33" i="15"/>
  <c r="AM33" i="15"/>
  <c r="AL33" i="15"/>
  <c r="AK33" i="15"/>
  <c r="AJ33" i="15"/>
  <c r="AI33" i="15"/>
  <c r="AH33" i="15"/>
  <c r="AG33" i="15"/>
  <c r="AR32" i="15"/>
  <c r="AQ32" i="15"/>
  <c r="AP32" i="15"/>
  <c r="AO32" i="15"/>
  <c r="AN32" i="15"/>
  <c r="AM32" i="15"/>
  <c r="AL32" i="15"/>
  <c r="AK32" i="15"/>
  <c r="AJ32" i="15"/>
  <c r="AS32" i="15" s="1"/>
  <c r="AI32" i="15"/>
  <c r="AH32" i="15"/>
  <c r="AG32" i="15"/>
  <c r="AR31" i="15"/>
  <c r="AQ31" i="15"/>
  <c r="AP31" i="15"/>
  <c r="AO31" i="15"/>
  <c r="AN31" i="15"/>
  <c r="AM31" i="15"/>
  <c r="AL31" i="15"/>
  <c r="AK31" i="15"/>
  <c r="AJ31" i="15"/>
  <c r="AS31" i="15" s="1"/>
  <c r="AI31" i="15"/>
  <c r="AH31" i="15"/>
  <c r="AG31" i="15"/>
  <c r="AR30" i="15"/>
  <c r="AQ30" i="15"/>
  <c r="AP30" i="15"/>
  <c r="AO30" i="15"/>
  <c r="AN30" i="15"/>
  <c r="AM30" i="15"/>
  <c r="AL30" i="15"/>
  <c r="AK30" i="15"/>
  <c r="AJ30" i="15"/>
  <c r="AI30" i="15"/>
  <c r="AH30" i="15"/>
  <c r="AG30" i="15"/>
  <c r="AR29" i="15"/>
  <c r="AQ29" i="15"/>
  <c r="AP29" i="15"/>
  <c r="AO29" i="15"/>
  <c r="AN29" i="15"/>
  <c r="AM29" i="15"/>
  <c r="AL29" i="15"/>
  <c r="AK29" i="15"/>
  <c r="AJ29" i="15"/>
  <c r="AI29" i="15"/>
  <c r="AH29" i="15"/>
  <c r="AG29" i="15"/>
  <c r="AF65" i="15"/>
  <c r="AS65" i="15" s="1"/>
  <c r="AF64" i="15"/>
  <c r="AF63" i="15"/>
  <c r="AF62" i="15"/>
  <c r="AF61" i="15"/>
  <c r="AS61" i="15" s="1"/>
  <c r="AF60" i="15"/>
  <c r="AF59" i="15"/>
  <c r="AF58" i="15"/>
  <c r="AF57" i="15"/>
  <c r="AS57" i="15" s="1"/>
  <c r="AF56" i="15"/>
  <c r="AF55" i="15"/>
  <c r="AF54" i="15"/>
  <c r="AF53" i="15"/>
  <c r="AS53" i="15" s="1"/>
  <c r="AF52" i="15"/>
  <c r="AF51" i="15"/>
  <c r="AF50" i="15"/>
  <c r="AF49" i="15"/>
  <c r="AS49" i="15" s="1"/>
  <c r="AF48" i="15"/>
  <c r="AF47" i="15"/>
  <c r="AF46" i="15"/>
  <c r="AF45" i="15"/>
  <c r="AS45" i="15" s="1"/>
  <c r="AF44" i="15"/>
  <c r="AF43" i="15"/>
  <c r="AF42" i="15"/>
  <c r="AF41" i="15"/>
  <c r="AS41" i="15" s="1"/>
  <c r="AF40" i="15"/>
  <c r="AF39" i="15"/>
  <c r="AF38" i="15"/>
  <c r="AF37" i="15"/>
  <c r="AS37" i="15" s="1"/>
  <c r="AF36" i="15"/>
  <c r="AF35" i="15"/>
  <c r="AF34" i="15"/>
  <c r="AF33" i="15"/>
  <c r="AS33" i="15" s="1"/>
  <c r="AF32" i="15"/>
  <c r="AF31" i="15"/>
  <c r="AF30" i="15"/>
  <c r="AF29" i="15"/>
  <c r="AD66" i="14"/>
  <c r="AC66" i="14"/>
  <c r="AB66" i="14"/>
  <c r="AA66" i="14"/>
  <c r="Z66" i="14"/>
  <c r="Y66" i="14"/>
  <c r="X66" i="14"/>
  <c r="W66" i="14"/>
  <c r="V66" i="14"/>
  <c r="U66" i="14"/>
  <c r="T66" i="14"/>
  <c r="S66" i="14"/>
  <c r="R66" i="14"/>
  <c r="AD66" i="13"/>
  <c r="AC66" i="13"/>
  <c r="AB66" i="13"/>
  <c r="AA66" i="13"/>
  <c r="Z66" i="13"/>
  <c r="Y66" i="13"/>
  <c r="X66" i="13"/>
  <c r="W66" i="13"/>
  <c r="V66" i="13"/>
  <c r="U66" i="13"/>
  <c r="T66" i="13"/>
  <c r="S66" i="13"/>
  <c r="R66" i="13"/>
  <c r="AR65" i="13"/>
  <c r="AQ65" i="13"/>
  <c r="AP65" i="13"/>
  <c r="AO65" i="13"/>
  <c r="AN65" i="13"/>
  <c r="AM65" i="13"/>
  <c r="AL65" i="13"/>
  <c r="AK65" i="13"/>
  <c r="AJ65" i="13"/>
  <c r="AI65" i="13"/>
  <c r="AS65" i="13" s="1"/>
  <c r="AH65" i="13"/>
  <c r="AG65" i="13"/>
  <c r="AR64" i="13"/>
  <c r="AQ64" i="13"/>
  <c r="AP64" i="13"/>
  <c r="AO64" i="13"/>
  <c r="AN64" i="13"/>
  <c r="AM64" i="13"/>
  <c r="AL64" i="13"/>
  <c r="AK64" i="13"/>
  <c r="AJ64" i="13"/>
  <c r="AI64" i="13"/>
  <c r="AH64" i="13"/>
  <c r="AG64" i="13"/>
  <c r="AR63" i="13"/>
  <c r="AQ63" i="13"/>
  <c r="AP63" i="13"/>
  <c r="AO63" i="13"/>
  <c r="AN63" i="13"/>
  <c r="AM63" i="13"/>
  <c r="AL63" i="13"/>
  <c r="AK63" i="13"/>
  <c r="AJ63" i="13"/>
  <c r="AI63" i="13"/>
  <c r="AS63" i="13" s="1"/>
  <c r="AH63" i="13"/>
  <c r="AG63" i="13"/>
  <c r="AR62" i="13"/>
  <c r="AQ62" i="13"/>
  <c r="AP62" i="13"/>
  <c r="AO62" i="13"/>
  <c r="AN62" i="13"/>
  <c r="AM62" i="13"/>
  <c r="AL62" i="13"/>
  <c r="AK62" i="13"/>
  <c r="AJ62" i="13"/>
  <c r="AI62" i="13"/>
  <c r="AS62" i="13" s="1"/>
  <c r="AH62" i="13"/>
  <c r="AG62" i="13"/>
  <c r="AR61" i="13"/>
  <c r="AQ61" i="13"/>
  <c r="AP61" i="13"/>
  <c r="AO61" i="13"/>
  <c r="AN61" i="13"/>
  <c r="AM61" i="13"/>
  <c r="AL61" i="13"/>
  <c r="AK61" i="13"/>
  <c r="AJ61" i="13"/>
  <c r="AI61" i="13"/>
  <c r="AS61" i="13" s="1"/>
  <c r="AH61" i="13"/>
  <c r="AG61" i="13"/>
  <c r="AR60" i="13"/>
  <c r="AQ60" i="13"/>
  <c r="AP60" i="13"/>
  <c r="AO60" i="13"/>
  <c r="AN60" i="13"/>
  <c r="AM60" i="13"/>
  <c r="AL60" i="13"/>
  <c r="AK60" i="13"/>
  <c r="AJ60" i="13"/>
  <c r="AI60" i="13"/>
  <c r="AH60" i="13"/>
  <c r="AG60" i="13"/>
  <c r="AR59" i="13"/>
  <c r="AQ59" i="13"/>
  <c r="AP59" i="13"/>
  <c r="AO59" i="13"/>
  <c r="AN59" i="13"/>
  <c r="AM59" i="13"/>
  <c r="AL59" i="13"/>
  <c r="AK59" i="13"/>
  <c r="AJ59" i="13"/>
  <c r="AI59" i="13"/>
  <c r="AS59" i="13" s="1"/>
  <c r="AH59" i="13"/>
  <c r="AG59" i="13"/>
  <c r="AR58" i="13"/>
  <c r="AQ58" i="13"/>
  <c r="AP58" i="13"/>
  <c r="AO58" i="13"/>
  <c r="AN58" i="13"/>
  <c r="AM58" i="13"/>
  <c r="AL58" i="13"/>
  <c r="AK58" i="13"/>
  <c r="AJ58" i="13"/>
  <c r="AI58" i="13"/>
  <c r="AH58" i="13"/>
  <c r="AG58" i="13"/>
  <c r="AR57" i="13"/>
  <c r="AQ57" i="13"/>
  <c r="AP57" i="13"/>
  <c r="AO57" i="13"/>
  <c r="AN57" i="13"/>
  <c r="AM57" i="13"/>
  <c r="AL57" i="13"/>
  <c r="AK57" i="13"/>
  <c r="AJ57" i="13"/>
  <c r="AI57" i="13"/>
  <c r="AS57" i="13" s="1"/>
  <c r="AH57" i="13"/>
  <c r="AG57" i="13"/>
  <c r="AR56" i="13"/>
  <c r="AQ56" i="13"/>
  <c r="AP56" i="13"/>
  <c r="AO56" i="13"/>
  <c r="AN56" i="13"/>
  <c r="AM56" i="13"/>
  <c r="AL56" i="13"/>
  <c r="AK56" i="13"/>
  <c r="AJ56" i="13"/>
  <c r="AI56" i="13"/>
  <c r="AH56" i="13"/>
  <c r="AG56" i="13"/>
  <c r="AR55" i="13"/>
  <c r="AQ55" i="13"/>
  <c r="AP55" i="13"/>
  <c r="AO55" i="13"/>
  <c r="AN55" i="13"/>
  <c r="AM55" i="13"/>
  <c r="AL55" i="13"/>
  <c r="AK55" i="13"/>
  <c r="AJ55" i="13"/>
  <c r="AI55" i="13"/>
  <c r="AS55" i="13" s="1"/>
  <c r="AH55" i="13"/>
  <c r="AG55" i="13"/>
  <c r="AR54" i="13"/>
  <c r="AQ54" i="13"/>
  <c r="AP54" i="13"/>
  <c r="AO54" i="13"/>
  <c r="AN54" i="13"/>
  <c r="AM54" i="13"/>
  <c r="AL54" i="13"/>
  <c r="AK54" i="13"/>
  <c r="AJ54" i="13"/>
  <c r="AI54" i="13"/>
  <c r="AS54" i="13" s="1"/>
  <c r="AH54" i="13"/>
  <c r="AG54" i="13"/>
  <c r="AR53" i="13"/>
  <c r="AQ53" i="13"/>
  <c r="AP53" i="13"/>
  <c r="AO53" i="13"/>
  <c r="AN53" i="13"/>
  <c r="AM53" i="13"/>
  <c r="AL53" i="13"/>
  <c r="AK53" i="13"/>
  <c r="AJ53" i="13"/>
  <c r="AI53" i="13"/>
  <c r="AH53" i="13"/>
  <c r="AG53" i="13"/>
  <c r="AR52" i="13"/>
  <c r="AQ52" i="13"/>
  <c r="AP52" i="13"/>
  <c r="AO52" i="13"/>
  <c r="AN52" i="13"/>
  <c r="AM52" i="13"/>
  <c r="AL52" i="13"/>
  <c r="AK52" i="13"/>
  <c r="AJ52" i="13"/>
  <c r="AI52" i="13"/>
  <c r="AH52" i="13"/>
  <c r="AG52" i="13"/>
  <c r="AR51" i="13"/>
  <c r="AQ51" i="13"/>
  <c r="AP51" i="13"/>
  <c r="AO51" i="13"/>
  <c r="AN51" i="13"/>
  <c r="AM51" i="13"/>
  <c r="AL51" i="13"/>
  <c r="AK51" i="13"/>
  <c r="AJ51" i="13"/>
  <c r="AI51" i="13"/>
  <c r="AS51" i="13" s="1"/>
  <c r="AH51" i="13"/>
  <c r="AG51" i="13"/>
  <c r="AR50" i="13"/>
  <c r="AQ50" i="13"/>
  <c r="AP50" i="13"/>
  <c r="AO50" i="13"/>
  <c r="AN50" i="13"/>
  <c r="AM50" i="13"/>
  <c r="AL50" i="13"/>
  <c r="AK50" i="13"/>
  <c r="AJ50" i="13"/>
  <c r="AI50" i="13"/>
  <c r="AS50" i="13" s="1"/>
  <c r="AH50" i="13"/>
  <c r="AG50" i="13"/>
  <c r="AR49" i="13"/>
  <c r="AQ49" i="13"/>
  <c r="AP49" i="13"/>
  <c r="AO49" i="13"/>
  <c r="AN49" i="13"/>
  <c r="AM49" i="13"/>
  <c r="AL49" i="13"/>
  <c r="AK49" i="13"/>
  <c r="AJ49" i="13"/>
  <c r="AI49" i="13"/>
  <c r="AS49" i="13" s="1"/>
  <c r="AH49" i="13"/>
  <c r="AG49" i="13"/>
  <c r="AR48" i="13"/>
  <c r="AQ48" i="13"/>
  <c r="AP48" i="13"/>
  <c r="AO48" i="13"/>
  <c r="AN48" i="13"/>
  <c r="AM48" i="13"/>
  <c r="AL48" i="13"/>
  <c r="AK48" i="13"/>
  <c r="AJ48" i="13"/>
  <c r="AI48" i="13"/>
  <c r="AH48" i="13"/>
  <c r="AG48" i="13"/>
  <c r="AR47" i="13"/>
  <c r="AQ47" i="13"/>
  <c r="AP47" i="13"/>
  <c r="AO47" i="13"/>
  <c r="AN47" i="13"/>
  <c r="AM47" i="13"/>
  <c r="AL47" i="13"/>
  <c r="AK47" i="13"/>
  <c r="AJ47" i="13"/>
  <c r="AI47" i="13"/>
  <c r="AS47" i="13" s="1"/>
  <c r="AH47" i="13"/>
  <c r="AG47" i="13"/>
  <c r="AR46" i="13"/>
  <c r="AQ46" i="13"/>
  <c r="AP46" i="13"/>
  <c r="AO46" i="13"/>
  <c r="AN46" i="13"/>
  <c r="AM46" i="13"/>
  <c r="AL46" i="13"/>
  <c r="AK46" i="13"/>
  <c r="AJ46" i="13"/>
  <c r="AI46" i="13"/>
  <c r="AS46" i="13" s="1"/>
  <c r="AH46" i="13"/>
  <c r="AG46" i="13"/>
  <c r="AR45" i="13"/>
  <c r="AQ45" i="13"/>
  <c r="AP45" i="13"/>
  <c r="AO45" i="13"/>
  <c r="AN45" i="13"/>
  <c r="AM45" i="13"/>
  <c r="AL45" i="13"/>
  <c r="AK45" i="13"/>
  <c r="AJ45" i="13"/>
  <c r="AI45" i="13"/>
  <c r="AS45" i="13" s="1"/>
  <c r="AH45" i="13"/>
  <c r="AG45" i="13"/>
  <c r="AR44" i="13"/>
  <c r="AQ44" i="13"/>
  <c r="AP44" i="13"/>
  <c r="AO44" i="13"/>
  <c r="AN44" i="13"/>
  <c r="AM44" i="13"/>
  <c r="AL44" i="13"/>
  <c r="AK44" i="13"/>
  <c r="AJ44" i="13"/>
  <c r="AI44" i="13"/>
  <c r="AH44" i="13"/>
  <c r="AG44" i="13"/>
  <c r="AR43" i="13"/>
  <c r="AQ43" i="13"/>
  <c r="AP43" i="13"/>
  <c r="AO43" i="13"/>
  <c r="AN43" i="13"/>
  <c r="AM43" i="13"/>
  <c r="AL43" i="13"/>
  <c r="AK43" i="13"/>
  <c r="AJ43" i="13"/>
  <c r="AI43" i="13"/>
  <c r="AH43" i="13"/>
  <c r="AG43" i="13"/>
  <c r="AR42" i="13"/>
  <c r="AQ42" i="13"/>
  <c r="AP42" i="13"/>
  <c r="AO42" i="13"/>
  <c r="AN42" i="13"/>
  <c r="AM42" i="13"/>
  <c r="AL42" i="13"/>
  <c r="AK42" i="13"/>
  <c r="AJ42" i="13"/>
  <c r="AI42" i="13"/>
  <c r="AS42" i="13" s="1"/>
  <c r="AH42" i="13"/>
  <c r="AG42" i="13"/>
  <c r="AR41" i="13"/>
  <c r="AQ41" i="13"/>
  <c r="AP41" i="13"/>
  <c r="AO41" i="13"/>
  <c r="AN41" i="13"/>
  <c r="AM41" i="13"/>
  <c r="AL41" i="13"/>
  <c r="AK41" i="13"/>
  <c r="AJ41" i="13"/>
  <c r="AI41" i="13"/>
  <c r="AS41" i="13" s="1"/>
  <c r="AH41" i="13"/>
  <c r="AG41" i="13"/>
  <c r="AR40" i="13"/>
  <c r="AQ40" i="13"/>
  <c r="AP40" i="13"/>
  <c r="AO40" i="13"/>
  <c r="AN40" i="13"/>
  <c r="AM40" i="13"/>
  <c r="AL40" i="13"/>
  <c r="AK40" i="13"/>
  <c r="AJ40" i="13"/>
  <c r="AI40" i="13"/>
  <c r="AH40" i="13"/>
  <c r="AG40" i="13"/>
  <c r="AR39" i="13"/>
  <c r="AQ39" i="13"/>
  <c r="AP39" i="13"/>
  <c r="AO39" i="13"/>
  <c r="AN39" i="13"/>
  <c r="AM39" i="13"/>
  <c r="AL39" i="13"/>
  <c r="AK39" i="13"/>
  <c r="AJ39" i="13"/>
  <c r="AI39" i="13"/>
  <c r="AS39" i="13" s="1"/>
  <c r="AH39" i="13"/>
  <c r="AG39" i="13"/>
  <c r="AR38" i="13"/>
  <c r="AQ38" i="13"/>
  <c r="AP38" i="13"/>
  <c r="AO38" i="13"/>
  <c r="AN38" i="13"/>
  <c r="AM38" i="13"/>
  <c r="AL38" i="13"/>
  <c r="AK38" i="13"/>
  <c r="AJ38" i="13"/>
  <c r="AI38" i="13"/>
  <c r="AS38" i="13" s="1"/>
  <c r="AH38" i="13"/>
  <c r="AG38" i="13"/>
  <c r="AR37" i="13"/>
  <c r="AQ37" i="13"/>
  <c r="AP37" i="13"/>
  <c r="AO37" i="13"/>
  <c r="AN37" i="13"/>
  <c r="AM37" i="13"/>
  <c r="AL37" i="13"/>
  <c r="AK37" i="13"/>
  <c r="AJ37" i="13"/>
  <c r="AI37" i="13"/>
  <c r="AS37" i="13" s="1"/>
  <c r="AH37" i="13"/>
  <c r="AG37" i="13"/>
  <c r="AR36" i="13"/>
  <c r="AQ36" i="13"/>
  <c r="AP36" i="13"/>
  <c r="AO36" i="13"/>
  <c r="AN36" i="13"/>
  <c r="AM36" i="13"/>
  <c r="AL36" i="13"/>
  <c r="AK36" i="13"/>
  <c r="AJ36" i="13"/>
  <c r="AI36" i="13"/>
  <c r="AH36" i="13"/>
  <c r="AG36" i="13"/>
  <c r="AR35" i="13"/>
  <c r="AQ35" i="13"/>
  <c r="AP35" i="13"/>
  <c r="AO35" i="13"/>
  <c r="AN35" i="13"/>
  <c r="AM35" i="13"/>
  <c r="AL35" i="13"/>
  <c r="AK35" i="13"/>
  <c r="AJ35" i="13"/>
  <c r="AI35" i="13"/>
  <c r="AS35" i="13" s="1"/>
  <c r="AH35" i="13"/>
  <c r="AG35" i="13"/>
  <c r="AR34" i="13"/>
  <c r="AQ34" i="13"/>
  <c r="AP34" i="13"/>
  <c r="AO34" i="13"/>
  <c r="AN34" i="13"/>
  <c r="AM34" i="13"/>
  <c r="AL34" i="13"/>
  <c r="AK34" i="13"/>
  <c r="AJ34" i="13"/>
  <c r="AI34" i="13"/>
  <c r="AH34" i="13"/>
  <c r="AG34" i="13"/>
  <c r="AR33" i="13"/>
  <c r="AQ33" i="13"/>
  <c r="AP33" i="13"/>
  <c r="AO33" i="13"/>
  <c r="AN33" i="13"/>
  <c r="AM33" i="13"/>
  <c r="AL33" i="13"/>
  <c r="AK33" i="13"/>
  <c r="AJ33" i="13"/>
  <c r="AI33" i="13"/>
  <c r="AS33" i="13" s="1"/>
  <c r="AH33" i="13"/>
  <c r="AG33" i="13"/>
  <c r="AR32" i="13"/>
  <c r="AQ32" i="13"/>
  <c r="AP32" i="13"/>
  <c r="AO32" i="13"/>
  <c r="AN32" i="13"/>
  <c r="AM32" i="13"/>
  <c r="AL32" i="13"/>
  <c r="AK32" i="13"/>
  <c r="AJ32" i="13"/>
  <c r="AI32" i="13"/>
  <c r="AH32" i="13"/>
  <c r="AG32" i="13"/>
  <c r="AR31" i="13"/>
  <c r="AQ31" i="13"/>
  <c r="AP31" i="13"/>
  <c r="AO31" i="13"/>
  <c r="AN31" i="13"/>
  <c r="AM31" i="13"/>
  <c r="AL31" i="13"/>
  <c r="AK31" i="13"/>
  <c r="AJ31" i="13"/>
  <c r="AI31" i="13"/>
  <c r="AS31" i="13" s="1"/>
  <c r="AH31" i="13"/>
  <c r="AG31" i="13"/>
  <c r="AR30" i="13"/>
  <c r="AQ30" i="13"/>
  <c r="AP30" i="13"/>
  <c r="AO30" i="13"/>
  <c r="AN30" i="13"/>
  <c r="AM30" i="13"/>
  <c r="AL30" i="13"/>
  <c r="AK30" i="13"/>
  <c r="AJ30" i="13"/>
  <c r="AI30" i="13"/>
  <c r="AH30" i="13"/>
  <c r="AG30" i="13"/>
  <c r="AR28" i="13"/>
  <c r="AQ28" i="13"/>
  <c r="AP28" i="13"/>
  <c r="AO28" i="13"/>
  <c r="AN28" i="13"/>
  <c r="AM28" i="13"/>
  <c r="AL28" i="13"/>
  <c r="AK28" i="13"/>
  <c r="AJ28" i="13"/>
  <c r="AI28" i="13"/>
  <c r="AH28" i="13"/>
  <c r="AG28" i="13"/>
  <c r="AR27" i="13"/>
  <c r="AQ27" i="13"/>
  <c r="AP27" i="13"/>
  <c r="AO27" i="13"/>
  <c r="AN27" i="13"/>
  <c r="AM27" i="13"/>
  <c r="AL27" i="13"/>
  <c r="AK27" i="13"/>
  <c r="AJ27" i="13"/>
  <c r="AI27" i="13"/>
  <c r="AH27" i="13"/>
  <c r="AG27" i="13"/>
  <c r="AR26" i="13"/>
  <c r="AQ26" i="13"/>
  <c r="AP26" i="13"/>
  <c r="AO26" i="13"/>
  <c r="AN26" i="13"/>
  <c r="AM26" i="13"/>
  <c r="AL26" i="13"/>
  <c r="AK26" i="13"/>
  <c r="AJ26" i="13"/>
  <c r="AI26" i="13"/>
  <c r="AH26" i="13"/>
  <c r="AG26" i="13"/>
  <c r="AR25" i="13"/>
  <c r="AQ25" i="13"/>
  <c r="AP25" i="13"/>
  <c r="AO25" i="13"/>
  <c r="AN25" i="13"/>
  <c r="AM25" i="13"/>
  <c r="AL25" i="13"/>
  <c r="AK25" i="13"/>
  <c r="AJ25" i="13"/>
  <c r="AI25" i="13"/>
  <c r="AH25" i="13"/>
  <c r="AG25" i="13"/>
  <c r="AR24" i="13"/>
  <c r="AQ24" i="13"/>
  <c r="AP24" i="13"/>
  <c r="AO24" i="13"/>
  <c r="AN24" i="13"/>
  <c r="AM24" i="13"/>
  <c r="AL24" i="13"/>
  <c r="AK24" i="13"/>
  <c r="AJ24" i="13"/>
  <c r="AI24" i="13"/>
  <c r="AH24" i="13"/>
  <c r="AG24" i="13"/>
  <c r="AR23" i="13"/>
  <c r="AQ23" i="13"/>
  <c r="AP23" i="13"/>
  <c r="AO23" i="13"/>
  <c r="AN23" i="13"/>
  <c r="AM23" i="13"/>
  <c r="AL23" i="13"/>
  <c r="AK23" i="13"/>
  <c r="AJ23" i="13"/>
  <c r="AI23" i="13"/>
  <c r="AH23" i="13"/>
  <c r="AG23" i="13"/>
  <c r="AR22" i="13"/>
  <c r="AQ22" i="13"/>
  <c r="AP22" i="13"/>
  <c r="AO22" i="13"/>
  <c r="AN22" i="13"/>
  <c r="AM22" i="13"/>
  <c r="AL22" i="13"/>
  <c r="AK22" i="13"/>
  <c r="AJ22" i="13"/>
  <c r="AI22" i="13"/>
  <c r="AH22" i="13"/>
  <c r="AG22" i="13"/>
  <c r="AR21" i="13"/>
  <c r="AQ21" i="13"/>
  <c r="AP21" i="13"/>
  <c r="AO21" i="13"/>
  <c r="AN21" i="13"/>
  <c r="AM21" i="13"/>
  <c r="AL21" i="13"/>
  <c r="AK21" i="13"/>
  <c r="AJ21" i="13"/>
  <c r="AI21" i="13"/>
  <c r="AH21" i="13"/>
  <c r="AG21" i="13"/>
  <c r="AR20" i="13"/>
  <c r="AQ20" i="13"/>
  <c r="AP20" i="13"/>
  <c r="AO20" i="13"/>
  <c r="AN20" i="13"/>
  <c r="AM20" i="13"/>
  <c r="AL20" i="13"/>
  <c r="AK20" i="13"/>
  <c r="AJ20" i="13"/>
  <c r="AI20" i="13"/>
  <c r="AH20" i="13"/>
  <c r="AG20" i="13"/>
  <c r="AR19" i="13"/>
  <c r="AQ19" i="13"/>
  <c r="AP19" i="13"/>
  <c r="AO19" i="13"/>
  <c r="AN19" i="13"/>
  <c r="AM19" i="13"/>
  <c r="AL19" i="13"/>
  <c r="AK19" i="13"/>
  <c r="AJ19" i="13"/>
  <c r="AI19" i="13"/>
  <c r="AH19" i="13"/>
  <c r="AG19" i="13"/>
  <c r="AR18" i="13"/>
  <c r="AQ18" i="13"/>
  <c r="AP18" i="13"/>
  <c r="AO18" i="13"/>
  <c r="AN18" i="13"/>
  <c r="AM18" i="13"/>
  <c r="AL18" i="13"/>
  <c r="AK18" i="13"/>
  <c r="AJ18" i="13"/>
  <c r="AI18" i="13"/>
  <c r="AH18" i="13"/>
  <c r="AG18" i="13"/>
  <c r="AR17" i="13"/>
  <c r="AQ17" i="13"/>
  <c r="AP17" i="13"/>
  <c r="AO17" i="13"/>
  <c r="AN17" i="13"/>
  <c r="AM17" i="13"/>
  <c r="AL17" i="13"/>
  <c r="AK17" i="13"/>
  <c r="AJ17" i="13"/>
  <c r="AI17" i="13"/>
  <c r="AH17" i="13"/>
  <c r="AG17" i="13"/>
  <c r="AR16" i="13"/>
  <c r="AQ16" i="13"/>
  <c r="AP16" i="13"/>
  <c r="AO16" i="13"/>
  <c r="AN16" i="13"/>
  <c r="AM16" i="13"/>
  <c r="AL16" i="13"/>
  <c r="AK16" i="13"/>
  <c r="AJ16" i="13"/>
  <c r="AI16" i="13"/>
  <c r="AH16" i="13"/>
  <c r="AG16" i="13"/>
  <c r="AR15" i="13"/>
  <c r="AQ15" i="13"/>
  <c r="AP15" i="13"/>
  <c r="AO15" i="13"/>
  <c r="AN15" i="13"/>
  <c r="AM15" i="13"/>
  <c r="AL15" i="13"/>
  <c r="AK15" i="13"/>
  <c r="AJ15" i="13"/>
  <c r="AI15" i="13"/>
  <c r="AH15" i="13"/>
  <c r="AG15" i="13"/>
  <c r="AR14" i="13"/>
  <c r="AQ14" i="13"/>
  <c r="AP14" i="13"/>
  <c r="AO14" i="13"/>
  <c r="AN14" i="13"/>
  <c r="AM14" i="13"/>
  <c r="AL14" i="13"/>
  <c r="AK14" i="13"/>
  <c r="AJ14" i="13"/>
  <c r="AI14" i="13"/>
  <c r="AH14" i="13"/>
  <c r="AG14" i="13"/>
  <c r="AR13" i="13"/>
  <c r="AQ13" i="13"/>
  <c r="AP13" i="13"/>
  <c r="AO13" i="13"/>
  <c r="AN13" i="13"/>
  <c r="AM13" i="13"/>
  <c r="AL13" i="13"/>
  <c r="AK13" i="13"/>
  <c r="AJ13" i="13"/>
  <c r="AI13" i="13"/>
  <c r="AH13" i="13"/>
  <c r="AG13" i="13"/>
  <c r="AR12" i="13"/>
  <c r="AQ12" i="13"/>
  <c r="AP12" i="13"/>
  <c r="AO12" i="13"/>
  <c r="AN12" i="13"/>
  <c r="AM12" i="13"/>
  <c r="AL12" i="13"/>
  <c r="AK12" i="13"/>
  <c r="AJ12" i="13"/>
  <c r="AI12" i="13"/>
  <c r="AH12" i="13"/>
  <c r="AG12" i="13"/>
  <c r="AR11" i="13"/>
  <c r="AQ11" i="13"/>
  <c r="AP11" i="13"/>
  <c r="AO11" i="13"/>
  <c r="AN11" i="13"/>
  <c r="AM11" i="13"/>
  <c r="AL11" i="13"/>
  <c r="AK11" i="13"/>
  <c r="AJ11" i="13"/>
  <c r="AI11" i="13"/>
  <c r="AH11" i="13"/>
  <c r="AG11" i="13"/>
  <c r="AR10" i="13"/>
  <c r="AQ10" i="13"/>
  <c r="AP10" i="13"/>
  <c r="AO10" i="13"/>
  <c r="AN10" i="13"/>
  <c r="AM10" i="13"/>
  <c r="AL10" i="13"/>
  <c r="AK10" i="13"/>
  <c r="AJ10" i="13"/>
  <c r="AI10" i="13"/>
  <c r="AH10" i="13"/>
  <c r="AG10" i="13"/>
  <c r="AR9" i="13"/>
  <c r="AQ9" i="13"/>
  <c r="AP9" i="13"/>
  <c r="AO9" i="13"/>
  <c r="AN9" i="13"/>
  <c r="AM9" i="13"/>
  <c r="AL9" i="13"/>
  <c r="AK9" i="13"/>
  <c r="AJ9" i="13"/>
  <c r="AI9" i="13"/>
  <c r="AH9" i="13"/>
  <c r="AG9" i="13"/>
  <c r="AR8" i="13"/>
  <c r="AQ8" i="13"/>
  <c r="AP8" i="13"/>
  <c r="AO8" i="13"/>
  <c r="AN8" i="13"/>
  <c r="AM8" i="13"/>
  <c r="AL8" i="13"/>
  <c r="AK8" i="13"/>
  <c r="AJ8" i="13"/>
  <c r="AI8" i="13"/>
  <c r="AH8" i="13"/>
  <c r="AG8" i="13"/>
  <c r="AR7" i="13"/>
  <c r="AQ7" i="13"/>
  <c r="AP7" i="13"/>
  <c r="AO7" i="13"/>
  <c r="AN7" i="13"/>
  <c r="AM7" i="13"/>
  <c r="AL7" i="13"/>
  <c r="AK7" i="13"/>
  <c r="AJ7" i="13"/>
  <c r="AI7" i="13"/>
  <c r="AH7" i="13"/>
  <c r="AG7" i="13"/>
  <c r="AR6" i="13"/>
  <c r="AR66" i="13" s="1"/>
  <c r="AQ6" i="13"/>
  <c r="AP6" i="13"/>
  <c r="AP66" i="13" s="1"/>
  <c r="AO6" i="13"/>
  <c r="AN6" i="13"/>
  <c r="AM6" i="13"/>
  <c r="AM66" i="13" s="1"/>
  <c r="AL6" i="13"/>
  <c r="AL66" i="13" s="1"/>
  <c r="AK6" i="13"/>
  <c r="AK66" i="13" s="1"/>
  <c r="AJ6" i="13"/>
  <c r="AI6" i="13"/>
  <c r="AI66" i="13" s="1"/>
  <c r="AH6" i="13"/>
  <c r="AH66" i="13" s="1"/>
  <c r="AG6" i="13"/>
  <c r="AF65" i="13"/>
  <c r="AF64" i="13"/>
  <c r="AS64" i="13" s="1"/>
  <c r="AF63" i="13"/>
  <c r="AF62" i="13"/>
  <c r="AF61" i="13"/>
  <c r="AF60" i="13"/>
  <c r="AS60" i="13" s="1"/>
  <c r="AF59" i="13"/>
  <c r="AF58" i="13"/>
  <c r="AF57" i="13"/>
  <c r="AF56" i="13"/>
  <c r="AS56" i="13" s="1"/>
  <c r="AF55" i="13"/>
  <c r="AF54" i="13"/>
  <c r="AF53" i="13"/>
  <c r="AF52" i="13"/>
  <c r="AS52" i="13" s="1"/>
  <c r="AF51" i="13"/>
  <c r="AF50" i="13"/>
  <c r="AF49" i="13"/>
  <c r="AF48" i="13"/>
  <c r="AF47" i="13"/>
  <c r="AF46" i="13"/>
  <c r="AF45" i="13"/>
  <c r="AF44" i="13"/>
  <c r="AS44" i="13" s="1"/>
  <c r="AF43" i="13"/>
  <c r="AF42" i="13"/>
  <c r="AF41" i="13"/>
  <c r="AF40" i="13"/>
  <c r="AS40" i="13" s="1"/>
  <c r="AF39" i="13"/>
  <c r="AF38" i="13"/>
  <c r="AF37" i="13"/>
  <c r="AF36" i="13"/>
  <c r="AS36" i="13" s="1"/>
  <c r="AF35" i="13"/>
  <c r="AF34" i="13"/>
  <c r="AF33" i="13"/>
  <c r="AF32" i="13"/>
  <c r="AS32" i="13" s="1"/>
  <c r="AF31" i="13"/>
  <c r="AF30" i="13"/>
  <c r="AF28" i="13"/>
  <c r="AF27" i="13"/>
  <c r="AF26" i="13"/>
  <c r="AF25" i="13"/>
  <c r="AF24" i="13"/>
  <c r="AF23" i="13"/>
  <c r="AF22" i="13"/>
  <c r="AF21" i="13"/>
  <c r="AF20" i="13"/>
  <c r="AF19" i="13"/>
  <c r="AF18" i="13"/>
  <c r="AF17" i="13"/>
  <c r="AF16" i="13"/>
  <c r="AF15" i="13"/>
  <c r="AF14" i="13"/>
  <c r="AF13" i="13"/>
  <c r="AF12" i="13"/>
  <c r="AF11" i="13"/>
  <c r="AF10" i="13"/>
  <c r="AF9" i="13"/>
  <c r="AF8" i="13"/>
  <c r="AF7" i="13"/>
  <c r="AF6" i="13"/>
  <c r="BU65" i="5"/>
  <c r="BT65" i="5"/>
  <c r="BS65" i="5"/>
  <c r="BR65" i="5"/>
  <c r="BQ65" i="5"/>
  <c r="BP65" i="5"/>
  <c r="BO65" i="5"/>
  <c r="BN65" i="5"/>
  <c r="BM65" i="5"/>
  <c r="BL65" i="5"/>
  <c r="BK65" i="5"/>
  <c r="BJ65" i="5"/>
  <c r="BU64" i="5"/>
  <c r="BT64" i="5"/>
  <c r="BS64" i="5"/>
  <c r="BR64" i="5"/>
  <c r="BQ64" i="5"/>
  <c r="BP64" i="5"/>
  <c r="BO64" i="5"/>
  <c r="BN64" i="5"/>
  <c r="BM64" i="5"/>
  <c r="BL64" i="5"/>
  <c r="BK64" i="5"/>
  <c r="BV64" i="5" s="1"/>
  <c r="I97" i="9" s="1"/>
  <c r="BJ64" i="5"/>
  <c r="BU63" i="5"/>
  <c r="BT63" i="5"/>
  <c r="BS63" i="5"/>
  <c r="BR63" i="5"/>
  <c r="BQ63" i="5"/>
  <c r="BP63" i="5"/>
  <c r="BO63" i="5"/>
  <c r="BN63" i="5"/>
  <c r="BM63" i="5"/>
  <c r="BL63" i="5"/>
  <c r="BK63" i="5"/>
  <c r="BJ63" i="5"/>
  <c r="BU62" i="5"/>
  <c r="BT62" i="5"/>
  <c r="BS62" i="5"/>
  <c r="BR62" i="5"/>
  <c r="BQ62" i="5"/>
  <c r="BP62" i="5"/>
  <c r="BO62" i="5"/>
  <c r="BN62" i="5"/>
  <c r="BM62" i="5"/>
  <c r="BL62" i="5"/>
  <c r="BK62" i="5"/>
  <c r="BJ62" i="5"/>
  <c r="BU61" i="5"/>
  <c r="BT61" i="5"/>
  <c r="BS61" i="5"/>
  <c r="BR61" i="5"/>
  <c r="BQ61" i="5"/>
  <c r="BP61" i="5"/>
  <c r="BO61" i="5"/>
  <c r="BN61" i="5"/>
  <c r="BM61" i="5"/>
  <c r="BL61" i="5"/>
  <c r="BK61" i="5"/>
  <c r="BV61" i="5" s="1"/>
  <c r="I94" i="9" s="1"/>
  <c r="BJ61" i="5"/>
  <c r="BU60" i="5"/>
  <c r="BT60" i="5"/>
  <c r="BS60" i="5"/>
  <c r="BR60" i="5"/>
  <c r="BQ60" i="5"/>
  <c r="BP60" i="5"/>
  <c r="BO60" i="5"/>
  <c r="BN60" i="5"/>
  <c r="BM60" i="5"/>
  <c r="BL60" i="5"/>
  <c r="BK60" i="5"/>
  <c r="BV60" i="5" s="1"/>
  <c r="I93" i="9" s="1"/>
  <c r="BJ60" i="5"/>
  <c r="BU59" i="5"/>
  <c r="BT59" i="5"/>
  <c r="BS59" i="5"/>
  <c r="BR59" i="5"/>
  <c r="BQ59" i="5"/>
  <c r="BP59" i="5"/>
  <c r="BO59" i="5"/>
  <c r="BN59" i="5"/>
  <c r="BM59" i="5"/>
  <c r="BL59" i="5"/>
  <c r="BK59" i="5"/>
  <c r="BJ59" i="5"/>
  <c r="BU58" i="5"/>
  <c r="BT58" i="5"/>
  <c r="BS58" i="5"/>
  <c r="BR58" i="5"/>
  <c r="BQ58" i="5"/>
  <c r="BP58" i="5"/>
  <c r="BO58" i="5"/>
  <c r="BN58" i="5"/>
  <c r="BM58" i="5"/>
  <c r="BL58" i="5"/>
  <c r="BK58" i="5"/>
  <c r="BV58" i="5" s="1"/>
  <c r="I91" i="9" s="1"/>
  <c r="BJ58" i="5"/>
  <c r="BU57" i="5"/>
  <c r="BT57" i="5"/>
  <c r="BS57" i="5"/>
  <c r="BR57" i="5"/>
  <c r="BQ57" i="5"/>
  <c r="BP57" i="5"/>
  <c r="BO57" i="5"/>
  <c r="BN57" i="5"/>
  <c r="BM57" i="5"/>
  <c r="BL57" i="5"/>
  <c r="BK57" i="5"/>
  <c r="BV57" i="5" s="1"/>
  <c r="I90" i="9" s="1"/>
  <c r="BJ57" i="5"/>
  <c r="BU56" i="5"/>
  <c r="BT56" i="5"/>
  <c r="BS56" i="5"/>
  <c r="BR56" i="5"/>
  <c r="BQ56" i="5"/>
  <c r="BP56" i="5"/>
  <c r="BO56" i="5"/>
  <c r="BN56" i="5"/>
  <c r="BM56" i="5"/>
  <c r="BL56" i="5"/>
  <c r="BK56" i="5"/>
  <c r="BV56" i="5" s="1"/>
  <c r="I89" i="9" s="1"/>
  <c r="BJ56" i="5"/>
  <c r="BU55" i="5"/>
  <c r="BT55" i="5"/>
  <c r="BS55" i="5"/>
  <c r="BR55" i="5"/>
  <c r="BQ55" i="5"/>
  <c r="BP55" i="5"/>
  <c r="BO55" i="5"/>
  <c r="BN55" i="5"/>
  <c r="BM55" i="5"/>
  <c r="BL55" i="5"/>
  <c r="BK55" i="5"/>
  <c r="BJ55" i="5"/>
  <c r="BU54" i="5"/>
  <c r="BT54" i="5"/>
  <c r="BS54" i="5"/>
  <c r="BR54" i="5"/>
  <c r="BQ54" i="5"/>
  <c r="BP54" i="5"/>
  <c r="BO54" i="5"/>
  <c r="BN54" i="5"/>
  <c r="BM54" i="5"/>
  <c r="BL54" i="5"/>
  <c r="BK54" i="5"/>
  <c r="BJ54" i="5"/>
  <c r="BU53" i="5"/>
  <c r="BT53" i="5"/>
  <c r="BS53" i="5"/>
  <c r="BR53" i="5"/>
  <c r="BQ53" i="5"/>
  <c r="BP53" i="5"/>
  <c r="BO53" i="5"/>
  <c r="BN53" i="5"/>
  <c r="BM53" i="5"/>
  <c r="BL53" i="5"/>
  <c r="BK53" i="5"/>
  <c r="BV53" i="5" s="1"/>
  <c r="I86" i="9" s="1"/>
  <c r="BJ53" i="5"/>
  <c r="BU52" i="5"/>
  <c r="BT52" i="5"/>
  <c r="BS52" i="5"/>
  <c r="BR52" i="5"/>
  <c r="BQ52" i="5"/>
  <c r="BP52" i="5"/>
  <c r="BO52" i="5"/>
  <c r="BN52" i="5"/>
  <c r="BM52" i="5"/>
  <c r="BL52" i="5"/>
  <c r="BK52" i="5"/>
  <c r="BV52" i="5" s="1"/>
  <c r="I85" i="9" s="1"/>
  <c r="BJ52" i="5"/>
  <c r="BU51" i="5"/>
  <c r="BT51" i="5"/>
  <c r="BS51" i="5"/>
  <c r="BR51" i="5"/>
  <c r="BQ51" i="5"/>
  <c r="BP51" i="5"/>
  <c r="BO51" i="5"/>
  <c r="BN51" i="5"/>
  <c r="BM51" i="5"/>
  <c r="BL51" i="5"/>
  <c r="BK51" i="5"/>
  <c r="BJ51" i="5"/>
  <c r="BU50" i="5"/>
  <c r="BT50" i="5"/>
  <c r="BS50" i="5"/>
  <c r="BR50" i="5"/>
  <c r="BQ50" i="5"/>
  <c r="BP50" i="5"/>
  <c r="BO50" i="5"/>
  <c r="BN50" i="5"/>
  <c r="BM50" i="5"/>
  <c r="BL50" i="5"/>
  <c r="BK50" i="5"/>
  <c r="BV50" i="5" s="1"/>
  <c r="I83" i="9" s="1"/>
  <c r="BJ50" i="5"/>
  <c r="BU49" i="5"/>
  <c r="BT49" i="5"/>
  <c r="BS49" i="5"/>
  <c r="BR49" i="5"/>
  <c r="BQ49" i="5"/>
  <c r="BP49" i="5"/>
  <c r="BO49" i="5"/>
  <c r="BN49" i="5"/>
  <c r="BM49" i="5"/>
  <c r="BL49" i="5"/>
  <c r="BK49" i="5"/>
  <c r="BV49" i="5" s="1"/>
  <c r="I82" i="9" s="1"/>
  <c r="BJ49" i="5"/>
  <c r="BU48" i="5"/>
  <c r="BT48" i="5"/>
  <c r="BS48" i="5"/>
  <c r="BR48" i="5"/>
  <c r="BQ48" i="5"/>
  <c r="BP48" i="5"/>
  <c r="BO48" i="5"/>
  <c r="BN48" i="5"/>
  <c r="BM48" i="5"/>
  <c r="BL48" i="5"/>
  <c r="BK48" i="5"/>
  <c r="BV48" i="5" s="1"/>
  <c r="I81" i="9" s="1"/>
  <c r="BJ48" i="5"/>
  <c r="BU47" i="5"/>
  <c r="BT47" i="5"/>
  <c r="BS47" i="5"/>
  <c r="BR47" i="5"/>
  <c r="BQ47" i="5"/>
  <c r="BP47" i="5"/>
  <c r="BO47" i="5"/>
  <c r="BN47" i="5"/>
  <c r="BM47" i="5"/>
  <c r="BL47" i="5"/>
  <c r="BK47" i="5"/>
  <c r="BJ47" i="5"/>
  <c r="BU46" i="5"/>
  <c r="BT46" i="5"/>
  <c r="BS46" i="5"/>
  <c r="BR46" i="5"/>
  <c r="BQ46" i="5"/>
  <c r="BP46" i="5"/>
  <c r="BO46" i="5"/>
  <c r="BN46" i="5"/>
  <c r="BM46" i="5"/>
  <c r="BL46" i="5"/>
  <c r="BK46" i="5"/>
  <c r="BJ46" i="5"/>
  <c r="BU45" i="5"/>
  <c r="BT45" i="5"/>
  <c r="BS45" i="5"/>
  <c r="BR45" i="5"/>
  <c r="BQ45" i="5"/>
  <c r="BP45" i="5"/>
  <c r="BO45" i="5"/>
  <c r="BN45" i="5"/>
  <c r="BM45" i="5"/>
  <c r="BL45" i="5"/>
  <c r="BK45" i="5"/>
  <c r="BV45" i="5" s="1"/>
  <c r="I78" i="9" s="1"/>
  <c r="BJ45" i="5"/>
  <c r="BU44" i="5"/>
  <c r="BT44" i="5"/>
  <c r="BS44" i="5"/>
  <c r="BR44" i="5"/>
  <c r="BQ44" i="5"/>
  <c r="BP44" i="5"/>
  <c r="BO44" i="5"/>
  <c r="BN44" i="5"/>
  <c r="BM44" i="5"/>
  <c r="BL44" i="5"/>
  <c r="BK44" i="5"/>
  <c r="BV44" i="5" s="1"/>
  <c r="I77" i="9" s="1"/>
  <c r="BJ44" i="5"/>
  <c r="BU43" i="5"/>
  <c r="BT43" i="5"/>
  <c r="BS43" i="5"/>
  <c r="BR43" i="5"/>
  <c r="BQ43" i="5"/>
  <c r="BP43" i="5"/>
  <c r="BO43" i="5"/>
  <c r="BN43" i="5"/>
  <c r="BM43" i="5"/>
  <c r="BL43" i="5"/>
  <c r="BK43" i="5"/>
  <c r="BJ43" i="5"/>
  <c r="BU42" i="5"/>
  <c r="BT42" i="5"/>
  <c r="BS42" i="5"/>
  <c r="BR42" i="5"/>
  <c r="BQ42" i="5"/>
  <c r="BP42" i="5"/>
  <c r="BO42" i="5"/>
  <c r="BN42" i="5"/>
  <c r="BM42" i="5"/>
  <c r="BL42" i="5"/>
  <c r="BK42" i="5"/>
  <c r="BJ42" i="5"/>
  <c r="BU41" i="5"/>
  <c r="BT41" i="5"/>
  <c r="BS41" i="5"/>
  <c r="BR41" i="5"/>
  <c r="BQ41" i="5"/>
  <c r="BP41" i="5"/>
  <c r="BO41" i="5"/>
  <c r="BN41" i="5"/>
  <c r="BM41" i="5"/>
  <c r="BL41" i="5"/>
  <c r="BK41" i="5"/>
  <c r="BV41" i="5" s="1"/>
  <c r="I74" i="9" s="1"/>
  <c r="BJ41" i="5"/>
  <c r="BU40" i="5"/>
  <c r="BT40" i="5"/>
  <c r="BS40" i="5"/>
  <c r="BR40" i="5"/>
  <c r="BQ40" i="5"/>
  <c r="BP40" i="5"/>
  <c r="BO40" i="5"/>
  <c r="BN40" i="5"/>
  <c r="BM40" i="5"/>
  <c r="BL40" i="5"/>
  <c r="BK40" i="5"/>
  <c r="BJ40" i="5"/>
  <c r="BU39" i="5"/>
  <c r="BT39" i="5"/>
  <c r="BS39" i="5"/>
  <c r="BR39" i="5"/>
  <c r="BQ39" i="5"/>
  <c r="BP39" i="5"/>
  <c r="BO39" i="5"/>
  <c r="BN39" i="5"/>
  <c r="BM39" i="5"/>
  <c r="BL39" i="5"/>
  <c r="BK39" i="5"/>
  <c r="BJ39" i="5"/>
  <c r="BU38" i="5"/>
  <c r="BT38" i="5"/>
  <c r="BS38" i="5"/>
  <c r="BR38" i="5"/>
  <c r="BQ38" i="5"/>
  <c r="BP38" i="5"/>
  <c r="BO38" i="5"/>
  <c r="BN38" i="5"/>
  <c r="BM38" i="5"/>
  <c r="BL38" i="5"/>
  <c r="BK38" i="5"/>
  <c r="BJ38" i="5"/>
  <c r="BU37" i="5"/>
  <c r="BT37" i="5"/>
  <c r="BS37" i="5"/>
  <c r="BR37" i="5"/>
  <c r="BQ37" i="5"/>
  <c r="BP37" i="5"/>
  <c r="BO37" i="5"/>
  <c r="BN37" i="5"/>
  <c r="BM37" i="5"/>
  <c r="BL37" i="5"/>
  <c r="BK37" i="5"/>
  <c r="BV37" i="5" s="1"/>
  <c r="I70" i="9" s="1"/>
  <c r="BJ37" i="5"/>
  <c r="BU36" i="5"/>
  <c r="BT36" i="5"/>
  <c r="BS36" i="5"/>
  <c r="BR36" i="5"/>
  <c r="BQ36" i="5"/>
  <c r="BP36" i="5"/>
  <c r="BO36" i="5"/>
  <c r="BN36" i="5"/>
  <c r="BM36" i="5"/>
  <c r="BL36" i="5"/>
  <c r="BK36" i="5"/>
  <c r="BV36" i="5" s="1"/>
  <c r="I69" i="9" s="1"/>
  <c r="BJ36" i="5"/>
  <c r="BU35" i="5"/>
  <c r="BT35" i="5"/>
  <c r="BS35" i="5"/>
  <c r="BR35" i="5"/>
  <c r="BQ35" i="5"/>
  <c r="BP35" i="5"/>
  <c r="BO35" i="5"/>
  <c r="BN35" i="5"/>
  <c r="BM35" i="5"/>
  <c r="BL35" i="5"/>
  <c r="BK35" i="5"/>
  <c r="BJ35" i="5"/>
  <c r="BU34" i="5"/>
  <c r="BT34" i="5"/>
  <c r="BS34" i="5"/>
  <c r="BR34" i="5"/>
  <c r="BQ34" i="5"/>
  <c r="BP34" i="5"/>
  <c r="BO34" i="5"/>
  <c r="BN34" i="5"/>
  <c r="BM34" i="5"/>
  <c r="BL34" i="5"/>
  <c r="BK34" i="5"/>
  <c r="BV34" i="5" s="1"/>
  <c r="I67" i="9" s="1"/>
  <c r="BJ34" i="5"/>
  <c r="BU33" i="5"/>
  <c r="BT33" i="5"/>
  <c r="BS33" i="5"/>
  <c r="BR33" i="5"/>
  <c r="BQ33" i="5"/>
  <c r="BP33" i="5"/>
  <c r="BO33" i="5"/>
  <c r="BN33" i="5"/>
  <c r="BM33" i="5"/>
  <c r="BL33" i="5"/>
  <c r="BK33" i="5"/>
  <c r="BV33" i="5" s="1"/>
  <c r="I66" i="9" s="1"/>
  <c r="BJ33" i="5"/>
  <c r="BU32" i="5"/>
  <c r="BT32" i="5"/>
  <c r="BS32" i="5"/>
  <c r="BR32" i="5"/>
  <c r="BQ32" i="5"/>
  <c r="BP32" i="5"/>
  <c r="BO32" i="5"/>
  <c r="BN32" i="5"/>
  <c r="BM32" i="5"/>
  <c r="BL32" i="5"/>
  <c r="BK32" i="5"/>
  <c r="BV32" i="5" s="1"/>
  <c r="I65" i="9" s="1"/>
  <c r="BJ32" i="5"/>
  <c r="BU31" i="5"/>
  <c r="BT31" i="5"/>
  <c r="BS31" i="5"/>
  <c r="BR31" i="5"/>
  <c r="BQ31" i="5"/>
  <c r="BP31" i="5"/>
  <c r="BO31" i="5"/>
  <c r="BN31" i="5"/>
  <c r="BM31" i="5"/>
  <c r="BL31" i="5"/>
  <c r="BK31" i="5"/>
  <c r="BJ31" i="5"/>
  <c r="BU30" i="5"/>
  <c r="BT30" i="5"/>
  <c r="BS30" i="5"/>
  <c r="BR30" i="5"/>
  <c r="BQ30" i="5"/>
  <c r="BP30" i="5"/>
  <c r="BO30" i="5"/>
  <c r="BN30" i="5"/>
  <c r="BM30" i="5"/>
  <c r="BL30" i="5"/>
  <c r="BK30" i="5"/>
  <c r="BJ30" i="5"/>
  <c r="BU29" i="5"/>
  <c r="BT29" i="5"/>
  <c r="BS29" i="5"/>
  <c r="BR29" i="5"/>
  <c r="BQ29" i="5"/>
  <c r="BP29" i="5"/>
  <c r="BO29" i="5"/>
  <c r="BN29" i="5"/>
  <c r="BM29" i="5"/>
  <c r="BL29" i="5"/>
  <c r="BK29" i="5"/>
  <c r="BJ29" i="5"/>
  <c r="BU28" i="5"/>
  <c r="BT28" i="5"/>
  <c r="BS28" i="5"/>
  <c r="BR28" i="5"/>
  <c r="BQ28" i="5"/>
  <c r="BP28" i="5"/>
  <c r="BO28" i="5"/>
  <c r="BN28" i="5"/>
  <c r="BM28" i="5"/>
  <c r="BL28" i="5"/>
  <c r="BK28" i="5"/>
  <c r="BJ28" i="5"/>
  <c r="BU27" i="5"/>
  <c r="BT27" i="5"/>
  <c r="BS27" i="5"/>
  <c r="BR27" i="5"/>
  <c r="BQ27" i="5"/>
  <c r="BP27" i="5"/>
  <c r="BO27" i="5"/>
  <c r="BN27" i="5"/>
  <c r="BM27" i="5"/>
  <c r="BL27" i="5"/>
  <c r="BK27" i="5"/>
  <c r="BJ27" i="5"/>
  <c r="BU26" i="5"/>
  <c r="BT26" i="5"/>
  <c r="BS26" i="5"/>
  <c r="BR26" i="5"/>
  <c r="BQ26" i="5"/>
  <c r="BP26" i="5"/>
  <c r="BO26" i="5"/>
  <c r="BN26" i="5"/>
  <c r="BM26" i="5"/>
  <c r="BL26" i="5"/>
  <c r="BK26" i="5"/>
  <c r="BJ26" i="5"/>
  <c r="BU25" i="5"/>
  <c r="BT25" i="5"/>
  <c r="BS25" i="5"/>
  <c r="BR25" i="5"/>
  <c r="BQ25" i="5"/>
  <c r="BP25" i="5"/>
  <c r="BO25" i="5"/>
  <c r="BN25" i="5"/>
  <c r="BM25" i="5"/>
  <c r="BL25" i="5"/>
  <c r="BK25" i="5"/>
  <c r="BJ25" i="5"/>
  <c r="BU24" i="5"/>
  <c r="BT24" i="5"/>
  <c r="BS24" i="5"/>
  <c r="BR24" i="5"/>
  <c r="BQ24" i="5"/>
  <c r="BP24" i="5"/>
  <c r="BO24" i="5"/>
  <c r="BN24" i="5"/>
  <c r="BM24" i="5"/>
  <c r="BL24" i="5"/>
  <c r="BK24" i="5"/>
  <c r="BJ24" i="5"/>
  <c r="BU23" i="5"/>
  <c r="BT23" i="5"/>
  <c r="BS23" i="5"/>
  <c r="BR23" i="5"/>
  <c r="BQ23" i="5"/>
  <c r="BP23" i="5"/>
  <c r="BO23" i="5"/>
  <c r="BN23" i="5"/>
  <c r="BM23" i="5"/>
  <c r="BL23" i="5"/>
  <c r="BK23" i="5"/>
  <c r="BJ23" i="5"/>
  <c r="BU22" i="5"/>
  <c r="BT22" i="5"/>
  <c r="BS22" i="5"/>
  <c r="BR22" i="5"/>
  <c r="BQ22" i="5"/>
  <c r="BP22" i="5"/>
  <c r="BO22" i="5"/>
  <c r="BN22" i="5"/>
  <c r="BM22" i="5"/>
  <c r="BL22" i="5"/>
  <c r="BK22" i="5"/>
  <c r="BJ22" i="5"/>
  <c r="BU21" i="5"/>
  <c r="BT21" i="5"/>
  <c r="BS21" i="5"/>
  <c r="BR21" i="5"/>
  <c r="BQ21" i="5"/>
  <c r="BP21" i="5"/>
  <c r="BO21" i="5"/>
  <c r="BN21" i="5"/>
  <c r="BM21" i="5"/>
  <c r="BL21" i="5"/>
  <c r="BK21" i="5"/>
  <c r="BJ21" i="5"/>
  <c r="BU20" i="5"/>
  <c r="BT20" i="5"/>
  <c r="BS20" i="5"/>
  <c r="BR20" i="5"/>
  <c r="BQ20" i="5"/>
  <c r="BP20" i="5"/>
  <c r="BO20" i="5"/>
  <c r="BN20" i="5"/>
  <c r="BM20" i="5"/>
  <c r="BL20" i="5"/>
  <c r="BK20" i="5"/>
  <c r="BJ20" i="5"/>
  <c r="BU19" i="5"/>
  <c r="BT19" i="5"/>
  <c r="BS19" i="5"/>
  <c r="BR19" i="5"/>
  <c r="BQ19" i="5"/>
  <c r="BP19" i="5"/>
  <c r="BO19" i="5"/>
  <c r="BN19" i="5"/>
  <c r="BM19" i="5"/>
  <c r="BL19" i="5"/>
  <c r="BK19" i="5"/>
  <c r="BJ19" i="5"/>
  <c r="BU18" i="5"/>
  <c r="BT18" i="5"/>
  <c r="BS18" i="5"/>
  <c r="BR18" i="5"/>
  <c r="BQ18" i="5"/>
  <c r="BP18" i="5"/>
  <c r="BO18" i="5"/>
  <c r="BN18" i="5"/>
  <c r="BM18" i="5"/>
  <c r="BL18" i="5"/>
  <c r="BK18" i="5"/>
  <c r="BJ18" i="5"/>
  <c r="BU17" i="5"/>
  <c r="BT17" i="5"/>
  <c r="BS17" i="5"/>
  <c r="BR17" i="5"/>
  <c r="BQ17" i="5"/>
  <c r="BP17" i="5"/>
  <c r="BO17" i="5"/>
  <c r="BN17" i="5"/>
  <c r="BM17" i="5"/>
  <c r="BL17" i="5"/>
  <c r="BK17" i="5"/>
  <c r="BJ17" i="5"/>
  <c r="BU16" i="5"/>
  <c r="BT16" i="5"/>
  <c r="BS16" i="5"/>
  <c r="BR16" i="5"/>
  <c r="BQ16" i="5"/>
  <c r="BP16" i="5"/>
  <c r="BO16" i="5"/>
  <c r="BN16" i="5"/>
  <c r="BM16" i="5"/>
  <c r="BL16" i="5"/>
  <c r="BK16" i="5"/>
  <c r="BJ16" i="5"/>
  <c r="BU15" i="5"/>
  <c r="BT15" i="5"/>
  <c r="BS15" i="5"/>
  <c r="BR15" i="5"/>
  <c r="BQ15" i="5"/>
  <c r="BP15" i="5"/>
  <c r="BO15" i="5"/>
  <c r="BN15" i="5"/>
  <c r="BM15" i="5"/>
  <c r="BL15" i="5"/>
  <c r="BK15" i="5"/>
  <c r="BJ15" i="5"/>
  <c r="BU14" i="5"/>
  <c r="BT14" i="5"/>
  <c r="BS14" i="5"/>
  <c r="BR14" i="5"/>
  <c r="BQ14" i="5"/>
  <c r="BP14" i="5"/>
  <c r="BO14" i="5"/>
  <c r="BN14" i="5"/>
  <c r="BM14" i="5"/>
  <c r="BL14" i="5"/>
  <c r="BK14" i="5"/>
  <c r="BJ14" i="5"/>
  <c r="BU13" i="5"/>
  <c r="BT13" i="5"/>
  <c r="BS13" i="5"/>
  <c r="BR13" i="5"/>
  <c r="BQ13" i="5"/>
  <c r="BP13" i="5"/>
  <c r="BO13" i="5"/>
  <c r="BN13" i="5"/>
  <c r="BM13" i="5"/>
  <c r="BL13" i="5"/>
  <c r="BK13" i="5"/>
  <c r="BJ13" i="5"/>
  <c r="BU12" i="5"/>
  <c r="BT12" i="5"/>
  <c r="BS12" i="5"/>
  <c r="BR12" i="5"/>
  <c r="BQ12" i="5"/>
  <c r="BP12" i="5"/>
  <c r="BO12" i="5"/>
  <c r="BN12" i="5"/>
  <c r="BM12" i="5"/>
  <c r="BL12" i="5"/>
  <c r="BK12" i="5"/>
  <c r="BJ12" i="5"/>
  <c r="BU11" i="5"/>
  <c r="BT11" i="5"/>
  <c r="BS11" i="5"/>
  <c r="BR11" i="5"/>
  <c r="BQ11" i="5"/>
  <c r="BP11" i="5"/>
  <c r="BO11" i="5"/>
  <c r="BN11" i="5"/>
  <c r="BM11" i="5"/>
  <c r="BL11" i="5"/>
  <c r="BK11" i="5"/>
  <c r="BJ11" i="5"/>
  <c r="BU10" i="5"/>
  <c r="BT10" i="5"/>
  <c r="BS10" i="5"/>
  <c r="BR10" i="5"/>
  <c r="BQ10" i="5"/>
  <c r="BP10" i="5"/>
  <c r="BO10" i="5"/>
  <c r="BN10" i="5"/>
  <c r="BM10" i="5"/>
  <c r="BL10" i="5"/>
  <c r="BK10" i="5"/>
  <c r="BJ10" i="5"/>
  <c r="BU9" i="5"/>
  <c r="BT9" i="5"/>
  <c r="BS9" i="5"/>
  <c r="BR9" i="5"/>
  <c r="BQ9" i="5"/>
  <c r="BP9" i="5"/>
  <c r="BO9" i="5"/>
  <c r="BN9" i="5"/>
  <c r="BM9" i="5"/>
  <c r="BL9" i="5"/>
  <c r="BK9" i="5"/>
  <c r="BJ9" i="5"/>
  <c r="BU8" i="5"/>
  <c r="BT8" i="5"/>
  <c r="BS8" i="5"/>
  <c r="BR8" i="5"/>
  <c r="BQ8" i="5"/>
  <c r="BP8" i="5"/>
  <c r="BO8" i="5"/>
  <c r="BN8" i="5"/>
  <c r="BM8" i="5"/>
  <c r="BL8" i="5"/>
  <c r="BK8" i="5"/>
  <c r="BJ8" i="5"/>
  <c r="BU7" i="5"/>
  <c r="BT7" i="5"/>
  <c r="BS7" i="5"/>
  <c r="BR7" i="5"/>
  <c r="BQ7" i="5"/>
  <c r="BP7" i="5"/>
  <c r="BO7" i="5"/>
  <c r="BN7" i="5"/>
  <c r="BM7" i="5"/>
  <c r="BL7" i="5"/>
  <c r="BK7" i="5"/>
  <c r="BJ7" i="5"/>
  <c r="BU6" i="5"/>
  <c r="BU66" i="5" s="1"/>
  <c r="BT6" i="5"/>
  <c r="BS6" i="5"/>
  <c r="BS66" i="5" s="1"/>
  <c r="BR6" i="5"/>
  <c r="BQ6" i="5"/>
  <c r="BQ66" i="5" s="1"/>
  <c r="BP6" i="5"/>
  <c r="BO6" i="5"/>
  <c r="BO66" i="5" s="1"/>
  <c r="BN6" i="5"/>
  <c r="BN66" i="5" s="1"/>
  <c r="BM6" i="5"/>
  <c r="BM66" i="5" s="1"/>
  <c r="BL6" i="5"/>
  <c r="BK6" i="5"/>
  <c r="BK66" i="5" s="1"/>
  <c r="BJ6" i="5"/>
  <c r="BJ66" i="5" s="1"/>
  <c r="BI65" i="5"/>
  <c r="BI64" i="5"/>
  <c r="BI63" i="5"/>
  <c r="BV63" i="5" s="1"/>
  <c r="I96" i="9" s="1"/>
  <c r="BI62" i="5"/>
  <c r="BI61" i="5"/>
  <c r="BI60" i="5"/>
  <c r="BI59" i="5"/>
  <c r="BV59" i="5" s="1"/>
  <c r="I92" i="9" s="1"/>
  <c r="BI58" i="5"/>
  <c r="BI57" i="5"/>
  <c r="BI56" i="5"/>
  <c r="BI55" i="5"/>
  <c r="BV55" i="5" s="1"/>
  <c r="I88" i="9" s="1"/>
  <c r="BI54" i="5"/>
  <c r="BI53" i="5"/>
  <c r="BI52" i="5"/>
  <c r="BI51" i="5"/>
  <c r="BV51" i="5" s="1"/>
  <c r="I84" i="9" s="1"/>
  <c r="BI50" i="5"/>
  <c r="BI49" i="5"/>
  <c r="BI48" i="5"/>
  <c r="BI47" i="5"/>
  <c r="BV47" i="5" s="1"/>
  <c r="I80" i="9" s="1"/>
  <c r="BI46" i="5"/>
  <c r="BI45" i="5"/>
  <c r="BI44" i="5"/>
  <c r="BI43" i="5"/>
  <c r="BV43" i="5" s="1"/>
  <c r="I76" i="9" s="1"/>
  <c r="BI42" i="5"/>
  <c r="BI41" i="5"/>
  <c r="BI40" i="5"/>
  <c r="BI39" i="5"/>
  <c r="BV39" i="5" s="1"/>
  <c r="I72" i="9" s="1"/>
  <c r="BI38" i="5"/>
  <c r="BI37" i="5"/>
  <c r="BI36" i="5"/>
  <c r="BI35" i="5"/>
  <c r="BV35" i="5" s="1"/>
  <c r="I68" i="9" s="1"/>
  <c r="BI34" i="5"/>
  <c r="BI33" i="5"/>
  <c r="BI32" i="5"/>
  <c r="BI31" i="5"/>
  <c r="BV31" i="5" s="1"/>
  <c r="I64" i="9" s="1"/>
  <c r="BI30" i="5"/>
  <c r="BI29" i="5"/>
  <c r="BI28" i="5"/>
  <c r="BI27" i="5"/>
  <c r="BI26" i="5"/>
  <c r="BI25" i="5"/>
  <c r="BI24" i="5"/>
  <c r="BI23" i="5"/>
  <c r="BI22" i="5"/>
  <c r="BI21" i="5"/>
  <c r="BI20" i="5"/>
  <c r="BI19" i="5"/>
  <c r="BI18" i="5"/>
  <c r="BI17" i="5"/>
  <c r="BI16" i="5"/>
  <c r="BI15" i="5"/>
  <c r="BI14" i="5"/>
  <c r="BI13" i="5"/>
  <c r="BI12" i="5"/>
  <c r="BI11" i="5"/>
  <c r="BI10" i="5"/>
  <c r="BI9" i="5"/>
  <c r="BI8" i="5"/>
  <c r="BI7" i="5"/>
  <c r="BI6" i="5"/>
  <c r="BF65" i="5"/>
  <c r="BE65" i="5"/>
  <c r="BD65" i="5"/>
  <c r="BC65" i="5"/>
  <c r="BB65" i="5"/>
  <c r="BA65" i="5"/>
  <c r="AZ65" i="5"/>
  <c r="AY65" i="5"/>
  <c r="AX65" i="5"/>
  <c r="AW65" i="5"/>
  <c r="AV65" i="5"/>
  <c r="AU65" i="5"/>
  <c r="BF64" i="5"/>
  <c r="BE64" i="5"/>
  <c r="BD64" i="5"/>
  <c r="BC64" i="5"/>
  <c r="BB64" i="5"/>
  <c r="BA64" i="5"/>
  <c r="AZ64" i="5"/>
  <c r="AY64" i="5"/>
  <c r="AX64" i="5"/>
  <c r="AW64" i="5"/>
  <c r="AV64" i="5"/>
  <c r="AU64" i="5"/>
  <c r="BF63" i="5"/>
  <c r="BE63" i="5"/>
  <c r="BD63" i="5"/>
  <c r="BC63" i="5"/>
  <c r="BB63" i="5"/>
  <c r="BA63" i="5"/>
  <c r="AZ63" i="5"/>
  <c r="AY63" i="5"/>
  <c r="AX63" i="5"/>
  <c r="AW63" i="5"/>
  <c r="AV63" i="5"/>
  <c r="AU63" i="5"/>
  <c r="BF62" i="5"/>
  <c r="BE62" i="5"/>
  <c r="BD62" i="5"/>
  <c r="BC62" i="5"/>
  <c r="BB62" i="5"/>
  <c r="BA62" i="5"/>
  <c r="AZ62" i="5"/>
  <c r="AY62" i="5"/>
  <c r="AX62" i="5"/>
  <c r="AW62" i="5"/>
  <c r="AV62" i="5"/>
  <c r="AU62" i="5"/>
  <c r="BF61" i="5"/>
  <c r="BE61" i="5"/>
  <c r="BD61" i="5"/>
  <c r="BC61" i="5"/>
  <c r="BB61" i="5"/>
  <c r="BA61" i="5"/>
  <c r="AZ61" i="5"/>
  <c r="AY61" i="5"/>
  <c r="AX61" i="5"/>
  <c r="AW61" i="5"/>
  <c r="AV61" i="5"/>
  <c r="BG61" i="5" s="1"/>
  <c r="F94" i="9" s="1"/>
  <c r="AU61" i="5"/>
  <c r="BF60" i="5"/>
  <c r="BE60" i="5"/>
  <c r="BD60" i="5"/>
  <c r="BC60" i="5"/>
  <c r="BB60" i="5"/>
  <c r="BA60" i="5"/>
  <c r="AZ60" i="5"/>
  <c r="AY60" i="5"/>
  <c r="AX60" i="5"/>
  <c r="AW60" i="5"/>
  <c r="AV60" i="5"/>
  <c r="BG60" i="5" s="1"/>
  <c r="F93" i="9" s="1"/>
  <c r="AU60" i="5"/>
  <c r="BF59" i="5"/>
  <c r="BE59" i="5"/>
  <c r="BD59" i="5"/>
  <c r="BC59" i="5"/>
  <c r="BB59" i="5"/>
  <c r="BA59" i="5"/>
  <c r="AZ59" i="5"/>
  <c r="AY59" i="5"/>
  <c r="AX59" i="5"/>
  <c r="AW59" i="5"/>
  <c r="AV59" i="5"/>
  <c r="AU59" i="5"/>
  <c r="BF58" i="5"/>
  <c r="BE58" i="5"/>
  <c r="BD58" i="5"/>
  <c r="BC58" i="5"/>
  <c r="BB58" i="5"/>
  <c r="BA58" i="5"/>
  <c r="AZ58" i="5"/>
  <c r="AY58" i="5"/>
  <c r="AX58" i="5"/>
  <c r="AW58" i="5"/>
  <c r="AV58" i="5"/>
  <c r="AU58" i="5"/>
  <c r="BF57" i="5"/>
  <c r="BE57" i="5"/>
  <c r="BD57" i="5"/>
  <c r="BC57" i="5"/>
  <c r="BB57" i="5"/>
  <c r="BA57" i="5"/>
  <c r="AZ57" i="5"/>
  <c r="AY57" i="5"/>
  <c r="AX57" i="5"/>
  <c r="AW57" i="5"/>
  <c r="AV57" i="5"/>
  <c r="BG57" i="5" s="1"/>
  <c r="F90" i="9" s="1"/>
  <c r="AU57" i="5"/>
  <c r="BF56" i="5"/>
  <c r="BE56" i="5"/>
  <c r="BD56" i="5"/>
  <c r="BC56" i="5"/>
  <c r="BB56" i="5"/>
  <c r="BA56" i="5"/>
  <c r="AZ56" i="5"/>
  <c r="AY56" i="5"/>
  <c r="AX56" i="5"/>
  <c r="AW56" i="5"/>
  <c r="AV56" i="5"/>
  <c r="AU56" i="5"/>
  <c r="BF55" i="5"/>
  <c r="BE55" i="5"/>
  <c r="BD55" i="5"/>
  <c r="BC55" i="5"/>
  <c r="BB55" i="5"/>
  <c r="BA55" i="5"/>
  <c r="AZ55" i="5"/>
  <c r="AY55" i="5"/>
  <c r="AX55" i="5"/>
  <c r="AW55" i="5"/>
  <c r="AV55" i="5"/>
  <c r="AU55" i="5"/>
  <c r="BF54" i="5"/>
  <c r="BE54" i="5"/>
  <c r="BD54" i="5"/>
  <c r="BC54" i="5"/>
  <c r="BB54" i="5"/>
  <c r="BA54" i="5"/>
  <c r="AZ54" i="5"/>
  <c r="AY54" i="5"/>
  <c r="AX54" i="5"/>
  <c r="AW54" i="5"/>
  <c r="AV54" i="5"/>
  <c r="BG54" i="5" s="1"/>
  <c r="F87" i="9" s="1"/>
  <c r="AU54" i="5"/>
  <c r="BF53" i="5"/>
  <c r="BE53" i="5"/>
  <c r="BD53" i="5"/>
  <c r="BC53" i="5"/>
  <c r="BB53" i="5"/>
  <c r="BA53" i="5"/>
  <c r="AZ53" i="5"/>
  <c r="AY53" i="5"/>
  <c r="AX53" i="5"/>
  <c r="AW53" i="5"/>
  <c r="AV53" i="5"/>
  <c r="AU53" i="5"/>
  <c r="BF52" i="5"/>
  <c r="BE52" i="5"/>
  <c r="BD52" i="5"/>
  <c r="BC52" i="5"/>
  <c r="BB52" i="5"/>
  <c r="BA52" i="5"/>
  <c r="AZ52" i="5"/>
  <c r="AY52" i="5"/>
  <c r="AX52" i="5"/>
  <c r="AW52" i="5"/>
  <c r="AV52" i="5"/>
  <c r="BG52" i="5" s="1"/>
  <c r="F85" i="9" s="1"/>
  <c r="AU52" i="5"/>
  <c r="BF51" i="5"/>
  <c r="BE51" i="5"/>
  <c r="BD51" i="5"/>
  <c r="BC51" i="5"/>
  <c r="BB51" i="5"/>
  <c r="BA51" i="5"/>
  <c r="AZ51" i="5"/>
  <c r="AY51" i="5"/>
  <c r="AX51" i="5"/>
  <c r="AW51" i="5"/>
  <c r="AV51" i="5"/>
  <c r="AU51" i="5"/>
  <c r="BF50" i="5"/>
  <c r="BE50" i="5"/>
  <c r="BD50" i="5"/>
  <c r="BC50" i="5"/>
  <c r="BB50" i="5"/>
  <c r="BA50" i="5"/>
  <c r="AZ50" i="5"/>
  <c r="AY50" i="5"/>
  <c r="AX50" i="5"/>
  <c r="AW50" i="5"/>
  <c r="AV50" i="5"/>
  <c r="AU50" i="5"/>
  <c r="BF49" i="5"/>
  <c r="BE49" i="5"/>
  <c r="BD49" i="5"/>
  <c r="BC49" i="5"/>
  <c r="BB49" i="5"/>
  <c r="BA49" i="5"/>
  <c r="AZ49" i="5"/>
  <c r="AY49" i="5"/>
  <c r="AX49" i="5"/>
  <c r="AW49" i="5"/>
  <c r="AV49" i="5"/>
  <c r="AU49" i="5"/>
  <c r="BF48" i="5"/>
  <c r="BE48" i="5"/>
  <c r="BD48" i="5"/>
  <c r="BC48" i="5"/>
  <c r="BB48" i="5"/>
  <c r="BA48" i="5"/>
  <c r="AZ48" i="5"/>
  <c r="AY48" i="5"/>
  <c r="AX48" i="5"/>
  <c r="AW48" i="5"/>
  <c r="AV48" i="5"/>
  <c r="AU48" i="5"/>
  <c r="BF47" i="5"/>
  <c r="BE47" i="5"/>
  <c r="BD47" i="5"/>
  <c r="BC47" i="5"/>
  <c r="BB47" i="5"/>
  <c r="BA47" i="5"/>
  <c r="AZ47" i="5"/>
  <c r="AY47" i="5"/>
  <c r="AX47" i="5"/>
  <c r="AW47" i="5"/>
  <c r="AV47" i="5"/>
  <c r="AU47" i="5"/>
  <c r="BF46" i="5"/>
  <c r="BE46" i="5"/>
  <c r="BD46" i="5"/>
  <c r="BC46" i="5"/>
  <c r="BB46" i="5"/>
  <c r="BA46" i="5"/>
  <c r="AZ46" i="5"/>
  <c r="AY46" i="5"/>
  <c r="AX46" i="5"/>
  <c r="AW46" i="5"/>
  <c r="AV46" i="5"/>
  <c r="BG46" i="5" s="1"/>
  <c r="F79" i="9" s="1"/>
  <c r="AU46" i="5"/>
  <c r="BF45" i="5"/>
  <c r="BE45" i="5"/>
  <c r="BD45" i="5"/>
  <c r="BC45" i="5"/>
  <c r="BB45" i="5"/>
  <c r="BA45" i="5"/>
  <c r="AZ45" i="5"/>
  <c r="AY45" i="5"/>
  <c r="AX45" i="5"/>
  <c r="AW45" i="5"/>
  <c r="AV45" i="5"/>
  <c r="AU45" i="5"/>
  <c r="BF44" i="5"/>
  <c r="BE44" i="5"/>
  <c r="BD44" i="5"/>
  <c r="BC44" i="5"/>
  <c r="BB44" i="5"/>
  <c r="BA44" i="5"/>
  <c r="AZ44" i="5"/>
  <c r="AY44" i="5"/>
  <c r="AX44" i="5"/>
  <c r="AW44" i="5"/>
  <c r="AV44" i="5"/>
  <c r="BG44" i="5" s="1"/>
  <c r="F77" i="9" s="1"/>
  <c r="AU44" i="5"/>
  <c r="BF43" i="5"/>
  <c r="BE43" i="5"/>
  <c r="BD43" i="5"/>
  <c r="BC43" i="5"/>
  <c r="BB43" i="5"/>
  <c r="BA43" i="5"/>
  <c r="AZ43" i="5"/>
  <c r="AY43" i="5"/>
  <c r="AX43" i="5"/>
  <c r="AW43" i="5"/>
  <c r="AV43" i="5"/>
  <c r="AU43" i="5"/>
  <c r="BF42" i="5"/>
  <c r="BE42" i="5"/>
  <c r="BD42" i="5"/>
  <c r="BC42" i="5"/>
  <c r="BB42" i="5"/>
  <c r="BA42" i="5"/>
  <c r="AZ42" i="5"/>
  <c r="AY42" i="5"/>
  <c r="AX42" i="5"/>
  <c r="AW42" i="5"/>
  <c r="AV42" i="5"/>
  <c r="AU42" i="5"/>
  <c r="BF41" i="5"/>
  <c r="BE41" i="5"/>
  <c r="BD41" i="5"/>
  <c r="BC41" i="5"/>
  <c r="BB41" i="5"/>
  <c r="BA41" i="5"/>
  <c r="AZ41" i="5"/>
  <c r="AY41" i="5"/>
  <c r="AX41" i="5"/>
  <c r="AW41" i="5"/>
  <c r="AV41" i="5"/>
  <c r="BG41" i="5" s="1"/>
  <c r="F74" i="9" s="1"/>
  <c r="AU41" i="5"/>
  <c r="BF40" i="5"/>
  <c r="BE40" i="5"/>
  <c r="BD40" i="5"/>
  <c r="BC40" i="5"/>
  <c r="BB40" i="5"/>
  <c r="BA40" i="5"/>
  <c r="AZ40" i="5"/>
  <c r="AY40" i="5"/>
  <c r="AX40" i="5"/>
  <c r="AW40" i="5"/>
  <c r="AV40" i="5"/>
  <c r="AU40" i="5"/>
  <c r="BF39" i="5"/>
  <c r="BE39" i="5"/>
  <c r="BD39" i="5"/>
  <c r="BC39" i="5"/>
  <c r="BB39" i="5"/>
  <c r="BA39" i="5"/>
  <c r="AZ39" i="5"/>
  <c r="AY39" i="5"/>
  <c r="AX39" i="5"/>
  <c r="AW39" i="5"/>
  <c r="AV39" i="5"/>
  <c r="AU39" i="5"/>
  <c r="BF38" i="5"/>
  <c r="BE38" i="5"/>
  <c r="BD38" i="5"/>
  <c r="BC38" i="5"/>
  <c r="BB38" i="5"/>
  <c r="BA38" i="5"/>
  <c r="AZ38" i="5"/>
  <c r="AY38" i="5"/>
  <c r="AX38" i="5"/>
  <c r="AW38" i="5"/>
  <c r="AV38" i="5"/>
  <c r="BG38" i="5" s="1"/>
  <c r="F71" i="9" s="1"/>
  <c r="AU38" i="5"/>
  <c r="BF37" i="5"/>
  <c r="BE37" i="5"/>
  <c r="BD37" i="5"/>
  <c r="BC37" i="5"/>
  <c r="BB37" i="5"/>
  <c r="BA37" i="5"/>
  <c r="AZ37" i="5"/>
  <c r="AY37" i="5"/>
  <c r="AX37" i="5"/>
  <c r="AW37" i="5"/>
  <c r="AV37" i="5"/>
  <c r="AU37" i="5"/>
  <c r="BF36" i="5"/>
  <c r="BE36" i="5"/>
  <c r="BD36" i="5"/>
  <c r="BC36" i="5"/>
  <c r="BB36" i="5"/>
  <c r="BA36" i="5"/>
  <c r="AZ36" i="5"/>
  <c r="AY36" i="5"/>
  <c r="AX36" i="5"/>
  <c r="AW36" i="5"/>
  <c r="AV36" i="5"/>
  <c r="BG36" i="5" s="1"/>
  <c r="F69" i="9" s="1"/>
  <c r="AU36" i="5"/>
  <c r="BF35" i="5"/>
  <c r="BE35" i="5"/>
  <c r="BD35" i="5"/>
  <c r="BC35" i="5"/>
  <c r="BB35" i="5"/>
  <c r="BA35" i="5"/>
  <c r="AZ35" i="5"/>
  <c r="AY35" i="5"/>
  <c r="AX35" i="5"/>
  <c r="AW35" i="5"/>
  <c r="AV35" i="5"/>
  <c r="AU35" i="5"/>
  <c r="BF34" i="5"/>
  <c r="BE34" i="5"/>
  <c r="BD34" i="5"/>
  <c r="BC34" i="5"/>
  <c r="BB34" i="5"/>
  <c r="BA34" i="5"/>
  <c r="AZ34" i="5"/>
  <c r="AY34" i="5"/>
  <c r="AX34" i="5"/>
  <c r="AW34" i="5"/>
  <c r="AV34" i="5"/>
  <c r="AU34" i="5"/>
  <c r="BF33" i="5"/>
  <c r="BE33" i="5"/>
  <c r="BD33" i="5"/>
  <c r="BC33" i="5"/>
  <c r="BB33" i="5"/>
  <c r="BA33" i="5"/>
  <c r="AZ33" i="5"/>
  <c r="AY33" i="5"/>
  <c r="AX33" i="5"/>
  <c r="AW33" i="5"/>
  <c r="AV33" i="5"/>
  <c r="BG33" i="5" s="1"/>
  <c r="F66" i="9" s="1"/>
  <c r="AU33" i="5"/>
  <c r="BF32" i="5"/>
  <c r="BE32" i="5"/>
  <c r="BD32" i="5"/>
  <c r="BC32" i="5"/>
  <c r="BB32" i="5"/>
  <c r="BA32" i="5"/>
  <c r="AZ32" i="5"/>
  <c r="AY32" i="5"/>
  <c r="AX32" i="5"/>
  <c r="AW32" i="5"/>
  <c r="AV32" i="5"/>
  <c r="AU32" i="5"/>
  <c r="BF31" i="5"/>
  <c r="BE31" i="5"/>
  <c r="BD31" i="5"/>
  <c r="BC31" i="5"/>
  <c r="BB31" i="5"/>
  <c r="BA31" i="5"/>
  <c r="AZ31" i="5"/>
  <c r="AY31" i="5"/>
  <c r="AX31" i="5"/>
  <c r="AW31" i="5"/>
  <c r="AV31" i="5"/>
  <c r="AU31" i="5"/>
  <c r="BB30" i="5"/>
  <c r="BA30" i="5"/>
  <c r="AY30" i="5"/>
  <c r="AX30" i="5"/>
  <c r="AV30" i="5"/>
  <c r="AU30" i="5"/>
  <c r="BB29" i="5"/>
  <c r="BA29" i="5"/>
  <c r="AY29" i="5"/>
  <c r="AX29" i="5"/>
  <c r="AV29" i="5"/>
  <c r="AU29" i="5"/>
  <c r="AT65" i="5"/>
  <c r="AT64" i="5"/>
  <c r="AT63" i="5"/>
  <c r="BG63" i="5" s="1"/>
  <c r="F96" i="9" s="1"/>
  <c r="AT62" i="5"/>
  <c r="AT61" i="5"/>
  <c r="AT60" i="5"/>
  <c r="AT59" i="5"/>
  <c r="BG59" i="5" s="1"/>
  <c r="F92" i="9" s="1"/>
  <c r="AT58" i="5"/>
  <c r="AT57" i="5"/>
  <c r="AT56" i="5"/>
  <c r="AT55" i="5"/>
  <c r="AT54" i="5"/>
  <c r="AT53" i="5"/>
  <c r="AT52" i="5"/>
  <c r="AT51" i="5"/>
  <c r="BG51" i="5" s="1"/>
  <c r="F84" i="9" s="1"/>
  <c r="AT50" i="5"/>
  <c r="AT49" i="5"/>
  <c r="AT48" i="5"/>
  <c r="AT47" i="5"/>
  <c r="BG47" i="5" s="1"/>
  <c r="F80" i="9" s="1"/>
  <c r="AT46" i="5"/>
  <c r="AT45" i="5"/>
  <c r="AT44" i="5"/>
  <c r="AT43" i="5"/>
  <c r="BG43" i="5" s="1"/>
  <c r="F76" i="9" s="1"/>
  <c r="AT42" i="5"/>
  <c r="AT41" i="5"/>
  <c r="AT40" i="5"/>
  <c r="AT39" i="5"/>
  <c r="BG39" i="5" s="1"/>
  <c r="F72" i="9" s="1"/>
  <c r="AT38" i="5"/>
  <c r="AT37" i="5"/>
  <c r="AT36" i="5"/>
  <c r="AT35" i="5"/>
  <c r="BG35" i="5" s="1"/>
  <c r="F68" i="9" s="1"/>
  <c r="AT34" i="5"/>
  <c r="AT33" i="5"/>
  <c r="AT32" i="5"/>
  <c r="AT31" i="5"/>
  <c r="BG31" i="5" s="1"/>
  <c r="F64" i="9" s="1"/>
  <c r="F41" i="20"/>
  <c r="F33" i="20"/>
  <c r="F24" i="20"/>
  <c r="C45" i="23" s="1"/>
  <c r="F14" i="20"/>
  <c r="C43" i="23" s="1"/>
  <c r="F7" i="20"/>
  <c r="C42" i="23" s="1"/>
  <c r="C3" i="4"/>
  <c r="AS53" i="17"/>
  <c r="AS37" i="17"/>
  <c r="B28" i="17"/>
  <c r="B27" i="17"/>
  <c r="B26" i="17"/>
  <c r="B25" i="17"/>
  <c r="B24" i="17"/>
  <c r="B23" i="17"/>
  <c r="B22" i="17"/>
  <c r="B21" i="17"/>
  <c r="B20" i="17"/>
  <c r="B19" i="17"/>
  <c r="B18" i="17"/>
  <c r="B17" i="17"/>
  <c r="B16" i="17"/>
  <c r="B15" i="17"/>
  <c r="B14" i="17"/>
  <c r="B13" i="17"/>
  <c r="B12" i="17"/>
  <c r="B11" i="17"/>
  <c r="B10" i="17"/>
  <c r="B9" i="17"/>
  <c r="B8" i="17"/>
  <c r="B7" i="17"/>
  <c r="B6" i="17"/>
  <c r="AD28" i="18"/>
  <c r="AR28" i="18" s="1"/>
  <c r="AC28" i="18"/>
  <c r="AQ28" i="18" s="1"/>
  <c r="AB28" i="18"/>
  <c r="AP28" i="18" s="1"/>
  <c r="AA28" i="18"/>
  <c r="AO28" i="18" s="1"/>
  <c r="Z28" i="18"/>
  <c r="AN28" i="18" s="1"/>
  <c r="Y28" i="18"/>
  <c r="AM28" i="18" s="1"/>
  <c r="X28" i="18"/>
  <c r="AL28" i="18" s="1"/>
  <c r="W28" i="18"/>
  <c r="AK28" i="18" s="1"/>
  <c r="V28" i="18"/>
  <c r="AJ28" i="18" s="1"/>
  <c r="U28" i="18"/>
  <c r="AI28" i="18" s="1"/>
  <c r="T28" i="18"/>
  <c r="AH28" i="18" s="1"/>
  <c r="S28" i="18"/>
  <c r="AG28" i="18" s="1"/>
  <c r="R28" i="18"/>
  <c r="AF28" i="18" s="1"/>
  <c r="AD27" i="18"/>
  <c r="AR27" i="18" s="1"/>
  <c r="AC27" i="18"/>
  <c r="AQ27" i="18" s="1"/>
  <c r="AB27" i="18"/>
  <c r="AP27" i="18" s="1"/>
  <c r="AA27" i="18"/>
  <c r="AO27" i="18" s="1"/>
  <c r="Z27" i="18"/>
  <c r="AN27" i="18" s="1"/>
  <c r="Y27" i="18"/>
  <c r="AM27" i="18" s="1"/>
  <c r="X27" i="18"/>
  <c r="AL27" i="18" s="1"/>
  <c r="W27" i="18"/>
  <c r="AK27" i="18" s="1"/>
  <c r="V27" i="18"/>
  <c r="AJ27" i="18" s="1"/>
  <c r="U27" i="18"/>
  <c r="AI27" i="18" s="1"/>
  <c r="T27" i="18"/>
  <c r="AH27" i="18" s="1"/>
  <c r="S27" i="18"/>
  <c r="AG27" i="18" s="1"/>
  <c r="R27" i="18"/>
  <c r="AF27" i="18" s="1"/>
  <c r="AD26" i="18"/>
  <c r="AR26" i="18" s="1"/>
  <c r="AC26" i="18"/>
  <c r="AQ26" i="18" s="1"/>
  <c r="AB26" i="18"/>
  <c r="AP26" i="18" s="1"/>
  <c r="AA26" i="18"/>
  <c r="AO26" i="18" s="1"/>
  <c r="Z26" i="18"/>
  <c r="AN26" i="18" s="1"/>
  <c r="Y26" i="18"/>
  <c r="AM26" i="18" s="1"/>
  <c r="X26" i="18"/>
  <c r="AL26" i="18" s="1"/>
  <c r="W26" i="18"/>
  <c r="AK26" i="18" s="1"/>
  <c r="V26" i="18"/>
  <c r="AJ26" i="18" s="1"/>
  <c r="U26" i="18"/>
  <c r="AI26" i="18" s="1"/>
  <c r="T26" i="18"/>
  <c r="AH26" i="18" s="1"/>
  <c r="S26" i="18"/>
  <c r="AG26" i="18" s="1"/>
  <c r="R26" i="18"/>
  <c r="AF26" i="18" s="1"/>
  <c r="AD25" i="18"/>
  <c r="AR25" i="18" s="1"/>
  <c r="AC25" i="18"/>
  <c r="AQ25" i="18" s="1"/>
  <c r="AB25" i="18"/>
  <c r="AP25" i="18" s="1"/>
  <c r="AA25" i="18"/>
  <c r="AO25" i="18" s="1"/>
  <c r="Z25" i="18"/>
  <c r="AN25" i="18" s="1"/>
  <c r="Y25" i="18"/>
  <c r="AM25" i="18" s="1"/>
  <c r="X25" i="18"/>
  <c r="AL25" i="18" s="1"/>
  <c r="W25" i="18"/>
  <c r="AK25" i="18" s="1"/>
  <c r="V25" i="18"/>
  <c r="AJ25" i="18" s="1"/>
  <c r="U25" i="18"/>
  <c r="AI25" i="18" s="1"/>
  <c r="T25" i="18"/>
  <c r="AH25" i="18" s="1"/>
  <c r="S25" i="18"/>
  <c r="AG25" i="18" s="1"/>
  <c r="R25" i="18"/>
  <c r="AF25" i="18" s="1"/>
  <c r="AD24" i="18"/>
  <c r="AR24" i="18" s="1"/>
  <c r="AC24" i="18"/>
  <c r="AQ24" i="18" s="1"/>
  <c r="AB24" i="18"/>
  <c r="AP24" i="18" s="1"/>
  <c r="AA24" i="18"/>
  <c r="AO24" i="18" s="1"/>
  <c r="Z24" i="18"/>
  <c r="AN24" i="18" s="1"/>
  <c r="Y24" i="18"/>
  <c r="AM24" i="18" s="1"/>
  <c r="X24" i="18"/>
  <c r="AL24" i="18" s="1"/>
  <c r="W24" i="18"/>
  <c r="AK24" i="18" s="1"/>
  <c r="V24" i="18"/>
  <c r="AJ24" i="18" s="1"/>
  <c r="U24" i="18"/>
  <c r="AI24" i="18" s="1"/>
  <c r="T24" i="18"/>
  <c r="AH24" i="18" s="1"/>
  <c r="S24" i="18"/>
  <c r="AG24" i="18" s="1"/>
  <c r="R24" i="18"/>
  <c r="AF24" i="18" s="1"/>
  <c r="AD23" i="18"/>
  <c r="AR23" i="18" s="1"/>
  <c r="AC23" i="18"/>
  <c r="AQ23" i="18" s="1"/>
  <c r="AB23" i="18"/>
  <c r="AP23" i="18" s="1"/>
  <c r="AA23" i="18"/>
  <c r="AO23" i="18" s="1"/>
  <c r="Z23" i="18"/>
  <c r="AN23" i="18" s="1"/>
  <c r="Y23" i="18"/>
  <c r="AM23" i="18" s="1"/>
  <c r="X23" i="18"/>
  <c r="AL23" i="18" s="1"/>
  <c r="W23" i="18"/>
  <c r="AK23" i="18" s="1"/>
  <c r="V23" i="18"/>
  <c r="AJ23" i="18" s="1"/>
  <c r="U23" i="18"/>
  <c r="AI23" i="18" s="1"/>
  <c r="T23" i="18"/>
  <c r="AH23" i="18" s="1"/>
  <c r="S23" i="18"/>
  <c r="AG23" i="18" s="1"/>
  <c r="R23" i="18"/>
  <c r="AF23" i="18" s="1"/>
  <c r="AD22" i="18"/>
  <c r="AR22" i="18" s="1"/>
  <c r="AC22" i="18"/>
  <c r="AQ22" i="18" s="1"/>
  <c r="AB22" i="18"/>
  <c r="AP22" i="18" s="1"/>
  <c r="AA22" i="18"/>
  <c r="AO22" i="18" s="1"/>
  <c r="Z22" i="18"/>
  <c r="AN22" i="18" s="1"/>
  <c r="Y22" i="18"/>
  <c r="AM22" i="18" s="1"/>
  <c r="X22" i="18"/>
  <c r="AL22" i="18" s="1"/>
  <c r="W22" i="18"/>
  <c r="AK22" i="18" s="1"/>
  <c r="V22" i="18"/>
  <c r="AJ22" i="18" s="1"/>
  <c r="U22" i="18"/>
  <c r="AI22" i="18" s="1"/>
  <c r="T22" i="18"/>
  <c r="AH22" i="18" s="1"/>
  <c r="S22" i="18"/>
  <c r="AG22" i="18" s="1"/>
  <c r="R22" i="18"/>
  <c r="AF22" i="18" s="1"/>
  <c r="AD21" i="18"/>
  <c r="AR21" i="18" s="1"/>
  <c r="AC21" i="18"/>
  <c r="AQ21" i="18" s="1"/>
  <c r="AB21" i="18"/>
  <c r="AP21" i="18" s="1"/>
  <c r="AA21" i="18"/>
  <c r="AO21" i="18" s="1"/>
  <c r="Z21" i="18"/>
  <c r="AN21" i="18" s="1"/>
  <c r="Y21" i="18"/>
  <c r="AM21" i="18" s="1"/>
  <c r="X21" i="18"/>
  <c r="AL21" i="18" s="1"/>
  <c r="W21" i="18"/>
  <c r="AK21" i="18" s="1"/>
  <c r="V21" i="18"/>
  <c r="AJ21" i="18" s="1"/>
  <c r="U21" i="18"/>
  <c r="AI21" i="18" s="1"/>
  <c r="T21" i="18"/>
  <c r="AH21" i="18" s="1"/>
  <c r="S21" i="18"/>
  <c r="AG21" i="18" s="1"/>
  <c r="R21" i="18"/>
  <c r="AF21" i="18" s="1"/>
  <c r="AD20" i="18"/>
  <c r="AR20" i="18" s="1"/>
  <c r="AC20" i="18"/>
  <c r="AQ20" i="18" s="1"/>
  <c r="AB20" i="18"/>
  <c r="AP20" i="18" s="1"/>
  <c r="AA20" i="18"/>
  <c r="AO20" i="18" s="1"/>
  <c r="Z20" i="18"/>
  <c r="AN20" i="18" s="1"/>
  <c r="Y20" i="18"/>
  <c r="AM20" i="18" s="1"/>
  <c r="X20" i="18"/>
  <c r="AL20" i="18" s="1"/>
  <c r="W20" i="18"/>
  <c r="AK20" i="18" s="1"/>
  <c r="V20" i="18"/>
  <c r="AJ20" i="18" s="1"/>
  <c r="U20" i="18"/>
  <c r="AI20" i="18" s="1"/>
  <c r="T20" i="18"/>
  <c r="AH20" i="18" s="1"/>
  <c r="S20" i="18"/>
  <c r="AG20" i="18" s="1"/>
  <c r="R20" i="18"/>
  <c r="AF20" i="18" s="1"/>
  <c r="AD19" i="18"/>
  <c r="AR19" i="18" s="1"/>
  <c r="AC19" i="18"/>
  <c r="AQ19" i="18" s="1"/>
  <c r="AB19" i="18"/>
  <c r="AP19" i="18" s="1"/>
  <c r="AA19" i="18"/>
  <c r="AO19" i="18" s="1"/>
  <c r="Z19" i="18"/>
  <c r="AN19" i="18" s="1"/>
  <c r="Y19" i="18"/>
  <c r="AM19" i="18" s="1"/>
  <c r="X19" i="18"/>
  <c r="AL19" i="18" s="1"/>
  <c r="W19" i="18"/>
  <c r="AK19" i="18" s="1"/>
  <c r="V19" i="18"/>
  <c r="AJ19" i="18" s="1"/>
  <c r="U19" i="18"/>
  <c r="AI19" i="18" s="1"/>
  <c r="T19" i="18"/>
  <c r="AH19" i="18" s="1"/>
  <c r="S19" i="18"/>
  <c r="AG19" i="18" s="1"/>
  <c r="R19" i="18"/>
  <c r="AF19" i="18" s="1"/>
  <c r="AD18" i="18"/>
  <c r="AR18" i="18" s="1"/>
  <c r="AC18" i="18"/>
  <c r="AQ18" i="18" s="1"/>
  <c r="AB18" i="18"/>
  <c r="AP18" i="18" s="1"/>
  <c r="AA18" i="18"/>
  <c r="AO18" i="18" s="1"/>
  <c r="Z18" i="18"/>
  <c r="AN18" i="18" s="1"/>
  <c r="Y18" i="18"/>
  <c r="AM18" i="18" s="1"/>
  <c r="X18" i="18"/>
  <c r="AL18" i="18" s="1"/>
  <c r="W18" i="18"/>
  <c r="AK18" i="18" s="1"/>
  <c r="V18" i="18"/>
  <c r="AJ18" i="18" s="1"/>
  <c r="U18" i="18"/>
  <c r="AI18" i="18" s="1"/>
  <c r="T18" i="18"/>
  <c r="AH18" i="18" s="1"/>
  <c r="S18" i="18"/>
  <c r="AG18" i="18" s="1"/>
  <c r="R18" i="18"/>
  <c r="AF18" i="18" s="1"/>
  <c r="AD17" i="18"/>
  <c r="AR17" i="18" s="1"/>
  <c r="AC17" i="18"/>
  <c r="AQ17" i="18" s="1"/>
  <c r="AB17" i="18"/>
  <c r="AP17" i="18" s="1"/>
  <c r="AA17" i="18"/>
  <c r="AO17" i="18" s="1"/>
  <c r="Z17" i="18"/>
  <c r="AN17" i="18" s="1"/>
  <c r="Y17" i="18"/>
  <c r="AM17" i="18" s="1"/>
  <c r="X17" i="18"/>
  <c r="AL17" i="18" s="1"/>
  <c r="W17" i="18"/>
  <c r="AK17" i="18" s="1"/>
  <c r="V17" i="18"/>
  <c r="AJ17" i="18" s="1"/>
  <c r="U17" i="18"/>
  <c r="AI17" i="18" s="1"/>
  <c r="T17" i="18"/>
  <c r="AH17" i="18" s="1"/>
  <c r="S17" i="18"/>
  <c r="AG17" i="18" s="1"/>
  <c r="R17" i="18"/>
  <c r="AF17" i="18" s="1"/>
  <c r="AD16" i="18"/>
  <c r="AR16" i="18" s="1"/>
  <c r="AC16" i="18"/>
  <c r="AQ16" i="18" s="1"/>
  <c r="AB16" i="18"/>
  <c r="AP16" i="18" s="1"/>
  <c r="AA16" i="18"/>
  <c r="AO16" i="18" s="1"/>
  <c r="Z16" i="18"/>
  <c r="AN16" i="18" s="1"/>
  <c r="Y16" i="18"/>
  <c r="AM16" i="18" s="1"/>
  <c r="X16" i="18"/>
  <c r="AL16" i="18" s="1"/>
  <c r="W16" i="18"/>
  <c r="AK16" i="18" s="1"/>
  <c r="V16" i="18"/>
  <c r="AJ16" i="18" s="1"/>
  <c r="U16" i="18"/>
  <c r="AI16" i="18" s="1"/>
  <c r="T16" i="18"/>
  <c r="AH16" i="18" s="1"/>
  <c r="S16" i="18"/>
  <c r="AG16" i="18" s="1"/>
  <c r="R16" i="18"/>
  <c r="AF16" i="18" s="1"/>
  <c r="AD15" i="18"/>
  <c r="AR15" i="18" s="1"/>
  <c r="AC15" i="18"/>
  <c r="AQ15" i="18" s="1"/>
  <c r="AB15" i="18"/>
  <c r="AP15" i="18" s="1"/>
  <c r="AA15" i="18"/>
  <c r="AO15" i="18" s="1"/>
  <c r="Z15" i="18"/>
  <c r="AN15" i="18" s="1"/>
  <c r="Y15" i="18"/>
  <c r="AM15" i="18" s="1"/>
  <c r="X15" i="18"/>
  <c r="AL15" i="18" s="1"/>
  <c r="W15" i="18"/>
  <c r="AK15" i="18" s="1"/>
  <c r="V15" i="18"/>
  <c r="AJ15" i="18" s="1"/>
  <c r="U15" i="18"/>
  <c r="AI15" i="18" s="1"/>
  <c r="T15" i="18"/>
  <c r="AH15" i="18" s="1"/>
  <c r="S15" i="18"/>
  <c r="AG15" i="18" s="1"/>
  <c r="R15" i="18"/>
  <c r="AF15" i="18" s="1"/>
  <c r="AD14" i="18"/>
  <c r="AR14" i="18" s="1"/>
  <c r="AC14" i="18"/>
  <c r="AQ14" i="18" s="1"/>
  <c r="AB14" i="18"/>
  <c r="AP14" i="18" s="1"/>
  <c r="AA14" i="18"/>
  <c r="AO14" i="18" s="1"/>
  <c r="Z14" i="18"/>
  <c r="AN14" i="18" s="1"/>
  <c r="Y14" i="18"/>
  <c r="AM14" i="18" s="1"/>
  <c r="X14" i="18"/>
  <c r="AL14" i="18" s="1"/>
  <c r="W14" i="18"/>
  <c r="AK14" i="18" s="1"/>
  <c r="V14" i="18"/>
  <c r="AJ14" i="18" s="1"/>
  <c r="U14" i="18"/>
  <c r="AI14" i="18" s="1"/>
  <c r="T14" i="18"/>
  <c r="AH14" i="18" s="1"/>
  <c r="S14" i="18"/>
  <c r="AG14" i="18" s="1"/>
  <c r="R14" i="18"/>
  <c r="AF14" i="18" s="1"/>
  <c r="AD13" i="18"/>
  <c r="AR13" i="18" s="1"/>
  <c r="AC13" i="18"/>
  <c r="AQ13" i="18" s="1"/>
  <c r="AB13" i="18"/>
  <c r="AP13" i="18" s="1"/>
  <c r="AA13" i="18"/>
  <c r="AO13" i="18" s="1"/>
  <c r="Z13" i="18"/>
  <c r="AN13" i="18" s="1"/>
  <c r="Y13" i="18"/>
  <c r="AM13" i="18" s="1"/>
  <c r="X13" i="18"/>
  <c r="AL13" i="18" s="1"/>
  <c r="W13" i="18"/>
  <c r="AK13" i="18" s="1"/>
  <c r="V13" i="18"/>
  <c r="AJ13" i="18" s="1"/>
  <c r="U13" i="18"/>
  <c r="AI13" i="18" s="1"/>
  <c r="T13" i="18"/>
  <c r="AH13" i="18" s="1"/>
  <c r="S13" i="18"/>
  <c r="AG13" i="18" s="1"/>
  <c r="R13" i="18"/>
  <c r="AF13" i="18" s="1"/>
  <c r="AD12" i="18"/>
  <c r="AR12" i="18" s="1"/>
  <c r="AC12" i="18"/>
  <c r="AQ12" i="18" s="1"/>
  <c r="AB12" i="18"/>
  <c r="AP12" i="18" s="1"/>
  <c r="AA12" i="18"/>
  <c r="AO12" i="18" s="1"/>
  <c r="Z12" i="18"/>
  <c r="AN12" i="18" s="1"/>
  <c r="Y12" i="18"/>
  <c r="AM12" i="18" s="1"/>
  <c r="X12" i="18"/>
  <c r="AL12" i="18" s="1"/>
  <c r="W12" i="18"/>
  <c r="AK12" i="18" s="1"/>
  <c r="V12" i="18"/>
  <c r="AJ12" i="18" s="1"/>
  <c r="U12" i="18"/>
  <c r="AI12" i="18" s="1"/>
  <c r="T12" i="18"/>
  <c r="AH12" i="18" s="1"/>
  <c r="S12" i="18"/>
  <c r="AG12" i="18" s="1"/>
  <c r="R12" i="18"/>
  <c r="AF12" i="18" s="1"/>
  <c r="AD11" i="18"/>
  <c r="AR11" i="18" s="1"/>
  <c r="AC11" i="18"/>
  <c r="AQ11" i="18" s="1"/>
  <c r="AB11" i="18"/>
  <c r="AP11" i="18" s="1"/>
  <c r="AA11" i="18"/>
  <c r="AO11" i="18" s="1"/>
  <c r="Z11" i="18"/>
  <c r="AN11" i="18" s="1"/>
  <c r="Y11" i="18"/>
  <c r="AM11" i="18" s="1"/>
  <c r="X11" i="18"/>
  <c r="AL11" i="18" s="1"/>
  <c r="W11" i="18"/>
  <c r="AK11" i="18" s="1"/>
  <c r="V11" i="18"/>
  <c r="AJ11" i="18" s="1"/>
  <c r="U11" i="18"/>
  <c r="AI11" i="18" s="1"/>
  <c r="T11" i="18"/>
  <c r="AH11" i="18" s="1"/>
  <c r="S11" i="18"/>
  <c r="AG11" i="18" s="1"/>
  <c r="R11" i="18"/>
  <c r="AF11" i="18" s="1"/>
  <c r="AD10" i="18"/>
  <c r="AR10" i="18" s="1"/>
  <c r="AC10" i="18"/>
  <c r="AQ10" i="18" s="1"/>
  <c r="AB10" i="18"/>
  <c r="AP10" i="18" s="1"/>
  <c r="AA10" i="18"/>
  <c r="AO10" i="18" s="1"/>
  <c r="Z10" i="18"/>
  <c r="AN10" i="18" s="1"/>
  <c r="Y10" i="18"/>
  <c r="AM10" i="18" s="1"/>
  <c r="X10" i="18"/>
  <c r="AL10" i="18" s="1"/>
  <c r="W10" i="18"/>
  <c r="AK10" i="18" s="1"/>
  <c r="V10" i="18"/>
  <c r="AJ10" i="18" s="1"/>
  <c r="U10" i="18"/>
  <c r="AI10" i="18" s="1"/>
  <c r="T10" i="18"/>
  <c r="AH10" i="18" s="1"/>
  <c r="S10" i="18"/>
  <c r="AG10" i="18" s="1"/>
  <c r="R10" i="18"/>
  <c r="AF10" i="18" s="1"/>
  <c r="AD9" i="18"/>
  <c r="AR9" i="18" s="1"/>
  <c r="AC9" i="18"/>
  <c r="AQ9" i="18" s="1"/>
  <c r="AB9" i="18"/>
  <c r="AP9" i="18" s="1"/>
  <c r="AA9" i="18"/>
  <c r="AO9" i="18" s="1"/>
  <c r="Z9" i="18"/>
  <c r="AN9" i="18" s="1"/>
  <c r="Y9" i="18"/>
  <c r="AM9" i="18" s="1"/>
  <c r="X9" i="18"/>
  <c r="AL9" i="18" s="1"/>
  <c r="W9" i="18"/>
  <c r="AK9" i="18" s="1"/>
  <c r="V9" i="18"/>
  <c r="AJ9" i="18" s="1"/>
  <c r="U9" i="18"/>
  <c r="AI9" i="18" s="1"/>
  <c r="T9" i="18"/>
  <c r="AH9" i="18" s="1"/>
  <c r="S9" i="18"/>
  <c r="AG9" i="18" s="1"/>
  <c r="R9" i="18"/>
  <c r="AF9" i="18" s="1"/>
  <c r="AD8" i="18"/>
  <c r="AR8" i="18" s="1"/>
  <c r="AC8" i="18"/>
  <c r="AQ8" i="18" s="1"/>
  <c r="AB8" i="18"/>
  <c r="AP8" i="18" s="1"/>
  <c r="AA8" i="18"/>
  <c r="AO8" i="18" s="1"/>
  <c r="Z8" i="18"/>
  <c r="AN8" i="18" s="1"/>
  <c r="Y8" i="18"/>
  <c r="AM8" i="18" s="1"/>
  <c r="X8" i="18"/>
  <c r="AL8" i="18" s="1"/>
  <c r="W8" i="18"/>
  <c r="AK8" i="18" s="1"/>
  <c r="V8" i="18"/>
  <c r="AJ8" i="18" s="1"/>
  <c r="U8" i="18"/>
  <c r="AI8" i="18" s="1"/>
  <c r="T8" i="18"/>
  <c r="AH8" i="18" s="1"/>
  <c r="S8" i="18"/>
  <c r="AG8" i="18" s="1"/>
  <c r="R8" i="18"/>
  <c r="AF8" i="18" s="1"/>
  <c r="AD7" i="18"/>
  <c r="AR7" i="18" s="1"/>
  <c r="AC7" i="18"/>
  <c r="AQ7" i="18" s="1"/>
  <c r="AB7" i="18"/>
  <c r="AP7" i="18" s="1"/>
  <c r="AA7" i="18"/>
  <c r="AO7" i="18" s="1"/>
  <c r="Z7" i="18"/>
  <c r="AN7" i="18" s="1"/>
  <c r="Y7" i="18"/>
  <c r="AM7" i="18" s="1"/>
  <c r="X7" i="18"/>
  <c r="AL7" i="18" s="1"/>
  <c r="W7" i="18"/>
  <c r="AK7" i="18" s="1"/>
  <c r="V7" i="18"/>
  <c r="AJ7" i="18" s="1"/>
  <c r="U7" i="18"/>
  <c r="AI7" i="18" s="1"/>
  <c r="T7" i="18"/>
  <c r="AH7" i="18" s="1"/>
  <c r="S7" i="18"/>
  <c r="AG7" i="18" s="1"/>
  <c r="R7" i="18"/>
  <c r="AF7" i="18" s="1"/>
  <c r="AD6" i="18"/>
  <c r="AR6" i="18" s="1"/>
  <c r="AC6" i="18"/>
  <c r="AQ6" i="18" s="1"/>
  <c r="AB6" i="18"/>
  <c r="AP6" i="18" s="1"/>
  <c r="AA6" i="18"/>
  <c r="AO6" i="18" s="1"/>
  <c r="Z6" i="18"/>
  <c r="AN6" i="18" s="1"/>
  <c r="Y6" i="18"/>
  <c r="AM6" i="18" s="1"/>
  <c r="X6" i="18"/>
  <c r="AL6" i="18" s="1"/>
  <c r="W6" i="18"/>
  <c r="AK6" i="18" s="1"/>
  <c r="V6" i="18"/>
  <c r="AJ6" i="18" s="1"/>
  <c r="U6" i="18"/>
  <c r="AI6" i="18" s="1"/>
  <c r="T6" i="18"/>
  <c r="AH6" i="18" s="1"/>
  <c r="S6" i="18"/>
  <c r="R6" i="18"/>
  <c r="AF6" i="18" s="1"/>
  <c r="B28" i="18"/>
  <c r="B27" i="18"/>
  <c r="B26" i="18"/>
  <c r="B25" i="18"/>
  <c r="B24" i="18"/>
  <c r="B23" i="18"/>
  <c r="B22" i="18"/>
  <c r="B21" i="18"/>
  <c r="B20" i="18"/>
  <c r="B19" i="18"/>
  <c r="B18" i="18"/>
  <c r="B17" i="18"/>
  <c r="B16" i="18"/>
  <c r="B15" i="18"/>
  <c r="B14" i="18"/>
  <c r="B13" i="18"/>
  <c r="B12" i="18"/>
  <c r="B11" i="18"/>
  <c r="B10" i="18"/>
  <c r="B9" i="18"/>
  <c r="B8" i="18"/>
  <c r="B7" i="18"/>
  <c r="B6" i="18"/>
  <c r="AS34" i="17"/>
  <c r="AS50" i="17"/>
  <c r="AS51" i="17"/>
  <c r="AS36" i="17"/>
  <c r="AS52" i="17"/>
  <c r="AS31" i="17"/>
  <c r="AS55" i="15"/>
  <c r="AS47" i="15"/>
  <c r="AS39" i="15"/>
  <c r="AD28" i="15"/>
  <c r="AC28" i="15"/>
  <c r="AC28" i="17" s="1"/>
  <c r="AQ28" i="17" s="1"/>
  <c r="AB28" i="15"/>
  <c r="AA28" i="15"/>
  <c r="Z28" i="15"/>
  <c r="Y28" i="15"/>
  <c r="X28" i="15"/>
  <c r="W28" i="15"/>
  <c r="V28" i="15"/>
  <c r="U28" i="15"/>
  <c r="T28" i="15"/>
  <c r="S28" i="15"/>
  <c r="R28" i="15"/>
  <c r="AD27" i="15"/>
  <c r="AC27" i="15"/>
  <c r="AB27" i="15"/>
  <c r="AA27" i="15"/>
  <c r="Z27" i="15"/>
  <c r="Y27" i="15"/>
  <c r="X27" i="15"/>
  <c r="X27" i="17" s="1"/>
  <c r="AL27" i="17" s="1"/>
  <c r="W27" i="15"/>
  <c r="V27" i="15"/>
  <c r="U27" i="15"/>
  <c r="T27" i="15"/>
  <c r="S27" i="15"/>
  <c r="R27" i="15"/>
  <c r="AD26" i="15"/>
  <c r="AC26" i="15"/>
  <c r="AB26" i="15"/>
  <c r="AA26" i="15"/>
  <c r="AA26" i="17" s="1"/>
  <c r="AO26" i="17" s="1"/>
  <c r="Z26" i="15"/>
  <c r="Y26" i="15"/>
  <c r="X26" i="15"/>
  <c r="W26" i="15"/>
  <c r="V26" i="15"/>
  <c r="U26" i="15"/>
  <c r="T26" i="15"/>
  <c r="S26" i="15"/>
  <c r="R26" i="15"/>
  <c r="AD25" i="15"/>
  <c r="AC25" i="15"/>
  <c r="AB25" i="15"/>
  <c r="AA25" i="15"/>
  <c r="Z25" i="15"/>
  <c r="Y25" i="15"/>
  <c r="X25" i="15"/>
  <c r="W25" i="15"/>
  <c r="V25" i="15"/>
  <c r="V25" i="17" s="1"/>
  <c r="AJ25" i="17" s="1"/>
  <c r="U25" i="15"/>
  <c r="T25" i="15"/>
  <c r="S25" i="15"/>
  <c r="R25" i="15"/>
  <c r="R25" i="17" s="1"/>
  <c r="AF25" i="17" s="1"/>
  <c r="AD24" i="15"/>
  <c r="AC24" i="15"/>
  <c r="AB24" i="15"/>
  <c r="AA24" i="15"/>
  <c r="Z24" i="15"/>
  <c r="Y24" i="15"/>
  <c r="X24" i="15"/>
  <c r="W24" i="15"/>
  <c r="V24" i="15"/>
  <c r="U24" i="15"/>
  <c r="T24" i="15"/>
  <c r="S24" i="15"/>
  <c r="R24" i="15"/>
  <c r="AD23" i="15"/>
  <c r="AC23" i="15"/>
  <c r="AB23" i="15"/>
  <c r="AA23" i="15"/>
  <c r="Z23" i="15"/>
  <c r="Y23" i="15"/>
  <c r="X23" i="15"/>
  <c r="W23" i="15"/>
  <c r="V23" i="15"/>
  <c r="U23" i="15"/>
  <c r="T23" i="15"/>
  <c r="S23" i="15"/>
  <c r="R23" i="15"/>
  <c r="AD22" i="15"/>
  <c r="AC22" i="15"/>
  <c r="AB22" i="15"/>
  <c r="AA22" i="15"/>
  <c r="Z22" i="15"/>
  <c r="Y22" i="15"/>
  <c r="X22" i="15"/>
  <c r="W22" i="15"/>
  <c r="V22" i="15"/>
  <c r="U22" i="15"/>
  <c r="U22" i="17" s="1"/>
  <c r="AI22" i="17" s="1"/>
  <c r="T22" i="15"/>
  <c r="S22" i="15"/>
  <c r="R22" i="15"/>
  <c r="AD21" i="15"/>
  <c r="AC21" i="15"/>
  <c r="AB21" i="15"/>
  <c r="AA21" i="15"/>
  <c r="Z21" i="15"/>
  <c r="Y21" i="15"/>
  <c r="X21" i="15"/>
  <c r="W21" i="15"/>
  <c r="V21" i="15"/>
  <c r="U21" i="15"/>
  <c r="T21" i="15"/>
  <c r="S21" i="15"/>
  <c r="R21" i="15"/>
  <c r="AD20" i="15"/>
  <c r="AC20" i="15"/>
  <c r="AB20" i="15"/>
  <c r="AA20" i="15"/>
  <c r="Z20" i="15"/>
  <c r="Y20" i="15"/>
  <c r="X20" i="15"/>
  <c r="W20" i="15"/>
  <c r="V20" i="15"/>
  <c r="U20" i="15"/>
  <c r="T20" i="15"/>
  <c r="S20" i="15"/>
  <c r="R20" i="15"/>
  <c r="AD19" i="15"/>
  <c r="AC19" i="15"/>
  <c r="AB19" i="15"/>
  <c r="AA19" i="15"/>
  <c r="Z19" i="15"/>
  <c r="Y19" i="15"/>
  <c r="X19" i="15"/>
  <c r="W19" i="15"/>
  <c r="V19" i="15"/>
  <c r="U19" i="15"/>
  <c r="T19" i="15"/>
  <c r="S19" i="15"/>
  <c r="R19" i="15"/>
  <c r="AD18" i="15"/>
  <c r="AC18" i="15"/>
  <c r="AB18" i="15"/>
  <c r="AA18" i="15"/>
  <c r="Z18" i="15"/>
  <c r="Y18" i="15"/>
  <c r="X18" i="15"/>
  <c r="W18" i="15"/>
  <c r="V18" i="15"/>
  <c r="U18" i="15"/>
  <c r="T18" i="15"/>
  <c r="S18" i="15"/>
  <c r="R18" i="15"/>
  <c r="AD17" i="15"/>
  <c r="AC17" i="15"/>
  <c r="AB17" i="15"/>
  <c r="AA17" i="15"/>
  <c r="Z17" i="15"/>
  <c r="Y17" i="15"/>
  <c r="X17" i="15"/>
  <c r="W17" i="15"/>
  <c r="V17" i="15"/>
  <c r="U17" i="15"/>
  <c r="T17" i="15"/>
  <c r="S17" i="15"/>
  <c r="R17" i="15"/>
  <c r="AD16" i="15"/>
  <c r="AC16" i="15"/>
  <c r="AB16" i="15"/>
  <c r="AA16" i="15"/>
  <c r="Z16" i="15"/>
  <c r="Y16" i="15"/>
  <c r="X16" i="15"/>
  <c r="W16" i="15"/>
  <c r="V16" i="15"/>
  <c r="U16" i="15"/>
  <c r="T16" i="15"/>
  <c r="S16" i="15"/>
  <c r="R16" i="15"/>
  <c r="AD15" i="15"/>
  <c r="AC15" i="15"/>
  <c r="AB15" i="15"/>
  <c r="AA15" i="15"/>
  <c r="Z15" i="15"/>
  <c r="Y15" i="15"/>
  <c r="X15" i="15"/>
  <c r="W15" i="15"/>
  <c r="V15" i="15"/>
  <c r="U15" i="15"/>
  <c r="T15" i="15"/>
  <c r="S15" i="15"/>
  <c r="R15" i="15"/>
  <c r="AD14" i="15"/>
  <c r="AC14" i="15"/>
  <c r="AB14" i="15"/>
  <c r="AA14" i="15"/>
  <c r="Z14" i="15"/>
  <c r="Y14" i="15"/>
  <c r="X14" i="15"/>
  <c r="W14" i="15"/>
  <c r="V14" i="15"/>
  <c r="U14" i="15"/>
  <c r="T14" i="15"/>
  <c r="S14" i="15"/>
  <c r="R14" i="15"/>
  <c r="AD13" i="15"/>
  <c r="AC13" i="15"/>
  <c r="AB13" i="15"/>
  <c r="AA13" i="15"/>
  <c r="Z13" i="15"/>
  <c r="Y13" i="15"/>
  <c r="X13" i="15"/>
  <c r="W13" i="15"/>
  <c r="V13" i="15"/>
  <c r="U13" i="15"/>
  <c r="T13" i="15"/>
  <c r="S13" i="15"/>
  <c r="R13" i="15"/>
  <c r="AD12" i="15"/>
  <c r="AC12" i="15"/>
  <c r="AB12" i="15"/>
  <c r="AA12" i="15"/>
  <c r="Z12" i="15"/>
  <c r="Y12" i="15"/>
  <c r="X12" i="15"/>
  <c r="W12" i="15"/>
  <c r="V12" i="15"/>
  <c r="U12" i="15"/>
  <c r="T12" i="15"/>
  <c r="S12" i="15"/>
  <c r="R12" i="15"/>
  <c r="AD11" i="15"/>
  <c r="AC11" i="15"/>
  <c r="AB11" i="15"/>
  <c r="AA11" i="15"/>
  <c r="Z11" i="15"/>
  <c r="Y11" i="15"/>
  <c r="X11" i="15"/>
  <c r="W11" i="15"/>
  <c r="V11" i="15"/>
  <c r="U11" i="15"/>
  <c r="T11" i="15"/>
  <c r="S11" i="15"/>
  <c r="R11" i="15"/>
  <c r="AD10" i="15"/>
  <c r="AC10" i="15"/>
  <c r="AB10" i="15"/>
  <c r="AA10" i="15"/>
  <c r="Z10" i="15"/>
  <c r="Y10" i="15"/>
  <c r="X10" i="15"/>
  <c r="W10" i="15"/>
  <c r="V10" i="15"/>
  <c r="U10" i="15"/>
  <c r="T10" i="15"/>
  <c r="S10" i="15"/>
  <c r="R10" i="15"/>
  <c r="AD9" i="15"/>
  <c r="AC9" i="15"/>
  <c r="AB9" i="15"/>
  <c r="AA9" i="15"/>
  <c r="Z9" i="15"/>
  <c r="Y9" i="15"/>
  <c r="X9" i="15"/>
  <c r="W9" i="15"/>
  <c r="V9" i="15"/>
  <c r="U9" i="15"/>
  <c r="T9" i="15"/>
  <c r="S9" i="15"/>
  <c r="R9" i="15"/>
  <c r="AD8" i="15"/>
  <c r="AC8" i="15"/>
  <c r="AB8" i="15"/>
  <c r="AA8" i="15"/>
  <c r="Z8" i="15"/>
  <c r="Y8" i="15"/>
  <c r="X8" i="15"/>
  <c r="W8" i="15"/>
  <c r="V8" i="15"/>
  <c r="U8" i="15"/>
  <c r="T8" i="15"/>
  <c r="S8" i="15"/>
  <c r="R8" i="15"/>
  <c r="AD7" i="15"/>
  <c r="AC7" i="15"/>
  <c r="AB7" i="15"/>
  <c r="AA7" i="15"/>
  <c r="Z7" i="15"/>
  <c r="Y7" i="15"/>
  <c r="X7" i="15"/>
  <c r="W7" i="15"/>
  <c r="V7" i="15"/>
  <c r="U7" i="15"/>
  <c r="T7" i="15"/>
  <c r="S7" i="15"/>
  <c r="R7" i="15"/>
  <c r="AD6" i="15"/>
  <c r="AC6" i="15"/>
  <c r="AC6" i="17" s="1"/>
  <c r="AQ6" i="17" s="1"/>
  <c r="AB6" i="15"/>
  <c r="AA6" i="15"/>
  <c r="Z6" i="15"/>
  <c r="Y6" i="15"/>
  <c r="X6" i="15"/>
  <c r="W6" i="15"/>
  <c r="V6" i="15"/>
  <c r="U6" i="15"/>
  <c r="T6" i="15"/>
  <c r="T6" i="17" s="1"/>
  <c r="AH6" i="17" s="1"/>
  <c r="S6" i="15"/>
  <c r="R6" i="15"/>
  <c r="B28" i="15"/>
  <c r="B27" i="15"/>
  <c r="B26" i="15"/>
  <c r="B25" i="15"/>
  <c r="B24" i="15"/>
  <c r="B23" i="15"/>
  <c r="B22" i="15"/>
  <c r="B21" i="15"/>
  <c r="B20" i="15"/>
  <c r="B19" i="15"/>
  <c r="B18" i="15"/>
  <c r="B17" i="15"/>
  <c r="B16" i="15"/>
  <c r="B15" i="15"/>
  <c r="B14" i="15"/>
  <c r="B13" i="15"/>
  <c r="B12" i="15"/>
  <c r="B11" i="15"/>
  <c r="B10" i="15"/>
  <c r="B9" i="15"/>
  <c r="B8" i="15"/>
  <c r="B7" i="15"/>
  <c r="B6" i="15"/>
  <c r="AS60" i="18"/>
  <c r="AS52" i="18"/>
  <c r="AS44" i="18"/>
  <c r="AS37" i="18"/>
  <c r="AS60" i="14"/>
  <c r="AS44" i="14"/>
  <c r="AS31" i="18"/>
  <c r="AS38" i="15"/>
  <c r="AS46" i="15"/>
  <c r="AS54" i="15"/>
  <c r="AS63" i="15"/>
  <c r="AS32" i="18"/>
  <c r="AS47" i="18"/>
  <c r="AS63" i="18"/>
  <c r="AS49" i="18"/>
  <c r="AS33" i="14"/>
  <c r="AS49" i="14"/>
  <c r="AS65" i="14"/>
  <c r="AS34" i="14"/>
  <c r="AS50" i="14"/>
  <c r="AS31" i="14"/>
  <c r="AS47" i="14"/>
  <c r="AS63" i="14"/>
  <c r="AS48" i="13"/>
  <c r="AS58" i="13"/>
  <c r="AS43" i="13"/>
  <c r="AS53" i="13"/>
  <c r="AR66" i="5"/>
  <c r="AQ66" i="5"/>
  <c r="AP66" i="5"/>
  <c r="AO66" i="5"/>
  <c r="AN66" i="5"/>
  <c r="AM66" i="5"/>
  <c r="AL66" i="5"/>
  <c r="AK66" i="5"/>
  <c r="AJ66" i="5"/>
  <c r="AI66" i="5"/>
  <c r="AH66" i="5"/>
  <c r="AG66" i="5"/>
  <c r="AF66" i="5"/>
  <c r="BV65" i="5"/>
  <c r="I98" i="9" s="1"/>
  <c r="BG48" i="5"/>
  <c r="F81" i="9" s="1"/>
  <c r="BP66" i="5"/>
  <c r="BL66" i="5"/>
  <c r="BV40" i="5"/>
  <c r="I73" i="9" s="1"/>
  <c r="BG55" i="5"/>
  <c r="F88" i="9" s="1"/>
  <c r="BT66" i="5"/>
  <c r="A30" i="4"/>
  <c r="AF4" i="17"/>
  <c r="R4" i="17"/>
  <c r="D4" i="17"/>
  <c r="B3" i="17"/>
  <c r="AF4" i="15"/>
  <c r="R4" i="15"/>
  <c r="D4" i="15"/>
  <c r="B3" i="15"/>
  <c r="AT4" i="5"/>
  <c r="AF4" i="5"/>
  <c r="D4" i="5"/>
  <c r="B3" i="5"/>
  <c r="D181" i="4"/>
  <c r="D180" i="4"/>
  <c r="D179" i="4"/>
  <c r="D178" i="4"/>
  <c r="D177" i="4"/>
  <c r="A181" i="4"/>
  <c r="A180" i="4"/>
  <c r="A179" i="4"/>
  <c r="A178" i="4"/>
  <c r="A177" i="4"/>
  <c r="A47" i="4"/>
  <c r="A45" i="4"/>
  <c r="A43" i="4"/>
  <c r="A36" i="4"/>
  <c r="D5" i="28"/>
  <c r="F5" i="28"/>
  <c r="L16" i="28"/>
  <c r="L15" i="28"/>
  <c r="L14" i="28"/>
  <c r="L13" i="28"/>
  <c r="L12" i="28"/>
  <c r="H28" i="28"/>
  <c r="H27" i="28"/>
  <c r="H26" i="28"/>
  <c r="H25" i="28"/>
  <c r="D22" i="28"/>
  <c r="E22" i="28" s="1"/>
  <c r="A122" i="4"/>
  <c r="A100" i="4"/>
  <c r="A120" i="4"/>
  <c r="A119" i="4"/>
  <c r="A118" i="4"/>
  <c r="A117" i="4"/>
  <c r="A116" i="4"/>
  <c r="E115" i="4"/>
  <c r="F115" i="4" s="1"/>
  <c r="G115" i="4" s="1"/>
  <c r="H115" i="4" s="1"/>
  <c r="B115" i="4"/>
  <c r="B118" i="4" s="1"/>
  <c r="A89" i="4"/>
  <c r="A87" i="4"/>
  <c r="B93" i="4"/>
  <c r="E93" i="4"/>
  <c r="F93" i="4" s="1"/>
  <c r="G93" i="4" s="1"/>
  <c r="H93" i="4" s="1"/>
  <c r="A98" i="4"/>
  <c r="A97" i="4"/>
  <c r="A96" i="4"/>
  <c r="A95" i="4"/>
  <c r="A94" i="4"/>
  <c r="H16" i="28"/>
  <c r="H15" i="28"/>
  <c r="H14" i="28"/>
  <c r="H13" i="28"/>
  <c r="H12" i="28"/>
  <c r="H11" i="28"/>
  <c r="I16" i="28"/>
  <c r="I15" i="28"/>
  <c r="I14" i="28"/>
  <c r="I13" i="28"/>
  <c r="I12" i="28"/>
  <c r="I11" i="28"/>
  <c r="I10" i="28"/>
  <c r="I9" i="28"/>
  <c r="I8" i="28"/>
  <c r="A72" i="4"/>
  <c r="A65" i="4"/>
  <c r="H5" i="28"/>
  <c r="B3" i="28"/>
  <c r="H10" i="28"/>
  <c r="H9" i="28"/>
  <c r="H8" i="28"/>
  <c r="D39" i="27"/>
  <c r="D35" i="27" s="1"/>
  <c r="C22" i="27"/>
  <c r="C14" i="27" s="1"/>
  <c r="E41" i="27"/>
  <c r="E40" i="27"/>
  <c r="C6" i="27"/>
  <c r="A85" i="4"/>
  <c r="A78" i="4"/>
  <c r="F7" i="24"/>
  <c r="E45" i="23"/>
  <c r="E44" i="23"/>
  <c r="E43" i="23"/>
  <c r="E42" i="23"/>
  <c r="D41" i="23"/>
  <c r="D37" i="23" s="1"/>
  <c r="C24" i="23"/>
  <c r="C14" i="23" s="1"/>
  <c r="C6" i="23"/>
  <c r="AQ66" i="13"/>
  <c r="AO66" i="13"/>
  <c r="AG66" i="13"/>
  <c r="B13" i="9"/>
  <c r="B12" i="9"/>
  <c r="B11" i="9"/>
  <c r="B10" i="9"/>
  <c r="B9" i="9"/>
  <c r="B8" i="9"/>
  <c r="B3" i="9"/>
  <c r="F25" i="4"/>
  <c r="N273" i="4" s="1"/>
  <c r="F24" i="4"/>
  <c r="M273" i="4" s="1"/>
  <c r="F23" i="4"/>
  <c r="L273" i="4" s="1"/>
  <c r="F22" i="4"/>
  <c r="F20" i="4"/>
  <c r="J273" i="4" s="1"/>
  <c r="F19" i="4"/>
  <c r="I273" i="4" s="1"/>
  <c r="I276" i="4" s="1"/>
  <c r="F18" i="4"/>
  <c r="H273" i="4" s="1"/>
  <c r="H276" i="4" s="1"/>
  <c r="F17" i="4"/>
  <c r="G273" i="4" s="1"/>
  <c r="G276" i="4" s="1"/>
  <c r="G278" i="4" s="1"/>
  <c r="B19" i="6"/>
  <c r="B14" i="6"/>
  <c r="B3" i="6"/>
  <c r="U7" i="6"/>
  <c r="T7" i="6"/>
  <c r="Q7" i="6"/>
  <c r="R7" i="6" s="1"/>
  <c r="G24" i="6" s="1"/>
  <c r="P7" i="6"/>
  <c r="O7" i="6"/>
  <c r="C6" i="2"/>
  <c r="I259" i="4"/>
  <c r="I242" i="4"/>
  <c r="H259" i="4"/>
  <c r="H242" i="4"/>
  <c r="G259" i="4"/>
  <c r="G242" i="4"/>
  <c r="A224" i="4"/>
  <c r="A223" i="4"/>
  <c r="A222" i="4"/>
  <c r="A221" i="4"/>
  <c r="A220" i="4"/>
  <c r="A213" i="4"/>
  <c r="A212" i="4"/>
  <c r="A211" i="4"/>
  <c r="A210" i="4"/>
  <c r="A209" i="4"/>
  <c r="A202" i="4"/>
  <c r="A201" i="4"/>
  <c r="A200" i="4"/>
  <c r="A199" i="4"/>
  <c r="A198" i="4"/>
  <c r="F259" i="4"/>
  <c r="E259" i="4"/>
  <c r="E260" i="4" s="1"/>
  <c r="E254" i="4"/>
  <c r="F254" i="4" s="1"/>
  <c r="G254" i="4" s="1"/>
  <c r="G256" i="4" s="1"/>
  <c r="B222" i="4"/>
  <c r="B1" i="9"/>
  <c r="F242" i="4"/>
  <c r="E242" i="4"/>
  <c r="E243" i="4" s="1"/>
  <c r="F243" i="4" s="1"/>
  <c r="G243" i="4" s="1"/>
  <c r="H243" i="4" s="1"/>
  <c r="I243" i="4" s="1"/>
  <c r="E237" i="4"/>
  <c r="F237" i="4" s="1"/>
  <c r="G237" i="4" s="1"/>
  <c r="A190" i="4"/>
  <c r="A60" i="4"/>
  <c r="A53" i="4"/>
  <c r="C7" i="4"/>
  <c r="AF25" i="15" l="1"/>
  <c r="H60" i="4"/>
  <c r="G60" i="4"/>
  <c r="H72" i="4"/>
  <c r="G72" i="4"/>
  <c r="B1" i="31"/>
  <c r="B1" i="30"/>
  <c r="A271" i="4"/>
  <c r="F144" i="4"/>
  <c r="E144" i="4"/>
  <c r="G144" i="4"/>
  <c r="D144" i="4"/>
  <c r="H144" i="4"/>
  <c r="B144" i="4"/>
  <c r="C16" i="2" s="1"/>
  <c r="E53" i="2" s="1"/>
  <c r="D43" i="4"/>
  <c r="J275" i="4" s="1"/>
  <c r="J276" i="4" s="1"/>
  <c r="B204" i="4"/>
  <c r="E190" i="4" s="1"/>
  <c r="F43" i="4"/>
  <c r="L275" i="4" s="1"/>
  <c r="L276" i="4" s="1"/>
  <c r="B1" i="24"/>
  <c r="B1" i="17"/>
  <c r="D122" i="4"/>
  <c r="BG34" i="5"/>
  <c r="F67" i="9" s="1"/>
  <c r="BG42" i="5"/>
  <c r="F75" i="9" s="1"/>
  <c r="BG50" i="5"/>
  <c r="F83" i="9" s="1"/>
  <c r="BG58" i="5"/>
  <c r="F91" i="9" s="1"/>
  <c r="BG62" i="5"/>
  <c r="F95" i="9" s="1"/>
  <c r="BG32" i="5"/>
  <c r="F65" i="9" s="1"/>
  <c r="BG37" i="5"/>
  <c r="F70" i="9" s="1"/>
  <c r="BG40" i="5"/>
  <c r="F73" i="9" s="1"/>
  <c r="BG45" i="5"/>
  <c r="F78" i="9" s="1"/>
  <c r="BG49" i="5"/>
  <c r="F82" i="9" s="1"/>
  <c r="BG53" i="5"/>
  <c r="F86" i="9" s="1"/>
  <c r="BG56" i="5"/>
  <c r="F89" i="9" s="1"/>
  <c r="BG64" i="5"/>
  <c r="F97" i="9" s="1"/>
  <c r="BG65" i="5"/>
  <c r="F98" i="9" s="1"/>
  <c r="BV38" i="5"/>
  <c r="I71" i="9" s="1"/>
  <c r="BV46" i="5"/>
  <c r="I79" i="9" s="1"/>
  <c r="BV54" i="5"/>
  <c r="I87" i="9" s="1"/>
  <c r="BV62" i="5"/>
  <c r="I95" i="9" s="1"/>
  <c r="AS34" i="13"/>
  <c r="BV42" i="5"/>
  <c r="I75" i="9" s="1"/>
  <c r="B1" i="14"/>
  <c r="AB17" i="17"/>
  <c r="AP17" i="17" s="1"/>
  <c r="AP17" i="15"/>
  <c r="B1" i="28"/>
  <c r="B183" i="4"/>
  <c r="A51" i="9"/>
  <c r="A51" i="9" a="1"/>
  <c r="A53" i="9" a="1"/>
  <c r="A53" i="9" s="1"/>
  <c r="A55" i="9" a="1"/>
  <c r="A55" i="9" s="1"/>
  <c r="A57" i="9" a="1"/>
  <c r="A57" i="9" s="1"/>
  <c r="A59" i="9" a="1"/>
  <c r="A59" i="9" s="1"/>
  <c r="A61" i="9" a="1"/>
  <c r="A61" i="9" s="1"/>
  <c r="A63" i="9" a="1"/>
  <c r="A63" i="9" s="1"/>
  <c r="A40" i="9"/>
  <c r="H85" i="4"/>
  <c r="H278" i="4"/>
  <c r="I278" i="4" s="1"/>
  <c r="C30" i="4"/>
  <c r="K273" i="4"/>
  <c r="B94" i="4"/>
  <c r="A39" i="9"/>
  <c r="A43" i="9"/>
  <c r="A47" i="9"/>
  <c r="A50" i="9"/>
  <c r="A50" i="9" a="1"/>
  <c r="A52" i="9"/>
  <c r="A52" i="9" a="1"/>
  <c r="A54" i="9"/>
  <c r="A54" i="9" a="1"/>
  <c r="A56" i="9"/>
  <c r="A56" i="9" a="1"/>
  <c r="A58" i="9"/>
  <c r="A58" i="9" a="1"/>
  <c r="A60" i="9"/>
  <c r="A60" i="9" a="1"/>
  <c r="A62" i="9"/>
  <c r="A62" i="9" a="1"/>
  <c r="A44" i="9"/>
  <c r="A48" i="9"/>
  <c r="A41" i="9" a="1"/>
  <c r="A41" i="9" s="1"/>
  <c r="A42" i="9"/>
  <c r="A45" i="9" a="1"/>
  <c r="A45" i="9" s="1"/>
  <c r="A46" i="9"/>
  <c r="A49" i="9" a="1"/>
  <c r="A49" i="9" s="1"/>
  <c r="AI22" i="15"/>
  <c r="AJ25" i="15"/>
  <c r="AS16" i="14"/>
  <c r="AL27" i="15"/>
  <c r="AS19" i="14"/>
  <c r="B116" i="4"/>
  <c r="AS26" i="14"/>
  <c r="I17" i="28"/>
  <c r="K10" i="28"/>
  <c r="K8" i="28"/>
  <c r="B117" i="4"/>
  <c r="B120" i="4"/>
  <c r="B119" i="4"/>
  <c r="C8" i="4"/>
  <c r="E77" i="28" s="1"/>
  <c r="G262" i="4"/>
  <c r="F260" i="4"/>
  <c r="G260" i="4" s="1"/>
  <c r="H260" i="4" s="1"/>
  <c r="I260" i="4" s="1"/>
  <c r="H111" i="4"/>
  <c r="B111" i="4"/>
  <c r="C24" i="2" s="1"/>
  <c r="C10" i="9" s="1"/>
  <c r="E111" i="4"/>
  <c r="G111" i="4"/>
  <c r="F111" i="4"/>
  <c r="D111" i="4"/>
  <c r="F64" i="28"/>
  <c r="E64" i="28" s="1"/>
  <c r="D64" i="28" s="1"/>
  <c r="F47" i="28"/>
  <c r="E47" i="28" s="1"/>
  <c r="D47" i="28" s="1"/>
  <c r="E67" i="2"/>
  <c r="D67" i="2" s="1"/>
  <c r="C67" i="2" s="1"/>
  <c r="E45" i="2"/>
  <c r="D45" i="2" s="1"/>
  <c r="C45" i="2" s="1"/>
  <c r="I37" i="9"/>
  <c r="E56" i="23"/>
  <c r="D56" i="23" s="1"/>
  <c r="C56" i="23" s="1"/>
  <c r="E32" i="23"/>
  <c r="D32" i="23" s="1"/>
  <c r="C32" i="23" s="1"/>
  <c r="E30" i="27"/>
  <c r="D30" i="27" s="1"/>
  <c r="C30" i="27" s="1"/>
  <c r="E52" i="27"/>
  <c r="D52" i="27" s="1"/>
  <c r="C52" i="27" s="1"/>
  <c r="AS30" i="17"/>
  <c r="H6" i="2"/>
  <c r="AS30" i="15"/>
  <c r="AS6" i="14"/>
  <c r="AS10" i="14"/>
  <c r="AS29" i="15"/>
  <c r="BV16" i="5"/>
  <c r="I49" i="9" s="1"/>
  <c r="AS21" i="14"/>
  <c r="AF66" i="14"/>
  <c r="AQ28" i="15"/>
  <c r="AS12" i="13"/>
  <c r="AS8" i="14"/>
  <c r="AS12" i="14"/>
  <c r="AS20" i="14"/>
  <c r="AS24" i="14"/>
  <c r="AS28" i="14"/>
  <c r="BR66" i="5"/>
  <c r="AO26" i="15"/>
  <c r="BI66" i="5"/>
  <c r="BV29" i="5"/>
  <c r="I62" i="9" s="1"/>
  <c r="K14" i="28"/>
  <c r="K11" i="28"/>
  <c r="K15" i="28"/>
  <c r="K12" i="28"/>
  <c r="K16" i="28"/>
  <c r="K13" i="28"/>
  <c r="K9" i="28"/>
  <c r="AF8" i="15"/>
  <c r="R8" i="17"/>
  <c r="AF8" i="17" s="1"/>
  <c r="AG6" i="15"/>
  <c r="S6" i="17"/>
  <c r="AG6" i="17" s="1"/>
  <c r="AK6" i="15"/>
  <c r="W6" i="17"/>
  <c r="AK6" i="17" s="1"/>
  <c r="AO6" i="15"/>
  <c r="AA6" i="17"/>
  <c r="AO6" i="17" s="1"/>
  <c r="AF7" i="15"/>
  <c r="R7" i="17"/>
  <c r="AF7" i="17" s="1"/>
  <c r="AJ7" i="15"/>
  <c r="V7" i="17"/>
  <c r="AJ7" i="17" s="1"/>
  <c r="AN7" i="15"/>
  <c r="Z7" i="17"/>
  <c r="AN7" i="17" s="1"/>
  <c r="AR7" i="15"/>
  <c r="AD7" i="17"/>
  <c r="AR7" i="17" s="1"/>
  <c r="AI8" i="15"/>
  <c r="U8" i="17"/>
  <c r="AI8" i="17" s="1"/>
  <c r="AM8" i="15"/>
  <c r="Y8" i="17"/>
  <c r="AM8" i="17" s="1"/>
  <c r="AQ8" i="15"/>
  <c r="AC8" i="17"/>
  <c r="AQ8" i="17" s="1"/>
  <c r="AH9" i="15"/>
  <c r="T9" i="17"/>
  <c r="AH9" i="17" s="1"/>
  <c r="AL9" i="15"/>
  <c r="X9" i="17"/>
  <c r="AL9" i="17" s="1"/>
  <c r="AP9" i="15"/>
  <c r="AB9" i="17"/>
  <c r="AP9" i="17" s="1"/>
  <c r="AG10" i="15"/>
  <c r="S10" i="17"/>
  <c r="AG10" i="17" s="1"/>
  <c r="AK10" i="15"/>
  <c r="W10" i="17"/>
  <c r="AK10" i="17" s="1"/>
  <c r="AO10" i="15"/>
  <c r="AA10" i="17"/>
  <c r="AO10" i="17" s="1"/>
  <c r="AF11" i="15"/>
  <c r="R11" i="17"/>
  <c r="AF11" i="17" s="1"/>
  <c r="AJ11" i="15"/>
  <c r="V11" i="17"/>
  <c r="AJ11" i="17" s="1"/>
  <c r="AN11" i="15"/>
  <c r="Z11" i="17"/>
  <c r="AN11" i="17" s="1"/>
  <c r="AR11" i="15"/>
  <c r="AD11" i="17"/>
  <c r="AR11" i="17" s="1"/>
  <c r="AI12" i="15"/>
  <c r="U12" i="17"/>
  <c r="AI12" i="17" s="1"/>
  <c r="AM12" i="15"/>
  <c r="Y12" i="17"/>
  <c r="AM12" i="17" s="1"/>
  <c r="AQ12" i="15"/>
  <c r="AC12" i="17"/>
  <c r="AQ12" i="17" s="1"/>
  <c r="AH13" i="15"/>
  <c r="T13" i="17"/>
  <c r="AH13" i="17" s="1"/>
  <c r="AL13" i="15"/>
  <c r="X13" i="17"/>
  <c r="AL13" i="17" s="1"/>
  <c r="AP13" i="15"/>
  <c r="AB13" i="17"/>
  <c r="AP13" i="17" s="1"/>
  <c r="AG14" i="15"/>
  <c r="S14" i="17"/>
  <c r="AG14" i="17" s="1"/>
  <c r="AK14" i="15"/>
  <c r="W14" i="17"/>
  <c r="AK14" i="17" s="1"/>
  <c r="AO14" i="15"/>
  <c r="AA14" i="17"/>
  <c r="AO14" i="17" s="1"/>
  <c r="AF15" i="15"/>
  <c r="R15" i="17"/>
  <c r="AF15" i="17" s="1"/>
  <c r="AJ15" i="15"/>
  <c r="V15" i="17"/>
  <c r="AJ15" i="17" s="1"/>
  <c r="AN15" i="15"/>
  <c r="Z15" i="17"/>
  <c r="AN15" i="17" s="1"/>
  <c r="AR15" i="15"/>
  <c r="AD15" i="17"/>
  <c r="AR15" i="17" s="1"/>
  <c r="AI16" i="15"/>
  <c r="U16" i="17"/>
  <c r="AI16" i="17" s="1"/>
  <c r="AM16" i="15"/>
  <c r="Y16" i="17"/>
  <c r="AM16" i="17" s="1"/>
  <c r="AQ16" i="15"/>
  <c r="AC16" i="17"/>
  <c r="AQ16" i="17" s="1"/>
  <c r="AH17" i="15"/>
  <c r="T17" i="17"/>
  <c r="AH17" i="17" s="1"/>
  <c r="AL17" i="15"/>
  <c r="X17" i="17"/>
  <c r="AL17" i="17" s="1"/>
  <c r="AG18" i="15"/>
  <c r="S18" i="17"/>
  <c r="AG18" i="17" s="1"/>
  <c r="AK18" i="15"/>
  <c r="W18" i="17"/>
  <c r="AK18" i="17" s="1"/>
  <c r="AO18" i="15"/>
  <c r="AA18" i="17"/>
  <c r="AO18" i="17" s="1"/>
  <c r="AF19" i="15"/>
  <c r="R19" i="17"/>
  <c r="AF19" i="17" s="1"/>
  <c r="AJ19" i="15"/>
  <c r="V19" i="17"/>
  <c r="AJ19" i="17" s="1"/>
  <c r="AN19" i="15"/>
  <c r="Z19" i="17"/>
  <c r="AN19" i="17" s="1"/>
  <c r="AR19" i="15"/>
  <c r="AD19" i="17"/>
  <c r="AR19" i="17" s="1"/>
  <c r="AI20" i="15"/>
  <c r="U20" i="17"/>
  <c r="AI20" i="17" s="1"/>
  <c r="AM20" i="15"/>
  <c r="Y20" i="17"/>
  <c r="AM20" i="17" s="1"/>
  <c r="AQ20" i="15"/>
  <c r="AC20" i="17"/>
  <c r="AQ20" i="17" s="1"/>
  <c r="AH21" i="15"/>
  <c r="T21" i="17"/>
  <c r="AH21" i="17" s="1"/>
  <c r="AL21" i="15"/>
  <c r="X21" i="17"/>
  <c r="AL21" i="17" s="1"/>
  <c r="AP21" i="15"/>
  <c r="AB21" i="17"/>
  <c r="AP21" i="17" s="1"/>
  <c r="AG22" i="15"/>
  <c r="S22" i="17"/>
  <c r="AG22" i="17" s="1"/>
  <c r="AK22" i="15"/>
  <c r="W22" i="17"/>
  <c r="AK22" i="17" s="1"/>
  <c r="AO22" i="15"/>
  <c r="AA22" i="17"/>
  <c r="AO22" i="17" s="1"/>
  <c r="AF23" i="15"/>
  <c r="R23" i="17"/>
  <c r="AF23" i="17" s="1"/>
  <c r="AJ23" i="15"/>
  <c r="V23" i="17"/>
  <c r="AJ23" i="17" s="1"/>
  <c r="AN23" i="15"/>
  <c r="Z23" i="17"/>
  <c r="AN23" i="17" s="1"/>
  <c r="AR23" i="15"/>
  <c r="AD23" i="17"/>
  <c r="AR23" i="17" s="1"/>
  <c r="AI24" i="15"/>
  <c r="U24" i="17"/>
  <c r="AI24" i="17" s="1"/>
  <c r="AM24" i="15"/>
  <c r="Y24" i="17"/>
  <c r="AM24" i="17" s="1"/>
  <c r="AQ24" i="15"/>
  <c r="AC24" i="17"/>
  <c r="AQ24" i="17" s="1"/>
  <c r="AH25" i="15"/>
  <c r="T25" i="17"/>
  <c r="AH25" i="17" s="1"/>
  <c r="AL25" i="15"/>
  <c r="X25" i="17"/>
  <c r="AL25" i="17" s="1"/>
  <c r="AP25" i="15"/>
  <c r="AB25" i="17"/>
  <c r="AP25" i="17" s="1"/>
  <c r="AG26" i="15"/>
  <c r="S26" i="17"/>
  <c r="AG26" i="17" s="1"/>
  <c r="AK26" i="15"/>
  <c r="W26" i="17"/>
  <c r="AK26" i="17" s="1"/>
  <c r="AF27" i="15"/>
  <c r="R27" i="17"/>
  <c r="AF27" i="17" s="1"/>
  <c r="AJ27" i="15"/>
  <c r="V27" i="17"/>
  <c r="AJ27" i="17" s="1"/>
  <c r="AN27" i="15"/>
  <c r="Z27" i="17"/>
  <c r="AN27" i="17" s="1"/>
  <c r="AR27" i="15"/>
  <c r="AD27" i="17"/>
  <c r="AR27" i="17" s="1"/>
  <c r="AI28" i="15"/>
  <c r="U28" i="17"/>
  <c r="AI28" i="17" s="1"/>
  <c r="AM28" i="15"/>
  <c r="Y28" i="17"/>
  <c r="AM28" i="17" s="1"/>
  <c r="AR8" i="15"/>
  <c r="AD8" i="17"/>
  <c r="AR8" i="17" s="1"/>
  <c r="AI9" i="15"/>
  <c r="U9" i="17"/>
  <c r="AI9" i="17" s="1"/>
  <c r="AM9" i="15"/>
  <c r="Y9" i="17"/>
  <c r="AM9" i="17" s="1"/>
  <c r="AQ9" i="15"/>
  <c r="AC9" i="17"/>
  <c r="AQ9" i="17" s="1"/>
  <c r="AH10" i="15"/>
  <c r="T10" i="17"/>
  <c r="AH10" i="17" s="1"/>
  <c r="AL10" i="15"/>
  <c r="X10" i="17"/>
  <c r="AL10" i="17" s="1"/>
  <c r="AP10" i="15"/>
  <c r="AB10" i="17"/>
  <c r="AP10" i="17" s="1"/>
  <c r="AG11" i="15"/>
  <c r="S11" i="17"/>
  <c r="AG11" i="17" s="1"/>
  <c r="AK11" i="15"/>
  <c r="W11" i="17"/>
  <c r="AK11" i="17" s="1"/>
  <c r="AO11" i="15"/>
  <c r="AA11" i="17"/>
  <c r="AO11" i="17" s="1"/>
  <c r="AF12" i="15"/>
  <c r="R12" i="17"/>
  <c r="AF12" i="17" s="1"/>
  <c r="AJ12" i="15"/>
  <c r="V12" i="17"/>
  <c r="AJ12" i="17" s="1"/>
  <c r="AN12" i="15"/>
  <c r="Z12" i="17"/>
  <c r="AN12" i="17" s="1"/>
  <c r="AR12" i="15"/>
  <c r="AD12" i="17"/>
  <c r="AR12" i="17" s="1"/>
  <c r="AI13" i="15"/>
  <c r="U13" i="17"/>
  <c r="AI13" i="17" s="1"/>
  <c r="AM13" i="15"/>
  <c r="Y13" i="17"/>
  <c r="AM13" i="17" s="1"/>
  <c r="AQ13" i="15"/>
  <c r="AC13" i="17"/>
  <c r="AQ13" i="17" s="1"/>
  <c r="AH14" i="15"/>
  <c r="T14" i="17"/>
  <c r="AH14" i="17" s="1"/>
  <c r="AL14" i="15"/>
  <c r="X14" i="17"/>
  <c r="AL14" i="17" s="1"/>
  <c r="AP14" i="15"/>
  <c r="AB14" i="17"/>
  <c r="AP14" i="17" s="1"/>
  <c r="AG15" i="15"/>
  <c r="S15" i="17"/>
  <c r="AG15" i="17" s="1"/>
  <c r="AK15" i="15"/>
  <c r="W15" i="17"/>
  <c r="AK15" i="17" s="1"/>
  <c r="AO15" i="15"/>
  <c r="AA15" i="17"/>
  <c r="AO15" i="17" s="1"/>
  <c r="AF16" i="15"/>
  <c r="R16" i="17"/>
  <c r="AF16" i="17" s="1"/>
  <c r="AJ16" i="15"/>
  <c r="V16" i="17"/>
  <c r="AJ16" i="17" s="1"/>
  <c r="AN16" i="15"/>
  <c r="Z16" i="17"/>
  <c r="AN16" i="17" s="1"/>
  <c r="AR16" i="15"/>
  <c r="AD16" i="17"/>
  <c r="AR16" i="17" s="1"/>
  <c r="AI17" i="15"/>
  <c r="U17" i="17"/>
  <c r="AI17" i="17" s="1"/>
  <c r="AM17" i="15"/>
  <c r="Y17" i="17"/>
  <c r="AM17" i="17" s="1"/>
  <c r="AQ17" i="15"/>
  <c r="AC17" i="17"/>
  <c r="AQ17" i="17" s="1"/>
  <c r="AH18" i="15"/>
  <c r="T18" i="17"/>
  <c r="AH18" i="17" s="1"/>
  <c r="AL18" i="15"/>
  <c r="X18" i="17"/>
  <c r="AL18" i="17" s="1"/>
  <c r="AP18" i="15"/>
  <c r="AB18" i="17"/>
  <c r="AP18" i="17" s="1"/>
  <c r="AG19" i="15"/>
  <c r="S19" i="17"/>
  <c r="AG19" i="17" s="1"/>
  <c r="AK19" i="15"/>
  <c r="W19" i="17"/>
  <c r="AK19" i="17" s="1"/>
  <c r="AO19" i="15"/>
  <c r="AA19" i="17"/>
  <c r="AO19" i="17" s="1"/>
  <c r="AF20" i="15"/>
  <c r="R20" i="17"/>
  <c r="AF20" i="17" s="1"/>
  <c r="AJ20" i="15"/>
  <c r="V20" i="17"/>
  <c r="AJ20" i="17" s="1"/>
  <c r="AN20" i="15"/>
  <c r="Z20" i="17"/>
  <c r="AN20" i="17" s="1"/>
  <c r="AR20" i="15"/>
  <c r="AD20" i="17"/>
  <c r="AR20" i="17" s="1"/>
  <c r="AI21" i="15"/>
  <c r="U21" i="17"/>
  <c r="AI21" i="17" s="1"/>
  <c r="AM21" i="15"/>
  <c r="Y21" i="17"/>
  <c r="AM21" i="17" s="1"/>
  <c r="AQ21" i="15"/>
  <c r="AC21" i="17"/>
  <c r="AQ21" i="17" s="1"/>
  <c r="AH22" i="15"/>
  <c r="T22" i="17"/>
  <c r="AH22" i="17" s="1"/>
  <c r="AL22" i="15"/>
  <c r="X22" i="17"/>
  <c r="AL22" i="17" s="1"/>
  <c r="AP22" i="15"/>
  <c r="AB22" i="17"/>
  <c r="AP22" i="17" s="1"/>
  <c r="AG23" i="15"/>
  <c r="S23" i="17"/>
  <c r="AG23" i="17" s="1"/>
  <c r="AK23" i="15"/>
  <c r="W23" i="17"/>
  <c r="AK23" i="17" s="1"/>
  <c r="AO23" i="15"/>
  <c r="AA23" i="17"/>
  <c r="AO23" i="17" s="1"/>
  <c r="AF24" i="15"/>
  <c r="R24" i="17"/>
  <c r="AF24" i="17" s="1"/>
  <c r="AJ24" i="15"/>
  <c r="V24" i="17"/>
  <c r="AJ24" i="17" s="1"/>
  <c r="AN24" i="15"/>
  <c r="Z24" i="17"/>
  <c r="AN24" i="17" s="1"/>
  <c r="AR24" i="15"/>
  <c r="AD24" i="17"/>
  <c r="AR24" i="17" s="1"/>
  <c r="AI25" i="15"/>
  <c r="U25" i="17"/>
  <c r="AI25" i="17" s="1"/>
  <c r="AM25" i="15"/>
  <c r="Y25" i="17"/>
  <c r="AM25" i="17" s="1"/>
  <c r="AQ25" i="15"/>
  <c r="AC25" i="17"/>
  <c r="AQ25" i="17" s="1"/>
  <c r="AH26" i="15"/>
  <c r="T26" i="17"/>
  <c r="AH26" i="17" s="1"/>
  <c r="AL26" i="15"/>
  <c r="X26" i="17"/>
  <c r="AL26" i="17" s="1"/>
  <c r="AP26" i="15"/>
  <c r="AB26" i="17"/>
  <c r="AP26" i="17" s="1"/>
  <c r="AG27" i="15"/>
  <c r="S27" i="17"/>
  <c r="AG27" i="17" s="1"/>
  <c r="AK27" i="15"/>
  <c r="W27" i="17"/>
  <c r="AK27" i="17" s="1"/>
  <c r="AO27" i="15"/>
  <c r="AA27" i="17"/>
  <c r="AO27" i="17" s="1"/>
  <c r="AF28" i="15"/>
  <c r="R28" i="17"/>
  <c r="AF28" i="17" s="1"/>
  <c r="AJ28" i="15"/>
  <c r="V28" i="17"/>
  <c r="AJ28" i="17" s="1"/>
  <c r="AN28" i="15"/>
  <c r="Z28" i="17"/>
  <c r="AN28" i="17" s="1"/>
  <c r="AR28" i="15"/>
  <c r="AD28" i="17"/>
  <c r="AR28" i="17" s="1"/>
  <c r="AS7" i="14"/>
  <c r="AS9" i="14"/>
  <c r="AS11" i="14"/>
  <c r="AS13" i="14"/>
  <c r="AS14" i="14"/>
  <c r="AS15" i="14"/>
  <c r="AS17" i="14"/>
  <c r="AS18" i="14"/>
  <c r="AS22" i="14"/>
  <c r="AS23" i="14"/>
  <c r="AS25" i="14"/>
  <c r="AS27" i="14"/>
  <c r="AS29" i="14"/>
  <c r="AS30" i="14"/>
  <c r="AS30" i="18"/>
  <c r="AS29" i="18"/>
  <c r="AL6" i="15"/>
  <c r="X6" i="17"/>
  <c r="AL6" i="17" s="1"/>
  <c r="AP6" i="15"/>
  <c r="AB6" i="17"/>
  <c r="AP6" i="17" s="1"/>
  <c r="AG7" i="15"/>
  <c r="S7" i="17"/>
  <c r="AG7" i="17" s="1"/>
  <c r="AK7" i="15"/>
  <c r="W7" i="17"/>
  <c r="AK7" i="17" s="1"/>
  <c r="AO7" i="15"/>
  <c r="AA7" i="17"/>
  <c r="AO7" i="17" s="1"/>
  <c r="AJ8" i="15"/>
  <c r="V8" i="17"/>
  <c r="AJ8" i="17" s="1"/>
  <c r="AI6" i="15"/>
  <c r="U6" i="17"/>
  <c r="AI6" i="17" s="1"/>
  <c r="AM6" i="15"/>
  <c r="Y6" i="17"/>
  <c r="AM6" i="17" s="1"/>
  <c r="AH7" i="15"/>
  <c r="T7" i="17"/>
  <c r="AH7" i="17" s="1"/>
  <c r="AL7" i="15"/>
  <c r="X7" i="17"/>
  <c r="AL7" i="17" s="1"/>
  <c r="AP7" i="15"/>
  <c r="AB7" i="17"/>
  <c r="AP7" i="17" s="1"/>
  <c r="AG8" i="15"/>
  <c r="S8" i="17"/>
  <c r="AG8" i="17" s="1"/>
  <c r="AK8" i="15"/>
  <c r="W8" i="17"/>
  <c r="AK8" i="17" s="1"/>
  <c r="AO8" i="15"/>
  <c r="AA8" i="17"/>
  <c r="AO8" i="17" s="1"/>
  <c r="AF9" i="15"/>
  <c r="R9" i="17"/>
  <c r="AF9" i="17" s="1"/>
  <c r="AJ9" i="15"/>
  <c r="V9" i="17"/>
  <c r="AJ9" i="17" s="1"/>
  <c r="AN9" i="15"/>
  <c r="Z9" i="17"/>
  <c r="AN9" i="17" s="1"/>
  <c r="AR9" i="15"/>
  <c r="AD9" i="17"/>
  <c r="AR9" i="17" s="1"/>
  <c r="AI10" i="15"/>
  <c r="U10" i="17"/>
  <c r="AI10" i="17" s="1"/>
  <c r="AM10" i="15"/>
  <c r="Y10" i="17"/>
  <c r="AM10" i="17" s="1"/>
  <c r="AQ10" i="15"/>
  <c r="AC10" i="17"/>
  <c r="AQ10" i="17" s="1"/>
  <c r="AH11" i="15"/>
  <c r="T11" i="17"/>
  <c r="AH11" i="17" s="1"/>
  <c r="AL11" i="15"/>
  <c r="X11" i="17"/>
  <c r="AL11" i="17" s="1"/>
  <c r="AP11" i="15"/>
  <c r="AB11" i="17"/>
  <c r="AP11" i="17" s="1"/>
  <c r="AG12" i="15"/>
  <c r="S12" i="17"/>
  <c r="AG12" i="17" s="1"/>
  <c r="AK12" i="15"/>
  <c r="W12" i="17"/>
  <c r="AK12" i="17" s="1"/>
  <c r="AO12" i="15"/>
  <c r="AA12" i="17"/>
  <c r="AO12" i="17" s="1"/>
  <c r="AF13" i="15"/>
  <c r="R13" i="17"/>
  <c r="AF13" i="17" s="1"/>
  <c r="AJ13" i="15"/>
  <c r="V13" i="17"/>
  <c r="AJ13" i="17" s="1"/>
  <c r="AN13" i="15"/>
  <c r="Z13" i="17"/>
  <c r="AN13" i="17" s="1"/>
  <c r="AR13" i="15"/>
  <c r="AD13" i="17"/>
  <c r="AR13" i="17" s="1"/>
  <c r="AI14" i="15"/>
  <c r="U14" i="17"/>
  <c r="AI14" i="17" s="1"/>
  <c r="AM14" i="15"/>
  <c r="Y14" i="17"/>
  <c r="AM14" i="17" s="1"/>
  <c r="AQ14" i="15"/>
  <c r="AC14" i="17"/>
  <c r="AQ14" i="17" s="1"/>
  <c r="AH15" i="15"/>
  <c r="T15" i="17"/>
  <c r="AH15" i="17" s="1"/>
  <c r="AL15" i="15"/>
  <c r="X15" i="17"/>
  <c r="AL15" i="17" s="1"/>
  <c r="AP15" i="15"/>
  <c r="AB15" i="17"/>
  <c r="AP15" i="17" s="1"/>
  <c r="AG16" i="15"/>
  <c r="S16" i="17"/>
  <c r="AG16" i="17" s="1"/>
  <c r="AK16" i="15"/>
  <c r="W16" i="17"/>
  <c r="AK16" i="17" s="1"/>
  <c r="AO16" i="15"/>
  <c r="AA16" i="17"/>
  <c r="AO16" i="17" s="1"/>
  <c r="AF17" i="15"/>
  <c r="R17" i="17"/>
  <c r="AF17" i="17" s="1"/>
  <c r="AJ17" i="15"/>
  <c r="V17" i="17"/>
  <c r="AJ17" i="17" s="1"/>
  <c r="AN17" i="15"/>
  <c r="Z17" i="17"/>
  <c r="AN17" i="17" s="1"/>
  <c r="AR17" i="15"/>
  <c r="AD17" i="17"/>
  <c r="AR17" i="17" s="1"/>
  <c r="AI18" i="15"/>
  <c r="U18" i="17"/>
  <c r="AI18" i="17" s="1"/>
  <c r="AM18" i="15"/>
  <c r="Y18" i="17"/>
  <c r="AM18" i="17" s="1"/>
  <c r="AQ18" i="15"/>
  <c r="AC18" i="17"/>
  <c r="AQ18" i="17" s="1"/>
  <c r="AH19" i="15"/>
  <c r="T19" i="17"/>
  <c r="AH19" i="17" s="1"/>
  <c r="AL19" i="15"/>
  <c r="X19" i="17"/>
  <c r="AL19" i="17" s="1"/>
  <c r="AP19" i="15"/>
  <c r="AB19" i="17"/>
  <c r="AP19" i="17" s="1"/>
  <c r="AG20" i="15"/>
  <c r="S20" i="17"/>
  <c r="AG20" i="17" s="1"/>
  <c r="AK20" i="15"/>
  <c r="W20" i="17"/>
  <c r="AK20" i="17" s="1"/>
  <c r="AO20" i="15"/>
  <c r="AA20" i="17"/>
  <c r="AO20" i="17" s="1"/>
  <c r="AF21" i="15"/>
  <c r="R21" i="17"/>
  <c r="AF21" i="17" s="1"/>
  <c r="AJ21" i="15"/>
  <c r="V21" i="17"/>
  <c r="AJ21" i="17" s="1"/>
  <c r="AN21" i="15"/>
  <c r="Z21" i="17"/>
  <c r="AN21" i="17" s="1"/>
  <c r="AR21" i="15"/>
  <c r="AD21" i="17"/>
  <c r="AR21" i="17" s="1"/>
  <c r="AM22" i="15"/>
  <c r="Y22" i="17"/>
  <c r="AM22" i="17" s="1"/>
  <c r="AQ22" i="15"/>
  <c r="AC22" i="17"/>
  <c r="AQ22" i="17" s="1"/>
  <c r="AH23" i="15"/>
  <c r="T23" i="17"/>
  <c r="AH23" i="17" s="1"/>
  <c r="AL23" i="15"/>
  <c r="X23" i="17"/>
  <c r="AL23" i="17" s="1"/>
  <c r="AP23" i="15"/>
  <c r="AB23" i="17"/>
  <c r="AP23" i="17" s="1"/>
  <c r="AG24" i="15"/>
  <c r="S24" i="17"/>
  <c r="AG24" i="17" s="1"/>
  <c r="AK24" i="15"/>
  <c r="W24" i="17"/>
  <c r="AK24" i="17" s="1"/>
  <c r="AO24" i="15"/>
  <c r="AA24" i="17"/>
  <c r="AO24" i="17" s="1"/>
  <c r="AN25" i="15"/>
  <c r="Z25" i="17"/>
  <c r="AN25" i="17" s="1"/>
  <c r="AR25" i="15"/>
  <c r="AD25" i="17"/>
  <c r="AR25" i="17" s="1"/>
  <c r="AI26" i="15"/>
  <c r="U26" i="17"/>
  <c r="AI26" i="17" s="1"/>
  <c r="AM26" i="15"/>
  <c r="Y26" i="17"/>
  <c r="AM26" i="17" s="1"/>
  <c r="AQ26" i="15"/>
  <c r="AC26" i="17"/>
  <c r="AQ26" i="17" s="1"/>
  <c r="AH27" i="15"/>
  <c r="T27" i="17"/>
  <c r="AH27" i="17" s="1"/>
  <c r="AP27" i="15"/>
  <c r="AB27" i="17"/>
  <c r="AP27" i="17" s="1"/>
  <c r="AG28" i="15"/>
  <c r="S28" i="17"/>
  <c r="AG28" i="17" s="1"/>
  <c r="AK28" i="15"/>
  <c r="W28" i="17"/>
  <c r="AK28" i="17" s="1"/>
  <c r="AO28" i="15"/>
  <c r="AA28" i="17"/>
  <c r="AO28" i="17" s="1"/>
  <c r="AN8" i="15"/>
  <c r="Z8" i="17"/>
  <c r="AN8" i="17" s="1"/>
  <c r="AF6" i="15"/>
  <c r="R6" i="17"/>
  <c r="AF6" i="17" s="1"/>
  <c r="AJ6" i="15"/>
  <c r="V6" i="17"/>
  <c r="AJ6" i="17" s="1"/>
  <c r="AN6" i="15"/>
  <c r="Z6" i="17"/>
  <c r="AN6" i="17" s="1"/>
  <c r="AR6" i="15"/>
  <c r="AD6" i="17"/>
  <c r="AR6" i="17" s="1"/>
  <c r="AI7" i="15"/>
  <c r="U7" i="17"/>
  <c r="AI7" i="17" s="1"/>
  <c r="AM7" i="15"/>
  <c r="Y7" i="17"/>
  <c r="AM7" i="17" s="1"/>
  <c r="AQ7" i="15"/>
  <c r="AC7" i="17"/>
  <c r="AQ7" i="17" s="1"/>
  <c r="AH8" i="15"/>
  <c r="T8" i="17"/>
  <c r="AH8" i="17" s="1"/>
  <c r="AL8" i="15"/>
  <c r="X8" i="17"/>
  <c r="AL8" i="17" s="1"/>
  <c r="AP8" i="15"/>
  <c r="AB8" i="17"/>
  <c r="AP8" i="17" s="1"/>
  <c r="AG9" i="15"/>
  <c r="S9" i="17"/>
  <c r="AG9" i="17" s="1"/>
  <c r="AK9" i="15"/>
  <c r="W9" i="17"/>
  <c r="AK9" i="17" s="1"/>
  <c r="AO9" i="15"/>
  <c r="AA9" i="17"/>
  <c r="AO9" i="17" s="1"/>
  <c r="AF10" i="15"/>
  <c r="R10" i="17"/>
  <c r="AF10" i="17" s="1"/>
  <c r="AJ10" i="15"/>
  <c r="V10" i="17"/>
  <c r="AJ10" i="17" s="1"/>
  <c r="AN10" i="15"/>
  <c r="Z10" i="17"/>
  <c r="AN10" i="17" s="1"/>
  <c r="AR10" i="15"/>
  <c r="AD10" i="17"/>
  <c r="AR10" i="17" s="1"/>
  <c r="AI11" i="15"/>
  <c r="U11" i="17"/>
  <c r="AI11" i="17" s="1"/>
  <c r="AM11" i="15"/>
  <c r="Y11" i="17"/>
  <c r="AM11" i="17" s="1"/>
  <c r="AQ11" i="15"/>
  <c r="AC11" i="17"/>
  <c r="AQ11" i="17" s="1"/>
  <c r="AH12" i="15"/>
  <c r="T12" i="17"/>
  <c r="AH12" i="17" s="1"/>
  <c r="AL12" i="15"/>
  <c r="X12" i="17"/>
  <c r="AL12" i="17" s="1"/>
  <c r="AP12" i="15"/>
  <c r="AB12" i="17"/>
  <c r="AP12" i="17" s="1"/>
  <c r="AG13" i="15"/>
  <c r="S13" i="17"/>
  <c r="AG13" i="17" s="1"/>
  <c r="AK13" i="15"/>
  <c r="W13" i="17"/>
  <c r="AK13" i="17" s="1"/>
  <c r="AO13" i="15"/>
  <c r="AA13" i="17"/>
  <c r="AO13" i="17" s="1"/>
  <c r="AF14" i="15"/>
  <c r="R14" i="17"/>
  <c r="AF14" i="17" s="1"/>
  <c r="AJ14" i="15"/>
  <c r="V14" i="17"/>
  <c r="AJ14" i="17" s="1"/>
  <c r="AN14" i="15"/>
  <c r="Z14" i="17"/>
  <c r="AN14" i="17" s="1"/>
  <c r="AR14" i="15"/>
  <c r="AD14" i="17"/>
  <c r="AR14" i="17" s="1"/>
  <c r="AI15" i="15"/>
  <c r="U15" i="17"/>
  <c r="AI15" i="17" s="1"/>
  <c r="AM15" i="15"/>
  <c r="Y15" i="17"/>
  <c r="AM15" i="17" s="1"/>
  <c r="AQ15" i="15"/>
  <c r="AC15" i="17"/>
  <c r="AQ15" i="17" s="1"/>
  <c r="AH16" i="15"/>
  <c r="T16" i="17"/>
  <c r="AH16" i="17" s="1"/>
  <c r="AL16" i="15"/>
  <c r="X16" i="17"/>
  <c r="AL16" i="17" s="1"/>
  <c r="AP16" i="15"/>
  <c r="AB16" i="17"/>
  <c r="AP16" i="17" s="1"/>
  <c r="AG17" i="15"/>
  <c r="S17" i="17"/>
  <c r="AG17" i="17" s="1"/>
  <c r="AK17" i="15"/>
  <c r="W17" i="17"/>
  <c r="AK17" i="17" s="1"/>
  <c r="AO17" i="15"/>
  <c r="AA17" i="17"/>
  <c r="AO17" i="17" s="1"/>
  <c r="AF18" i="15"/>
  <c r="R18" i="17"/>
  <c r="AF18" i="17" s="1"/>
  <c r="AJ18" i="15"/>
  <c r="V18" i="17"/>
  <c r="AJ18" i="17" s="1"/>
  <c r="AN18" i="15"/>
  <c r="Z18" i="17"/>
  <c r="AN18" i="17" s="1"/>
  <c r="AR18" i="15"/>
  <c r="AD18" i="17"/>
  <c r="AR18" i="17" s="1"/>
  <c r="AI19" i="15"/>
  <c r="U19" i="17"/>
  <c r="AI19" i="17" s="1"/>
  <c r="AM19" i="15"/>
  <c r="Y19" i="17"/>
  <c r="AM19" i="17" s="1"/>
  <c r="AQ19" i="15"/>
  <c r="AC19" i="17"/>
  <c r="AQ19" i="17" s="1"/>
  <c r="AH20" i="15"/>
  <c r="T20" i="17"/>
  <c r="AH20" i="17" s="1"/>
  <c r="AL20" i="15"/>
  <c r="X20" i="17"/>
  <c r="AL20" i="17" s="1"/>
  <c r="AP20" i="15"/>
  <c r="AB20" i="17"/>
  <c r="AP20" i="17" s="1"/>
  <c r="AG21" i="15"/>
  <c r="S21" i="17"/>
  <c r="AG21" i="17" s="1"/>
  <c r="AK21" i="15"/>
  <c r="W21" i="17"/>
  <c r="AK21" i="17" s="1"/>
  <c r="AO21" i="15"/>
  <c r="AA21" i="17"/>
  <c r="AO21" i="17" s="1"/>
  <c r="AF22" i="15"/>
  <c r="R22" i="17"/>
  <c r="AF22" i="17" s="1"/>
  <c r="AJ22" i="15"/>
  <c r="V22" i="17"/>
  <c r="AJ22" i="17" s="1"/>
  <c r="AN22" i="15"/>
  <c r="Z22" i="17"/>
  <c r="AN22" i="17" s="1"/>
  <c r="AR22" i="15"/>
  <c r="AD22" i="17"/>
  <c r="AR22" i="17" s="1"/>
  <c r="AI23" i="15"/>
  <c r="U23" i="17"/>
  <c r="AI23" i="17" s="1"/>
  <c r="AM23" i="15"/>
  <c r="Y23" i="17"/>
  <c r="AM23" i="17" s="1"/>
  <c r="AQ23" i="15"/>
  <c r="AC23" i="17"/>
  <c r="AQ23" i="17" s="1"/>
  <c r="AH24" i="15"/>
  <c r="T24" i="17"/>
  <c r="AH24" i="17" s="1"/>
  <c r="AL24" i="15"/>
  <c r="X24" i="17"/>
  <c r="AL24" i="17" s="1"/>
  <c r="AP24" i="15"/>
  <c r="AB24" i="17"/>
  <c r="AP24" i="17" s="1"/>
  <c r="AG25" i="15"/>
  <c r="S25" i="17"/>
  <c r="AG25" i="17" s="1"/>
  <c r="AK25" i="15"/>
  <c r="W25" i="17"/>
  <c r="AK25" i="17" s="1"/>
  <c r="AO25" i="15"/>
  <c r="AA25" i="17"/>
  <c r="AO25" i="17" s="1"/>
  <c r="AF26" i="15"/>
  <c r="R26" i="17"/>
  <c r="AF26" i="17" s="1"/>
  <c r="AJ26" i="15"/>
  <c r="V26" i="17"/>
  <c r="AJ26" i="17" s="1"/>
  <c r="AN26" i="15"/>
  <c r="Z26" i="17"/>
  <c r="AN26" i="17" s="1"/>
  <c r="AR26" i="15"/>
  <c r="AD26" i="17"/>
  <c r="AR26" i="17" s="1"/>
  <c r="AI27" i="15"/>
  <c r="U27" i="17"/>
  <c r="AI27" i="17" s="1"/>
  <c r="AM27" i="15"/>
  <c r="Y27" i="17"/>
  <c r="AM27" i="17" s="1"/>
  <c r="AQ27" i="15"/>
  <c r="AC27" i="17"/>
  <c r="AQ27" i="17" s="1"/>
  <c r="AH28" i="15"/>
  <c r="T28" i="17"/>
  <c r="AH28" i="17" s="1"/>
  <c r="AL28" i="15"/>
  <c r="X28" i="17"/>
  <c r="AL28" i="17" s="1"/>
  <c r="AP28" i="15"/>
  <c r="AB28" i="17"/>
  <c r="AP28" i="17" s="1"/>
  <c r="BV11" i="5"/>
  <c r="I44" i="9" s="1"/>
  <c r="BV12" i="5"/>
  <c r="I45" i="9" s="1"/>
  <c r="BV28" i="5"/>
  <c r="I61" i="9" s="1"/>
  <c r="BV7" i="5"/>
  <c r="I40" i="9" s="1"/>
  <c r="BV8" i="5"/>
  <c r="I41" i="9" s="1"/>
  <c r="BV15" i="5"/>
  <c r="I48" i="9" s="1"/>
  <c r="BV19" i="5"/>
  <c r="I52" i="9" s="1"/>
  <c r="BV20" i="5"/>
  <c r="I53" i="9" s="1"/>
  <c r="BV23" i="5"/>
  <c r="I56" i="9" s="1"/>
  <c r="BV24" i="5"/>
  <c r="I57" i="9" s="1"/>
  <c r="BV27" i="5"/>
  <c r="I60" i="9" s="1"/>
  <c r="AS14" i="13"/>
  <c r="AS17" i="13"/>
  <c r="AS27" i="13"/>
  <c r="AS30" i="13"/>
  <c r="BV9" i="5"/>
  <c r="I42" i="9" s="1"/>
  <c r="BV13" i="5"/>
  <c r="I46" i="9" s="1"/>
  <c r="BV17" i="5"/>
  <c r="I50" i="9" s="1"/>
  <c r="BV21" i="5"/>
  <c r="I54" i="9" s="1"/>
  <c r="BV25" i="5"/>
  <c r="I58" i="9" s="1"/>
  <c r="BV10" i="5"/>
  <c r="I43" i="9" s="1"/>
  <c r="BV14" i="5"/>
  <c r="I47" i="9" s="1"/>
  <c r="BV18" i="5"/>
  <c r="I51" i="9" s="1"/>
  <c r="BV22" i="5"/>
  <c r="I55" i="9" s="1"/>
  <c r="BV26" i="5"/>
  <c r="I59" i="9" s="1"/>
  <c r="BV30" i="5"/>
  <c r="I63" i="9" s="1"/>
  <c r="AS28" i="13"/>
  <c r="AS11" i="13"/>
  <c r="AN66" i="13"/>
  <c r="BV6" i="5"/>
  <c r="I39" i="9" s="1"/>
  <c r="AS26" i="18"/>
  <c r="AS27" i="18"/>
  <c r="AS24" i="18"/>
  <c r="Z66" i="17"/>
  <c r="AS28" i="18"/>
  <c r="AS18" i="18"/>
  <c r="AS25" i="18"/>
  <c r="S66" i="15"/>
  <c r="X66" i="15"/>
  <c r="AS17" i="18"/>
  <c r="AS19" i="18"/>
  <c r="AS20" i="18"/>
  <c r="AS21" i="18"/>
  <c r="AS22" i="18"/>
  <c r="AS23" i="18"/>
  <c r="AA66" i="15"/>
  <c r="AH6" i="15"/>
  <c r="T66" i="15"/>
  <c r="W66" i="15"/>
  <c r="Z66" i="15"/>
  <c r="S66" i="18"/>
  <c r="G239" i="4"/>
  <c r="G245" i="4" s="1"/>
  <c r="H237" i="4"/>
  <c r="B215" i="4"/>
  <c r="E191" i="4" s="1"/>
  <c r="B96" i="4"/>
  <c r="F183" i="4"/>
  <c r="C215" i="4"/>
  <c r="F191" i="4" s="1"/>
  <c r="B85" i="4"/>
  <c r="B2" i="2"/>
  <c r="B1" i="13"/>
  <c r="F85" i="4"/>
  <c r="E60" i="4"/>
  <c r="D85" i="4"/>
  <c r="E72" i="4"/>
  <c r="G43" i="4"/>
  <c r="M275" i="4" s="1"/>
  <c r="M276" i="4" s="1"/>
  <c r="E100" i="4"/>
  <c r="H100" i="4"/>
  <c r="H254" i="4"/>
  <c r="B72" i="4"/>
  <c r="D38" i="28" s="1"/>
  <c r="I26" i="28" s="1"/>
  <c r="B98" i="4"/>
  <c r="B100" i="4" s="1"/>
  <c r="C15" i="2" s="1"/>
  <c r="E52" i="2" s="1"/>
  <c r="B1" i="5"/>
  <c r="H122" i="4"/>
  <c r="G122" i="4"/>
  <c r="F122" i="4"/>
  <c r="E122" i="4"/>
  <c r="H133" i="4"/>
  <c r="E133" i="4"/>
  <c r="F133" i="4"/>
  <c r="D133" i="4"/>
  <c r="B133" i="4"/>
  <c r="C35" i="2" s="1"/>
  <c r="G133" i="4"/>
  <c r="C204" i="4"/>
  <c r="F190" i="4" s="1"/>
  <c r="C226" i="4"/>
  <c r="F192" i="4" s="1"/>
  <c r="G85" i="4"/>
  <c r="F60" i="4"/>
  <c r="D72" i="4"/>
  <c r="E43" i="4"/>
  <c r="D100" i="4"/>
  <c r="G100" i="4"/>
  <c r="B95" i="4"/>
  <c r="B226" i="4"/>
  <c r="E192" i="4" s="1"/>
  <c r="B1" i="6"/>
  <c r="B1" i="18"/>
  <c r="B2" i="23"/>
  <c r="D60" i="4"/>
  <c r="E85" i="4"/>
  <c r="B2" i="27"/>
  <c r="F72" i="4"/>
  <c r="B43" i="4"/>
  <c r="H43" i="4"/>
  <c r="N275" i="4" s="1"/>
  <c r="N276" i="4" s="1"/>
  <c r="F100" i="4"/>
  <c r="B122" i="4"/>
  <c r="C30" i="2" s="1"/>
  <c r="E56" i="2" s="1"/>
  <c r="B97" i="4"/>
  <c r="B1" i="15"/>
  <c r="B1" i="20"/>
  <c r="AF4" i="13"/>
  <c r="E5" i="28"/>
  <c r="D4" i="18"/>
  <c r="B3" i="18"/>
  <c r="R4" i="14"/>
  <c r="R4" i="13"/>
  <c r="AG6" i="18"/>
  <c r="AG66" i="18" s="1"/>
  <c r="D37" i="28"/>
  <c r="I25" i="28" s="1"/>
  <c r="C22" i="2"/>
  <c r="C8" i="9" s="1"/>
  <c r="C4" i="6"/>
  <c r="B3" i="14"/>
  <c r="I5" i="28"/>
  <c r="B5" i="13"/>
  <c r="B60" i="4"/>
  <c r="C23" i="2" s="1"/>
  <c r="G4" i="6"/>
  <c r="B5" i="14"/>
  <c r="C9" i="4"/>
  <c r="R4" i="18"/>
  <c r="AF4" i="18"/>
  <c r="C14" i="6"/>
  <c r="R4" i="5"/>
  <c r="A29" i="4"/>
  <c r="C29" i="4" s="1"/>
  <c r="B5" i="18"/>
  <c r="E39" i="27"/>
  <c r="R66" i="15"/>
  <c r="AS29" i="17"/>
  <c r="Y66" i="15"/>
  <c r="AC66" i="15"/>
  <c r="W66" i="18"/>
  <c r="E41" i="23"/>
  <c r="U66" i="15"/>
  <c r="V66" i="18"/>
  <c r="AQ6" i="15"/>
  <c r="V66" i="15"/>
  <c r="AD66" i="15"/>
  <c r="AB66" i="15"/>
  <c r="R66" i="18"/>
  <c r="U66" i="18"/>
  <c r="AA66" i="18"/>
  <c r="AS16" i="18"/>
  <c r="AD66" i="18"/>
  <c r="X66" i="18"/>
  <c r="Y66" i="18"/>
  <c r="T66" i="18"/>
  <c r="AH66" i="18"/>
  <c r="AL66" i="18"/>
  <c r="AP66" i="18"/>
  <c r="AK66" i="18"/>
  <c r="AO66" i="18"/>
  <c r="Z66" i="18"/>
  <c r="AC66" i="18"/>
  <c r="AB66" i="18"/>
  <c r="AS9" i="18"/>
  <c r="AS13" i="18"/>
  <c r="F42" i="20"/>
  <c r="C44" i="23" s="1"/>
  <c r="C41" i="23" s="1"/>
  <c r="C37" i="23" s="1"/>
  <c r="C49" i="23" s="1"/>
  <c r="C62" i="23" s="1"/>
  <c r="AF66" i="13"/>
  <c r="AS16" i="13"/>
  <c r="AS20" i="13"/>
  <c r="AS24" i="13"/>
  <c r="AS6" i="13"/>
  <c r="AS7" i="13"/>
  <c r="AS9" i="13"/>
  <c r="AS10" i="13"/>
  <c r="AS13" i="13"/>
  <c r="AS15" i="13"/>
  <c r="AS18" i="13"/>
  <c r="AS19" i="13"/>
  <c r="AS21" i="13"/>
  <c r="AS22" i="13"/>
  <c r="AS23" i="13"/>
  <c r="AS25" i="13"/>
  <c r="AS26" i="13"/>
  <c r="AF66" i="18"/>
  <c r="AJ66" i="18"/>
  <c r="AN66" i="18"/>
  <c r="AR66" i="18"/>
  <c r="AI66" i="18"/>
  <c r="AM66" i="18"/>
  <c r="AQ66" i="18"/>
  <c r="AS10" i="18"/>
  <c r="AS14" i="18"/>
  <c r="AS7" i="18"/>
  <c r="AS11" i="18"/>
  <c r="AS15" i="18"/>
  <c r="AS8" i="18"/>
  <c r="AS12" i="18"/>
  <c r="AS8" i="13"/>
  <c r="AJ66" i="13"/>
  <c r="H17" i="28"/>
  <c r="D25" i="28" l="1"/>
  <c r="F49" i="28" s="1"/>
  <c r="E193" i="4"/>
  <c r="B3" i="13"/>
  <c r="D4" i="14"/>
  <c r="AF4" i="14"/>
  <c r="BI4" i="5"/>
  <c r="F193" i="4"/>
  <c r="C77" i="28"/>
  <c r="J278" i="4"/>
  <c r="D4" i="13"/>
  <c r="X66" i="17"/>
  <c r="B45" i="4"/>
  <c r="D69" i="2" s="1"/>
  <c r="K275" i="4"/>
  <c r="K276" i="4" s="1"/>
  <c r="K278" i="4" s="1"/>
  <c r="C56" i="2"/>
  <c r="C54" i="2" s="1"/>
  <c r="C52" i="2"/>
  <c r="C53" i="2"/>
  <c r="L278" i="4"/>
  <c r="H35" i="2"/>
  <c r="H16" i="2"/>
  <c r="D53" i="2" s="1"/>
  <c r="H30" i="2"/>
  <c r="D56" i="2" s="1"/>
  <c r="H15" i="2"/>
  <c r="D52" i="2" s="1"/>
  <c r="H24" i="2"/>
  <c r="H23" i="2"/>
  <c r="H36" i="2"/>
  <c r="H22" i="2"/>
  <c r="D58" i="23"/>
  <c r="D54" i="27"/>
  <c r="E66" i="28"/>
  <c r="B87" i="4"/>
  <c r="B89" i="4"/>
  <c r="E54" i="27"/>
  <c r="F66" i="28"/>
  <c r="E69" i="2"/>
  <c r="E58" i="23"/>
  <c r="C37" i="2"/>
  <c r="D39" i="28"/>
  <c r="D30" i="28" s="1"/>
  <c r="F53" i="28" s="1"/>
  <c r="C36" i="2"/>
  <c r="AJ66" i="17"/>
  <c r="AS18" i="17"/>
  <c r="AS16" i="17"/>
  <c r="AQ66" i="17"/>
  <c r="AS7" i="15"/>
  <c r="AC66" i="17"/>
  <c r="AS26" i="17"/>
  <c r="AS10" i="17"/>
  <c r="AS23" i="17"/>
  <c r="AS21" i="17"/>
  <c r="AO66" i="17"/>
  <c r="AS8" i="17"/>
  <c r="AS7" i="17"/>
  <c r="AS25" i="17"/>
  <c r="AS24" i="17"/>
  <c r="AS19" i="17"/>
  <c r="AS17" i="17"/>
  <c r="AS19" i="15"/>
  <c r="AS14" i="15"/>
  <c r="AP66" i="15"/>
  <c r="AS13" i="15"/>
  <c r="AS12" i="15"/>
  <c r="AS11" i="15"/>
  <c r="AG66" i="15"/>
  <c r="AS9" i="15"/>
  <c r="AF66" i="15"/>
  <c r="AS8" i="15"/>
  <c r="AS66" i="14"/>
  <c r="D34" i="23" s="1"/>
  <c r="D49" i="23" s="1"/>
  <c r="D62" i="23" s="1"/>
  <c r="T66" i="17"/>
  <c r="AI66" i="15"/>
  <c r="AM66" i="15"/>
  <c r="AN66" i="15"/>
  <c r="AS18" i="15"/>
  <c r="W66" i="17"/>
  <c r="AF66" i="17"/>
  <c r="AB66" i="17"/>
  <c r="AS10" i="15"/>
  <c r="AH66" i="15"/>
  <c r="AP66" i="17"/>
  <c r="I99" i="9"/>
  <c r="AA66" i="17"/>
  <c r="AS22" i="17"/>
  <c r="AS14" i="17"/>
  <c r="AH66" i="17"/>
  <c r="AN66" i="17"/>
  <c r="AS28" i="17"/>
  <c r="AS20" i="17"/>
  <c r="AS15" i="17"/>
  <c r="AS13" i="17"/>
  <c r="AS12" i="17"/>
  <c r="AS11" i="17"/>
  <c r="AS9" i="17"/>
  <c r="AK66" i="17"/>
  <c r="AI66" i="17"/>
  <c r="AG66" i="17"/>
  <c r="AL66" i="17"/>
  <c r="AS28" i="15"/>
  <c r="AS27" i="15"/>
  <c r="AS26" i="15"/>
  <c r="AS25" i="15"/>
  <c r="AS24" i="15"/>
  <c r="AS23" i="15"/>
  <c r="AS22" i="15"/>
  <c r="AS21" i="15"/>
  <c r="AR66" i="15"/>
  <c r="AS20" i="15"/>
  <c r="AS17" i="15"/>
  <c r="AS16" i="15"/>
  <c r="AS15" i="15"/>
  <c r="AJ66" i="15"/>
  <c r="AO66" i="15"/>
  <c r="AL66" i="15"/>
  <c r="AS27" i="17"/>
  <c r="AM66" i="17"/>
  <c r="S66" i="17"/>
  <c r="AK66" i="15"/>
  <c r="R66" i="17"/>
  <c r="Y66" i="17"/>
  <c r="U66" i="17"/>
  <c r="V66" i="17"/>
  <c r="AD66" i="17"/>
  <c r="BV66" i="5"/>
  <c r="AS6" i="18"/>
  <c r="AS66" i="18" s="1"/>
  <c r="AS66" i="13"/>
  <c r="H256" i="4"/>
  <c r="H262" i="4" s="1"/>
  <c r="B212" i="4" s="1"/>
  <c r="I254" i="4"/>
  <c r="I256" i="4" s="1"/>
  <c r="I262" i="4" s="1"/>
  <c r="C212" i="4" s="1"/>
  <c r="H239" i="4"/>
  <c r="H245" i="4" s="1"/>
  <c r="B211" i="4" s="1"/>
  <c r="I237" i="4"/>
  <c r="I239" i="4" s="1"/>
  <c r="I245" i="4" s="1"/>
  <c r="C211" i="4" s="1"/>
  <c r="B47" i="4"/>
  <c r="I7" i="6"/>
  <c r="V7" i="6" s="1"/>
  <c r="W7" i="6" s="1"/>
  <c r="G23" i="6" s="1"/>
  <c r="G25" i="6" s="1"/>
  <c r="G21" i="6"/>
  <c r="A28" i="4"/>
  <c r="C28" i="4" s="1"/>
  <c r="K4" i="6"/>
  <c r="C10" i="4"/>
  <c r="C11" i="4" s="1"/>
  <c r="C9" i="9"/>
  <c r="AS6" i="15"/>
  <c r="AQ66" i="15"/>
  <c r="AR66" i="17"/>
  <c r="AS6" i="17"/>
  <c r="C25" i="9"/>
  <c r="C26" i="9"/>
  <c r="C11" i="9" l="1"/>
  <c r="C12" i="9"/>
  <c r="H37" i="2"/>
  <c r="H38" i="2" s="1"/>
  <c r="H29" i="2" s="1"/>
  <c r="H32" i="2" s="1"/>
  <c r="H17" i="2" s="1"/>
  <c r="H25" i="2"/>
  <c r="H14" i="2" s="1"/>
  <c r="M278" i="4"/>
  <c r="N278" i="4" s="1"/>
  <c r="D290" i="4"/>
  <c r="D284" i="4"/>
  <c r="C50" i="2"/>
  <c r="C60" i="2" s="1"/>
  <c r="C73" i="2" s="1"/>
  <c r="C69" i="2"/>
  <c r="C58" i="23"/>
  <c r="C54" i="27"/>
  <c r="D66" i="28"/>
  <c r="D63" i="23"/>
  <c r="B27" i="6"/>
  <c r="D47" i="2"/>
  <c r="D32" i="27"/>
  <c r="D45" i="27" s="1"/>
  <c r="D58" i="27" s="1"/>
  <c r="D59" i="27" s="1"/>
  <c r="AS66" i="15"/>
  <c r="AS66" i="17"/>
  <c r="C22" i="9"/>
  <c r="C38" i="2"/>
  <c r="C29" i="2" s="1"/>
  <c r="E55" i="2" s="1"/>
  <c r="C23" i="9"/>
  <c r="C24" i="9"/>
  <c r="C9" i="23" l="1"/>
  <c r="E34" i="23" s="1"/>
  <c r="C9" i="27"/>
  <c r="E32" i="27" s="1"/>
  <c r="D292" i="4"/>
  <c r="E31" i="28" s="1"/>
  <c r="H18" i="2"/>
  <c r="D51" i="2"/>
  <c r="C21" i="2"/>
  <c r="C25" i="2" s="1"/>
  <c r="C14" i="2" s="1"/>
  <c r="E51" i="2" s="1"/>
  <c r="F54" i="28"/>
  <c r="F52" i="28" s="1"/>
  <c r="F57" i="28" s="1"/>
  <c r="C72" i="2"/>
  <c r="C74" i="2"/>
  <c r="C57" i="27"/>
  <c r="C59" i="27"/>
  <c r="C61" i="23"/>
  <c r="C63" i="23"/>
  <c r="D69" i="28"/>
  <c r="D71" i="28"/>
  <c r="D55" i="2"/>
  <c r="D54" i="2" s="1"/>
  <c r="C35" i="9"/>
  <c r="C34" i="9"/>
  <c r="I27" i="28" l="1"/>
  <c r="E54" i="28"/>
  <c r="E52" i="28" s="1"/>
  <c r="E57" i="28" s="1"/>
  <c r="E70" i="28" s="1"/>
  <c r="E71" i="28" s="1"/>
  <c r="D50" i="2"/>
  <c r="D60" i="2" s="1"/>
  <c r="D73" i="2" s="1"/>
  <c r="D74" i="2" s="1"/>
  <c r="F70" i="28"/>
  <c r="F71" i="28" s="1"/>
  <c r="E37" i="23"/>
  <c r="E49" i="23" s="1"/>
  <c r="C75" i="2"/>
  <c r="D71" i="2" s="1"/>
  <c r="D72" i="2" s="1"/>
  <c r="C64" i="23"/>
  <c r="D60" i="23" s="1"/>
  <c r="D72" i="28"/>
  <c r="E68" i="28" s="1"/>
  <c r="C60" i="27"/>
  <c r="D56" i="27" s="1"/>
  <c r="E35" i="27"/>
  <c r="E45" i="27" s="1"/>
  <c r="E54" i="2"/>
  <c r="E50" i="2" s="1"/>
  <c r="D75" i="2" l="1"/>
  <c r="E71" i="2" s="1"/>
  <c r="C28" i="2" s="1"/>
  <c r="E69" i="28"/>
  <c r="D57" i="27"/>
  <c r="D60" i="27" s="1"/>
  <c r="D61" i="23"/>
  <c r="D64" i="23" s="1"/>
  <c r="E58" i="27"/>
  <c r="E62" i="23"/>
  <c r="E72" i="2" l="1"/>
  <c r="C32" i="2"/>
  <c r="C17" i="2" s="1"/>
  <c r="C18" i="2" s="1"/>
  <c r="C10" i="2" s="1"/>
  <c r="E56" i="27"/>
  <c r="C15" i="27" s="1"/>
  <c r="E60" i="23"/>
  <c r="C15" i="23" s="1"/>
  <c r="E72" i="28"/>
  <c r="F68" i="28" s="1"/>
  <c r="D32" i="28" s="1"/>
  <c r="E59" i="27"/>
  <c r="E63" i="23"/>
  <c r="C13" i="9" l="1"/>
  <c r="C16" i="9" s="1"/>
  <c r="F69" i="28"/>
  <c r="F72" i="28" s="1"/>
  <c r="E61" i="23"/>
  <c r="E64" i="23" s="1"/>
  <c r="C17" i="23"/>
  <c r="C10" i="23" s="1"/>
  <c r="C11" i="23" s="1"/>
  <c r="E57" i="27"/>
  <c r="C17" i="27" s="1"/>
  <c r="C10" i="27" s="1"/>
  <c r="C11" i="27" s="1"/>
  <c r="E60" i="27" l="1"/>
  <c r="I28" i="28" l="1"/>
  <c r="I30" i="28" s="1"/>
  <c r="D33" i="28"/>
  <c r="D26" i="28" s="1"/>
  <c r="D27" i="28" s="1"/>
  <c r="L11" i="28" l="1"/>
  <c r="L10" i="28"/>
  <c r="L8" i="28"/>
  <c r="L9" i="28"/>
  <c r="M19" i="30" l="1"/>
  <c r="AP19" i="30" s="1"/>
  <c r="BC19" i="5"/>
  <c r="K21" i="30"/>
  <c r="AN21" i="30" s="1"/>
  <c r="BA21" i="5"/>
  <c r="J23" i="30"/>
  <c r="AM23" i="30" s="1"/>
  <c r="AZ23" i="5"/>
  <c r="G19" i="30"/>
  <c r="AJ19" i="30" s="1"/>
  <c r="AW19" i="5"/>
  <c r="N19" i="30"/>
  <c r="AQ19" i="30" s="1"/>
  <c r="BD19" i="5"/>
  <c r="M21" i="30"/>
  <c r="AP21" i="30" s="1"/>
  <c r="BC21" i="5"/>
  <c r="K23" i="30"/>
  <c r="AN23" i="30" s="1"/>
  <c r="BA23" i="5"/>
  <c r="J19" i="30"/>
  <c r="AM19" i="30" s="1"/>
  <c r="AZ19" i="5"/>
  <c r="G21" i="30"/>
  <c r="AJ21" i="30" s="1"/>
  <c r="AW21" i="5"/>
  <c r="N21" i="30"/>
  <c r="AQ21" i="30" s="1"/>
  <c r="BD21" i="5"/>
  <c r="M23" i="30"/>
  <c r="AP23" i="30" s="1"/>
  <c r="BC23" i="5"/>
  <c r="K19" i="30"/>
  <c r="AN19" i="30" s="1"/>
  <c r="BA19" i="5"/>
  <c r="J21" i="30"/>
  <c r="AM21" i="30" s="1"/>
  <c r="AZ21" i="5"/>
  <c r="G23" i="30"/>
  <c r="AJ23" i="30" s="1"/>
  <c r="AW23" i="5"/>
  <c r="N23" i="30"/>
  <c r="AQ23" i="30" s="1"/>
  <c r="BD23" i="5"/>
  <c r="O30" i="30" l="1"/>
  <c r="AR30" i="30" s="1"/>
  <c r="BE30" i="5"/>
  <c r="G30" i="30"/>
  <c r="AJ30" i="30" s="1"/>
  <c r="AW30" i="5"/>
  <c r="J29" i="30"/>
  <c r="AM29" i="30" s="1"/>
  <c r="AZ29" i="5"/>
  <c r="J30" i="30"/>
  <c r="AM30" i="30" s="1"/>
  <c r="AZ30" i="5"/>
  <c r="O29" i="30"/>
  <c r="AR29" i="30" s="1"/>
  <c r="BE29" i="5"/>
  <c r="G29" i="30"/>
  <c r="AJ29" i="30" s="1"/>
  <c r="AW29" i="5"/>
  <c r="P29" i="30"/>
  <c r="AS29" i="30" s="1"/>
  <c r="BF29" i="5"/>
  <c r="P30" i="30"/>
  <c r="AS30" i="30" s="1"/>
  <c r="BF30" i="5"/>
  <c r="E6" i="30" l="1"/>
  <c r="AH6" i="30" s="1"/>
  <c r="AU6" i="5"/>
  <c r="D7" i="30"/>
  <c r="AG7" i="30" s="1"/>
  <c r="AT7" i="5"/>
  <c r="G8" i="30"/>
  <c r="AJ8" i="30" s="1"/>
  <c r="AW8" i="5"/>
  <c r="K8" i="30"/>
  <c r="AN8" i="30" s="1"/>
  <c r="BA8" i="5"/>
  <c r="O8" i="30"/>
  <c r="AR8" i="30" s="1"/>
  <c r="BE8" i="5"/>
  <c r="M10" i="30"/>
  <c r="AP10" i="30" s="1"/>
  <c r="BC10" i="5"/>
  <c r="D11" i="30"/>
  <c r="AG11" i="30" s="1"/>
  <c r="AT11" i="5"/>
  <c r="H11" i="30"/>
  <c r="AK11" i="30" s="1"/>
  <c r="AX11" i="5"/>
  <c r="L11" i="30"/>
  <c r="AO11" i="30" s="1"/>
  <c r="BB11" i="5"/>
  <c r="P11" i="30"/>
  <c r="AS11" i="30" s="1"/>
  <c r="BF11" i="5"/>
  <c r="I14" i="30"/>
  <c r="AL14" i="30" s="1"/>
  <c r="AY14" i="5"/>
  <c r="M14" i="30"/>
  <c r="AP14" i="30" s="1"/>
  <c r="BC14" i="5"/>
  <c r="D15" i="30"/>
  <c r="AG15" i="30" s="1"/>
  <c r="AT15" i="5"/>
  <c r="G20" i="30"/>
  <c r="AJ20" i="30" s="1"/>
  <c r="AW20" i="5"/>
  <c r="K20" i="30"/>
  <c r="AN20" i="30" s="1"/>
  <c r="BA20" i="5"/>
  <c r="O20" i="30"/>
  <c r="AR20" i="30" s="1"/>
  <c r="BE20" i="5"/>
  <c r="F21" i="30"/>
  <c r="AI21" i="30" s="1"/>
  <c r="AV21" i="5"/>
  <c r="P23" i="30"/>
  <c r="AS23" i="30" s="1"/>
  <c r="BF23" i="5"/>
  <c r="E26" i="30"/>
  <c r="AH26" i="30" s="1"/>
  <c r="AU26" i="5"/>
  <c r="I26" i="30"/>
  <c r="AL26" i="30" s="1"/>
  <c r="AY26" i="5"/>
  <c r="M26" i="30"/>
  <c r="AP26" i="30" s="1"/>
  <c r="BC26" i="5"/>
  <c r="D27" i="30"/>
  <c r="AG27" i="30" s="1"/>
  <c r="AT27" i="5"/>
  <c r="H27" i="30"/>
  <c r="AK27" i="30" s="1"/>
  <c r="AX27" i="5"/>
  <c r="P27" i="30"/>
  <c r="AS27" i="30" s="1"/>
  <c r="BF27" i="5"/>
  <c r="G28" i="30"/>
  <c r="AJ28" i="30" s="1"/>
  <c r="AW28" i="5"/>
  <c r="K28" i="30"/>
  <c r="AN28" i="30" s="1"/>
  <c r="BA28" i="5"/>
  <c r="O28" i="30"/>
  <c r="AR28" i="30" s="1"/>
  <c r="BE28" i="5"/>
  <c r="N29" i="30"/>
  <c r="AQ29" i="30" s="1"/>
  <c r="BD29" i="5"/>
  <c r="L21" i="30"/>
  <c r="AO21" i="30" s="1"/>
  <c r="BB21" i="5"/>
  <c r="E22" i="30"/>
  <c r="AH22" i="30" s="1"/>
  <c r="AU22" i="5"/>
  <c r="I22" i="30"/>
  <c r="AL22" i="30" s="1"/>
  <c r="AY22" i="5"/>
  <c r="M22" i="30"/>
  <c r="AP22" i="30" s="1"/>
  <c r="BC22" i="5"/>
  <c r="D23" i="30"/>
  <c r="AG23" i="30" s="1"/>
  <c r="AT23" i="5"/>
  <c r="H23" i="30"/>
  <c r="AK23" i="30" s="1"/>
  <c r="AX23" i="5"/>
  <c r="K6" i="30"/>
  <c r="AN6" i="30" s="1"/>
  <c r="BA6" i="5"/>
  <c r="O6" i="30"/>
  <c r="AR6" i="30" s="1"/>
  <c r="BE6" i="5"/>
  <c r="E8" i="30"/>
  <c r="AH8" i="30" s="1"/>
  <c r="AU8" i="5"/>
  <c r="O10" i="30"/>
  <c r="AR10" i="30" s="1"/>
  <c r="BE10" i="5"/>
  <c r="F11" i="30"/>
  <c r="AI11" i="30" s="1"/>
  <c r="AV11" i="5"/>
  <c r="O14" i="30"/>
  <c r="AR14" i="30" s="1"/>
  <c r="BE14" i="5"/>
  <c r="D17" i="30"/>
  <c r="AG17" i="30" s="1"/>
  <c r="AT17" i="5"/>
  <c r="I20" i="30"/>
  <c r="AL20" i="30" s="1"/>
  <c r="AY20" i="5"/>
  <c r="D21" i="30"/>
  <c r="AG21" i="30" s="1"/>
  <c r="AT21" i="5"/>
  <c r="K26" i="30"/>
  <c r="AN26" i="30" s="1"/>
  <c r="BA26" i="5"/>
  <c r="O26" i="30"/>
  <c r="AR26" i="30" s="1"/>
  <c r="BE26" i="5"/>
  <c r="F27" i="30"/>
  <c r="AI27" i="30" s="1"/>
  <c r="AV27" i="5"/>
  <c r="J27" i="30"/>
  <c r="AM27" i="30" s="1"/>
  <c r="AZ27" i="5"/>
  <c r="N27" i="30"/>
  <c r="AQ27" i="30" s="1"/>
  <c r="BD27" i="5"/>
  <c r="D10" i="30"/>
  <c r="AG10" i="30" s="1"/>
  <c r="AT10" i="5"/>
  <c r="H10" i="30"/>
  <c r="AK10" i="30" s="1"/>
  <c r="AX10" i="5"/>
  <c r="L10" i="30"/>
  <c r="AO10" i="30" s="1"/>
  <c r="BB10" i="5"/>
  <c r="P10" i="30"/>
  <c r="AS10" i="30" s="1"/>
  <c r="BF10" i="5"/>
  <c r="D14" i="30"/>
  <c r="AG14" i="30" s="1"/>
  <c r="AT14" i="5"/>
  <c r="H14" i="30"/>
  <c r="AK14" i="30" s="1"/>
  <c r="AX14" i="5"/>
  <c r="L14" i="30"/>
  <c r="AO14" i="30" s="1"/>
  <c r="BB14" i="5"/>
  <c r="P14" i="30"/>
  <c r="AS14" i="30" s="1"/>
  <c r="BF14" i="5"/>
  <c r="F20" i="30"/>
  <c r="AI20" i="30" s="1"/>
  <c r="AV20" i="5"/>
  <c r="J20" i="30"/>
  <c r="AM20" i="30" s="1"/>
  <c r="AZ20" i="5"/>
  <c r="N20" i="30"/>
  <c r="AQ20" i="30" s="1"/>
  <c r="BD20" i="5"/>
  <c r="E21" i="30"/>
  <c r="AH21" i="30" s="1"/>
  <c r="AU21" i="5"/>
  <c r="I21" i="30"/>
  <c r="AL21" i="30" s="1"/>
  <c r="AY21" i="5"/>
  <c r="P21" i="30"/>
  <c r="AS21" i="30" s="1"/>
  <c r="BF21" i="5"/>
  <c r="G22" i="30"/>
  <c r="AJ22" i="30" s="1"/>
  <c r="AW22" i="5"/>
  <c r="K22" i="30"/>
  <c r="AN22" i="30" s="1"/>
  <c r="BA22" i="5"/>
  <c r="O22" i="30"/>
  <c r="AR22" i="30" s="1"/>
  <c r="BE22" i="5"/>
  <c r="F23" i="30"/>
  <c r="AI23" i="30" s="1"/>
  <c r="AV23" i="5"/>
  <c r="D26" i="30"/>
  <c r="AG26" i="30" s="1"/>
  <c r="AT26" i="5"/>
  <c r="H26" i="30"/>
  <c r="AK26" i="30" s="1"/>
  <c r="AX26" i="5"/>
  <c r="L26" i="30"/>
  <c r="AO26" i="30" s="1"/>
  <c r="BB26" i="5"/>
  <c r="P26" i="30"/>
  <c r="AS26" i="30" s="1"/>
  <c r="BF26" i="5"/>
  <c r="M30" i="30"/>
  <c r="AP30" i="30" s="1"/>
  <c r="BC30" i="5"/>
  <c r="N28" i="30" l="1"/>
  <c r="AQ28" i="30" s="1"/>
  <c r="BD28" i="5"/>
  <c r="F28" i="30"/>
  <c r="AI28" i="30" s="1"/>
  <c r="AV28" i="5"/>
  <c r="K27" i="30"/>
  <c r="AN27" i="30" s="1"/>
  <c r="BA27" i="5"/>
  <c r="O23" i="30"/>
  <c r="AR23" i="30" s="1"/>
  <c r="BE23" i="5"/>
  <c r="D18" i="30"/>
  <c r="AG18" i="30" s="1"/>
  <c r="AT18" i="5"/>
  <c r="K11" i="30"/>
  <c r="AN11" i="30" s="1"/>
  <c r="BA11" i="5"/>
  <c r="N8" i="30"/>
  <c r="AQ8" i="30" s="1"/>
  <c r="BD8" i="5"/>
  <c r="F8" i="30"/>
  <c r="AI8" i="30" s="1"/>
  <c r="AV8" i="5"/>
  <c r="L6" i="30"/>
  <c r="AO6" i="30" s="1"/>
  <c r="BB6" i="5"/>
  <c r="D6" i="30"/>
  <c r="AG6" i="30" s="1"/>
  <c r="AT6" i="5"/>
  <c r="M28" i="30"/>
  <c r="AP28" i="30" s="1"/>
  <c r="BC28" i="5"/>
  <c r="E28" i="30"/>
  <c r="AH28" i="30" s="1"/>
  <c r="AU28" i="5"/>
  <c r="G26" i="30"/>
  <c r="AJ26" i="30" s="1"/>
  <c r="AW26" i="5"/>
  <c r="I23" i="30"/>
  <c r="AL23" i="30" s="1"/>
  <c r="AY23" i="5"/>
  <c r="N22" i="30"/>
  <c r="AQ22" i="30" s="1"/>
  <c r="BD22" i="5"/>
  <c r="F22" i="30"/>
  <c r="AI22" i="30" s="1"/>
  <c r="AV22" i="5"/>
  <c r="H21" i="30"/>
  <c r="AK21" i="30" s="1"/>
  <c r="AX21" i="5"/>
  <c r="M20" i="30"/>
  <c r="AP20" i="30" s="1"/>
  <c r="BC20" i="5"/>
  <c r="E20" i="30"/>
  <c r="AH20" i="30" s="1"/>
  <c r="AU20" i="5"/>
  <c r="K14" i="30"/>
  <c r="AN14" i="30" s="1"/>
  <c r="BA14" i="5"/>
  <c r="D13" i="30"/>
  <c r="AG13" i="30" s="1"/>
  <c r="AT13" i="5"/>
  <c r="J11" i="30"/>
  <c r="AM11" i="30" s="1"/>
  <c r="AZ11" i="5"/>
  <c r="G10" i="30"/>
  <c r="AJ10" i="30" s="1"/>
  <c r="AW10" i="5"/>
  <c r="M8" i="30"/>
  <c r="AP8" i="30" s="1"/>
  <c r="BC8" i="5"/>
  <c r="D30" i="30"/>
  <c r="AG30" i="30" s="1"/>
  <c r="AT30" i="5"/>
  <c r="L28" i="30"/>
  <c r="AO28" i="30" s="1"/>
  <c r="BB28" i="5"/>
  <c r="D28" i="30"/>
  <c r="AG28" i="30" s="1"/>
  <c r="AT28" i="5"/>
  <c r="I27" i="30"/>
  <c r="AL27" i="30" s="1"/>
  <c r="AY27" i="5"/>
  <c r="N26" i="30"/>
  <c r="AQ26" i="30" s="1"/>
  <c r="BD26" i="5"/>
  <c r="F26" i="30"/>
  <c r="AI26" i="30" s="1"/>
  <c r="AV26" i="5"/>
  <c r="P20" i="30"/>
  <c r="AS20" i="30" s="1"/>
  <c r="BF20" i="5"/>
  <c r="H20" i="30"/>
  <c r="AK20" i="30" s="1"/>
  <c r="AX20" i="5"/>
  <c r="I19" i="30"/>
  <c r="AL19" i="30" s="1"/>
  <c r="AY19" i="5"/>
  <c r="D16" i="30"/>
  <c r="AG16" i="30" s="1"/>
  <c r="AT16" i="5"/>
  <c r="J14" i="30"/>
  <c r="AM14" i="30" s="1"/>
  <c r="AZ14" i="5"/>
  <c r="D12" i="30"/>
  <c r="AG12" i="30" s="1"/>
  <c r="AT12" i="5"/>
  <c r="I11" i="30"/>
  <c r="AL11" i="30" s="1"/>
  <c r="AY11" i="5"/>
  <c r="N10" i="30"/>
  <c r="AQ10" i="30" s="1"/>
  <c r="BD10" i="5"/>
  <c r="F10" i="30"/>
  <c r="AI10" i="30" s="1"/>
  <c r="AV10" i="5"/>
  <c r="L8" i="30"/>
  <c r="AO8" i="30" s="1"/>
  <c r="BB8" i="5"/>
  <c r="D8" i="30"/>
  <c r="AG8" i="30" s="1"/>
  <c r="AT8" i="5"/>
  <c r="J6" i="30"/>
  <c r="AM6" i="30" s="1"/>
  <c r="AZ6" i="5"/>
  <c r="N30" i="30"/>
  <c r="AQ30" i="30" s="1"/>
  <c r="BD30" i="5"/>
  <c r="L27" i="30"/>
  <c r="AO27" i="30" s="1"/>
  <c r="BB27" i="5"/>
  <c r="P22" i="30"/>
  <c r="AS22" i="30" s="1"/>
  <c r="BF22" i="5"/>
  <c r="H22" i="30"/>
  <c r="AK22" i="30" s="1"/>
  <c r="AX22" i="5"/>
  <c r="P19" i="30"/>
  <c r="AS19" i="30" s="1"/>
  <c r="BF19" i="5"/>
  <c r="H19" i="30"/>
  <c r="AK19" i="30" s="1"/>
  <c r="AX19" i="5"/>
  <c r="E10" i="30"/>
  <c r="AH10" i="30" s="1"/>
  <c r="AU10" i="5"/>
  <c r="I6" i="30"/>
  <c r="AL6" i="30" s="1"/>
  <c r="AY6" i="5"/>
  <c r="M29" i="30"/>
  <c r="AP29" i="30" s="1"/>
  <c r="BC29" i="5"/>
  <c r="J28" i="30"/>
  <c r="AM28" i="30" s="1"/>
  <c r="AZ28" i="5"/>
  <c r="O27" i="30"/>
  <c r="AR27" i="30" s="1"/>
  <c r="BE27" i="5"/>
  <c r="G27" i="30"/>
  <c r="AJ27" i="30" s="1"/>
  <c r="AW27" i="5"/>
  <c r="O19" i="30"/>
  <c r="AR19" i="30" s="1"/>
  <c r="BE19" i="5"/>
  <c r="O11" i="30"/>
  <c r="AR11" i="30" s="1"/>
  <c r="BE11" i="5"/>
  <c r="G11" i="30"/>
  <c r="AJ11" i="30" s="1"/>
  <c r="AW11" i="5"/>
  <c r="J8" i="30"/>
  <c r="AM8" i="30" s="1"/>
  <c r="AZ8" i="5"/>
  <c r="P6" i="30"/>
  <c r="AS6" i="30" s="1"/>
  <c r="BF6" i="5"/>
  <c r="H6" i="30"/>
  <c r="AK6" i="30" s="1"/>
  <c r="AX6" i="5"/>
  <c r="D29" i="30"/>
  <c r="AG29" i="30" s="1"/>
  <c r="AT29" i="5"/>
  <c r="BG29" i="5" s="1"/>
  <c r="F62" i="9" s="1"/>
  <c r="I28" i="30"/>
  <c r="AL28" i="30" s="1"/>
  <c r="AY28" i="5"/>
  <c r="D25" i="30"/>
  <c r="AG25" i="30" s="1"/>
  <c r="AT25" i="5"/>
  <c r="E23" i="30"/>
  <c r="AH23" i="30" s="1"/>
  <c r="AU23" i="5"/>
  <c r="J22" i="30"/>
  <c r="AM22" i="30" s="1"/>
  <c r="AZ22" i="5"/>
  <c r="O21" i="30"/>
  <c r="AR21" i="30" s="1"/>
  <c r="AT21" i="30" s="1" a="1"/>
  <c r="AT21" i="30" s="1"/>
  <c r="BE21" i="5"/>
  <c r="F19" i="30"/>
  <c r="AI19" i="30" s="1"/>
  <c r="AV19" i="5"/>
  <c r="G14" i="30"/>
  <c r="AJ14" i="30" s="1"/>
  <c r="AW14" i="5"/>
  <c r="N11" i="30"/>
  <c r="AQ11" i="30" s="1"/>
  <c r="BD11" i="5"/>
  <c r="K10" i="30"/>
  <c r="AN10" i="30" s="1"/>
  <c r="BA10" i="5"/>
  <c r="D9" i="30"/>
  <c r="AG9" i="30" s="1"/>
  <c r="AT9" i="5"/>
  <c r="I8" i="30"/>
  <c r="AL8" i="30" s="1"/>
  <c r="AY8" i="5"/>
  <c r="G6" i="30"/>
  <c r="AJ6" i="30" s="1"/>
  <c r="AW6" i="5"/>
  <c r="P28" i="30"/>
  <c r="AS28" i="30" s="1"/>
  <c r="BF28" i="5"/>
  <c r="H28" i="30"/>
  <c r="AK28" i="30" s="1"/>
  <c r="AX28" i="5"/>
  <c r="M27" i="30"/>
  <c r="AP27" i="30" s="1"/>
  <c r="BC27" i="5"/>
  <c r="E27" i="30"/>
  <c r="AH27" i="30" s="1"/>
  <c r="AU27" i="5"/>
  <c r="J26" i="30"/>
  <c r="AM26" i="30" s="1"/>
  <c r="AZ26" i="5"/>
  <c r="D24" i="30"/>
  <c r="AG24" i="30" s="1"/>
  <c r="AT24" i="5"/>
  <c r="L20" i="30"/>
  <c r="AO20" i="30" s="1"/>
  <c r="BB20" i="5"/>
  <c r="D20" i="30"/>
  <c r="AG20" i="30" s="1"/>
  <c r="AT20" i="5"/>
  <c r="E19" i="30"/>
  <c r="AH19" i="30" s="1"/>
  <c r="AU19" i="5"/>
  <c r="N14" i="30"/>
  <c r="AQ14" i="30" s="1"/>
  <c r="BD14" i="5"/>
  <c r="F14" i="30"/>
  <c r="AI14" i="30" s="1"/>
  <c r="AV14" i="5"/>
  <c r="M11" i="30"/>
  <c r="AP11" i="30" s="1"/>
  <c r="BC11" i="5"/>
  <c r="E11" i="30"/>
  <c r="AH11" i="30" s="1"/>
  <c r="AU11" i="5"/>
  <c r="J10" i="30"/>
  <c r="AM10" i="30" s="1"/>
  <c r="AZ10" i="5"/>
  <c r="P8" i="30"/>
  <c r="AS8" i="30" s="1"/>
  <c r="BF8" i="5"/>
  <c r="H8" i="30"/>
  <c r="AK8" i="30" s="1"/>
  <c r="AX8" i="5"/>
  <c r="N6" i="30"/>
  <c r="AQ6" i="30" s="1"/>
  <c r="BD6" i="5"/>
  <c r="F6" i="30"/>
  <c r="AI6" i="30" s="1"/>
  <c r="AV6" i="5"/>
  <c r="L23" i="30"/>
  <c r="AO23" i="30" s="1"/>
  <c r="BB23" i="5"/>
  <c r="L22" i="30"/>
  <c r="AO22" i="30" s="1"/>
  <c r="BB22" i="5"/>
  <c r="D22" i="30"/>
  <c r="AG22" i="30" s="1"/>
  <c r="AT22" i="5"/>
  <c r="L19" i="30"/>
  <c r="AO19" i="30" s="1"/>
  <c r="BB19" i="5"/>
  <c r="D19" i="30"/>
  <c r="AG19" i="30" s="1"/>
  <c r="AT19" i="5"/>
  <c r="E14" i="30"/>
  <c r="AH14" i="30" s="1"/>
  <c r="AU14" i="5"/>
  <c r="I10" i="30"/>
  <c r="AL10" i="30" s="1"/>
  <c r="AY10" i="5"/>
  <c r="M6" i="30"/>
  <c r="AP6" i="30" s="1"/>
  <c r="BC6" i="5"/>
  <c r="AT23" i="30" a="1"/>
  <c r="AT23" i="30" s="1"/>
  <c r="BG21" i="5" l="1"/>
  <c r="F54" i="9" s="1"/>
  <c r="BG26" i="5"/>
  <c r="F59" i="9" s="1"/>
  <c r="BG23" i="5"/>
  <c r="F56" i="9" s="1"/>
  <c r="D26" i="9" s="1"/>
  <c r="E26" i="9" s="1"/>
  <c r="F26" i="9" s="1"/>
  <c r="AT11" i="30" a="1"/>
  <c r="AT11" i="30" s="1"/>
  <c r="AT14" i="30" a="1"/>
  <c r="AT14" i="30" s="1"/>
  <c r="AT10" i="30" a="1"/>
  <c r="AT10" i="30" s="1"/>
  <c r="AT27" i="30" a="1"/>
  <c r="AT27" i="30" s="1"/>
  <c r="BG10" i="5"/>
  <c r="F43" i="9" s="1"/>
  <c r="BG11" i="5"/>
  <c r="F44" i="9" s="1"/>
  <c r="AT19" i="30" a="1"/>
  <c r="AT19" i="30" s="1"/>
  <c r="BG27" i="5"/>
  <c r="F60" i="9" s="1"/>
  <c r="AT29" i="30" a="1"/>
  <c r="AT29" i="30" s="1"/>
  <c r="BG14" i="5"/>
  <c r="F47" i="9" s="1"/>
  <c r="BG20" i="5"/>
  <c r="F53" i="9" s="1"/>
  <c r="AT26" i="30" a="1"/>
  <c r="AT26" i="30" s="1"/>
  <c r="BG19" i="5"/>
  <c r="F52" i="9" s="1"/>
  <c r="BG22" i="5"/>
  <c r="F55" i="9" s="1"/>
  <c r="AT8" i="30" a="1"/>
  <c r="AT8" i="30" s="1"/>
  <c r="AT28" i="30" a="1"/>
  <c r="AT28" i="30" s="1"/>
  <c r="AT30" i="30" a="1"/>
  <c r="AT30" i="30" s="1"/>
  <c r="AT6" i="30" a="1"/>
  <c r="AT6" i="30" s="1"/>
  <c r="AT22" i="30" a="1"/>
  <c r="AT22" i="30" s="1"/>
  <c r="D25" i="9"/>
  <c r="E25" i="9" s="1"/>
  <c r="F25" i="9" s="1"/>
  <c r="AT20" i="30" a="1"/>
  <c r="AT20" i="30" s="1"/>
  <c r="BG8" i="5"/>
  <c r="F41" i="9" s="1"/>
  <c r="BG28" i="5"/>
  <c r="F61" i="9" s="1"/>
  <c r="BG30" i="5"/>
  <c r="F63" i="9" s="1"/>
  <c r="AT66" i="5"/>
  <c r="BG6" i="5"/>
  <c r="F39" i="9" l="1"/>
  <c r="J24" i="30" l="1"/>
  <c r="AM24" i="30" s="1"/>
  <c r="AZ24" i="5"/>
  <c r="M24" i="30"/>
  <c r="AP24" i="30" s="1"/>
  <c r="BC24" i="5"/>
  <c r="H24" i="30"/>
  <c r="AK24" i="30" s="1"/>
  <c r="AX24" i="5"/>
  <c r="L9" i="30"/>
  <c r="AO9" i="30" s="1"/>
  <c r="BB9" i="5"/>
  <c r="P9" i="30"/>
  <c r="AS9" i="30" s="1"/>
  <c r="BF9" i="5"/>
  <c r="G9" i="30"/>
  <c r="AJ9" i="30" s="1"/>
  <c r="AW9" i="5"/>
  <c r="H25" i="30"/>
  <c r="AK25" i="30" s="1"/>
  <c r="AX25" i="5"/>
  <c r="M25" i="30"/>
  <c r="AP25" i="30" s="1"/>
  <c r="BC25" i="5"/>
  <c r="N25" i="30"/>
  <c r="AQ25" i="30" s="1"/>
  <c r="BD25" i="5"/>
  <c r="G7" i="30"/>
  <c r="AJ7" i="30" s="1"/>
  <c r="AW7" i="5"/>
  <c r="H7" i="30"/>
  <c r="AK7" i="30" s="1"/>
  <c r="AX7" i="5"/>
  <c r="I7" i="30"/>
  <c r="AL7" i="30" s="1"/>
  <c r="AY7" i="5"/>
  <c r="N24" i="30"/>
  <c r="AQ24" i="30" s="1"/>
  <c r="BD24" i="5"/>
  <c r="G24" i="30"/>
  <c r="AJ24" i="30" s="1"/>
  <c r="AW24" i="5"/>
  <c r="L24" i="30"/>
  <c r="AO24" i="30" s="1"/>
  <c r="BB24" i="5"/>
  <c r="E9" i="30"/>
  <c r="AH9" i="30" s="1"/>
  <c r="AU9" i="5"/>
  <c r="F9" i="30"/>
  <c r="AI9" i="30" s="1"/>
  <c r="AV9" i="5"/>
  <c r="K9" i="30"/>
  <c r="AN9" i="30" s="1"/>
  <c r="BA9" i="5"/>
  <c r="L25" i="30"/>
  <c r="AO25" i="30" s="1"/>
  <c r="BB25" i="5"/>
  <c r="P25" i="30"/>
  <c r="AS25" i="30" s="1"/>
  <c r="BF25" i="5"/>
  <c r="G25" i="30"/>
  <c r="AJ25" i="30" s="1"/>
  <c r="AW25" i="5"/>
  <c r="K7" i="30"/>
  <c r="AN7" i="30" s="1"/>
  <c r="BA7" i="5"/>
  <c r="L7" i="30"/>
  <c r="AO7" i="30" s="1"/>
  <c r="BB7" i="5"/>
  <c r="M7" i="30"/>
  <c r="AP7" i="30" s="1"/>
  <c r="BC7" i="5"/>
  <c r="E24" i="30"/>
  <c r="AH24" i="30" s="1"/>
  <c r="AU24" i="5"/>
  <c r="K24" i="30"/>
  <c r="AN24" i="30" s="1"/>
  <c r="BA24" i="5"/>
  <c r="P24" i="30"/>
  <c r="AS24" i="30" s="1"/>
  <c r="BF24" i="5"/>
  <c r="I9" i="30"/>
  <c r="AL9" i="30" s="1"/>
  <c r="AY9" i="5"/>
  <c r="J9" i="30"/>
  <c r="AM9" i="30" s="1"/>
  <c r="AZ9" i="5"/>
  <c r="O9" i="30"/>
  <c r="AR9" i="30" s="1"/>
  <c r="BE9" i="5"/>
  <c r="E25" i="30"/>
  <c r="AH25" i="30" s="1"/>
  <c r="AU25" i="5"/>
  <c r="F25" i="30"/>
  <c r="AI25" i="30" s="1"/>
  <c r="AV25" i="5"/>
  <c r="K25" i="30"/>
  <c r="AN25" i="30" s="1"/>
  <c r="BA25" i="5"/>
  <c r="F7" i="30"/>
  <c r="AI7" i="30" s="1"/>
  <c r="AV7" i="5"/>
  <c r="O7" i="30"/>
  <c r="AR7" i="30" s="1"/>
  <c r="BE7" i="5"/>
  <c r="P7" i="30"/>
  <c r="AS7" i="30" s="1"/>
  <c r="BF7" i="5"/>
  <c r="F24" i="30"/>
  <c r="AI24" i="30" s="1"/>
  <c r="AV24" i="5"/>
  <c r="I24" i="30"/>
  <c r="AL24" i="30" s="1"/>
  <c r="AY24" i="5"/>
  <c r="O24" i="30"/>
  <c r="AR24" i="30" s="1"/>
  <c r="BE24" i="5"/>
  <c r="H9" i="30"/>
  <c r="AK9" i="30" s="1"/>
  <c r="AX9" i="5"/>
  <c r="M9" i="30"/>
  <c r="AP9" i="30" s="1"/>
  <c r="BC9" i="5"/>
  <c r="N9" i="30"/>
  <c r="AQ9" i="30" s="1"/>
  <c r="BD9" i="5"/>
  <c r="I25" i="30"/>
  <c r="AL25" i="30" s="1"/>
  <c r="AY25" i="5"/>
  <c r="J25" i="30"/>
  <c r="AM25" i="30" s="1"/>
  <c r="AZ25" i="5"/>
  <c r="O25" i="30"/>
  <c r="AR25" i="30" s="1"/>
  <c r="BE25" i="5"/>
  <c r="N7" i="30"/>
  <c r="AQ7" i="30" s="1"/>
  <c r="BD7" i="5"/>
  <c r="J7" i="30"/>
  <c r="AM7" i="30" s="1"/>
  <c r="AZ7" i="5"/>
  <c r="E7" i="30"/>
  <c r="AH7" i="30" s="1"/>
  <c r="AU7" i="5"/>
  <c r="AT7" i="30" l="1" a="1"/>
  <c r="AT7" i="30" s="1"/>
  <c r="N17" i="30"/>
  <c r="AQ17" i="30" s="1"/>
  <c r="BD17" i="5"/>
  <c r="L17" i="30"/>
  <c r="AO17" i="30" s="1"/>
  <c r="BB17" i="5"/>
  <c r="M17" i="30"/>
  <c r="AP17" i="30" s="1"/>
  <c r="BC17" i="5"/>
  <c r="F17" i="30"/>
  <c r="AI17" i="30" s="1"/>
  <c r="AV17" i="5"/>
  <c r="P16" i="30"/>
  <c r="AS16" i="30" s="1"/>
  <c r="BF16" i="5"/>
  <c r="M16" i="30"/>
  <c r="AP16" i="30" s="1"/>
  <c r="BC16" i="5"/>
  <c r="O16" i="30"/>
  <c r="AR16" i="30" s="1"/>
  <c r="BE16" i="5"/>
  <c r="N13" i="30"/>
  <c r="AQ13" i="30" s="1"/>
  <c r="BD13" i="5"/>
  <c r="G13" i="30"/>
  <c r="AJ13" i="30" s="1"/>
  <c r="AW13" i="5"/>
  <c r="L13" i="30"/>
  <c r="AO13" i="30" s="1"/>
  <c r="BB13" i="5"/>
  <c r="H15" i="30"/>
  <c r="AK15" i="30" s="1"/>
  <c r="AX15" i="5"/>
  <c r="P15" i="30"/>
  <c r="AS15" i="30" s="1"/>
  <c r="BF15" i="5"/>
  <c r="N15" i="30"/>
  <c r="AQ15" i="30" s="1"/>
  <c r="BD15" i="5"/>
  <c r="H12" i="30"/>
  <c r="AK12" i="30" s="1"/>
  <c r="AX12" i="5"/>
  <c r="F12" i="30"/>
  <c r="AI12" i="30" s="1"/>
  <c r="AV12" i="5"/>
  <c r="I12" i="30"/>
  <c r="AL12" i="30" s="1"/>
  <c r="AY12" i="5"/>
  <c r="F18" i="30"/>
  <c r="AI18" i="30" s="1"/>
  <c r="AV18" i="5"/>
  <c r="E18" i="30"/>
  <c r="AH18" i="30" s="1"/>
  <c r="AU18" i="5"/>
  <c r="H18" i="30"/>
  <c r="AK18" i="30" s="1"/>
  <c r="AX18" i="5"/>
  <c r="BG7" i="5"/>
  <c r="BG9" i="5"/>
  <c r="F42" i="9" s="1"/>
  <c r="E17" i="30"/>
  <c r="AH17" i="30" s="1"/>
  <c r="AU17" i="5"/>
  <c r="J17" i="30"/>
  <c r="AM17" i="30" s="1"/>
  <c r="AZ17" i="5"/>
  <c r="I17" i="30"/>
  <c r="AL17" i="30" s="1"/>
  <c r="AY17" i="5"/>
  <c r="M13" i="30"/>
  <c r="AP13" i="30" s="1"/>
  <c r="BC13" i="5"/>
  <c r="J13" i="30"/>
  <c r="AM13" i="30" s="1"/>
  <c r="AZ13" i="5"/>
  <c r="K15" i="30"/>
  <c r="AN15" i="30" s="1"/>
  <c r="BA15" i="5"/>
  <c r="M15" i="30"/>
  <c r="AP15" i="30" s="1"/>
  <c r="BC15" i="5"/>
  <c r="L15" i="30"/>
  <c r="AO15" i="30" s="1"/>
  <c r="BB15" i="5"/>
  <c r="E12" i="30"/>
  <c r="AH12" i="30" s="1"/>
  <c r="AU12" i="5"/>
  <c r="J12" i="30"/>
  <c r="AM12" i="30" s="1"/>
  <c r="AZ12" i="5"/>
  <c r="M12" i="30"/>
  <c r="AP12" i="30" s="1"/>
  <c r="BC12" i="5"/>
  <c r="K18" i="30"/>
  <c r="AN18" i="30" s="1"/>
  <c r="BA18" i="5"/>
  <c r="G18" i="30"/>
  <c r="AJ18" i="30" s="1"/>
  <c r="AW18" i="5"/>
  <c r="O18" i="30"/>
  <c r="AR18" i="30" s="1"/>
  <c r="BE18" i="5"/>
  <c r="AT9" i="30" a="1"/>
  <c r="AT9" i="30" s="1"/>
  <c r="H17" i="30"/>
  <c r="AK17" i="30" s="1"/>
  <c r="AX17" i="5"/>
  <c r="G17" i="30"/>
  <c r="AJ17" i="30" s="1"/>
  <c r="AW17" i="5"/>
  <c r="P17" i="30"/>
  <c r="AS17" i="30" s="1"/>
  <c r="BF17" i="5"/>
  <c r="K16" i="30"/>
  <c r="AN16" i="30" s="1"/>
  <c r="BA16" i="5"/>
  <c r="E13" i="30"/>
  <c r="AH13" i="30" s="1"/>
  <c r="AU13" i="5"/>
  <c r="P13" i="30"/>
  <c r="AS13" i="30" s="1"/>
  <c r="BF13" i="5"/>
  <c r="I13" i="30"/>
  <c r="AL13" i="30" s="1"/>
  <c r="AY13" i="5"/>
  <c r="I15" i="30"/>
  <c r="AL15" i="30" s="1"/>
  <c r="AY15" i="5"/>
  <c r="G15" i="30"/>
  <c r="AJ15" i="30" s="1"/>
  <c r="AW15" i="5"/>
  <c r="F15" i="30"/>
  <c r="AI15" i="30" s="1"/>
  <c r="AV15" i="5"/>
  <c r="K12" i="30"/>
  <c r="AN12" i="30" s="1"/>
  <c r="BA12" i="5"/>
  <c r="G12" i="30"/>
  <c r="AJ12" i="30" s="1"/>
  <c r="AW12" i="5"/>
  <c r="O12" i="30"/>
  <c r="AR12" i="30" s="1"/>
  <c r="BE12" i="5"/>
  <c r="M18" i="30"/>
  <c r="AP18" i="30" s="1"/>
  <c r="BC18" i="5"/>
  <c r="I18" i="30"/>
  <c r="AL18" i="30" s="1"/>
  <c r="AY18" i="5"/>
  <c r="L18" i="30"/>
  <c r="AO18" i="30" s="1"/>
  <c r="BB18" i="5"/>
  <c r="BG25" i="5"/>
  <c r="F58" i="9" s="1"/>
  <c r="BG24" i="5"/>
  <c r="F57" i="9" s="1"/>
  <c r="O17" i="30"/>
  <c r="AR17" i="30" s="1"/>
  <c r="BE17" i="5"/>
  <c r="K17" i="30"/>
  <c r="AN17" i="30" s="1"/>
  <c r="BA17" i="5"/>
  <c r="I16" i="30"/>
  <c r="AL16" i="30" s="1"/>
  <c r="AY16" i="5"/>
  <c r="H16" i="30"/>
  <c r="AK16" i="30" s="1"/>
  <c r="AX16" i="5"/>
  <c r="L16" i="30"/>
  <c r="AO16" i="30" s="1"/>
  <c r="BB16" i="5"/>
  <c r="K13" i="30"/>
  <c r="AN13" i="30" s="1"/>
  <c r="BA13" i="5"/>
  <c r="O13" i="30"/>
  <c r="AR13" i="30" s="1"/>
  <c r="BE13" i="5"/>
  <c r="F13" i="30"/>
  <c r="AI13" i="30" s="1"/>
  <c r="AV13" i="5"/>
  <c r="J15" i="30"/>
  <c r="AM15" i="30" s="1"/>
  <c r="AZ15" i="5"/>
  <c r="O15" i="30"/>
  <c r="AR15" i="30" s="1"/>
  <c r="BE15" i="5"/>
  <c r="E15" i="30"/>
  <c r="AH15" i="30" s="1"/>
  <c r="AU15" i="5"/>
  <c r="L12" i="30"/>
  <c r="AO12" i="30" s="1"/>
  <c r="BB12" i="5"/>
  <c r="P12" i="30"/>
  <c r="AS12" i="30" s="1"/>
  <c r="BF12" i="5"/>
  <c r="N12" i="30"/>
  <c r="AQ12" i="30" s="1"/>
  <c r="BD12" i="5"/>
  <c r="J18" i="30"/>
  <c r="AM18" i="30" s="1"/>
  <c r="AZ18" i="5"/>
  <c r="N18" i="30"/>
  <c r="AQ18" i="30" s="1"/>
  <c r="BD18" i="5"/>
  <c r="P18" i="30"/>
  <c r="AS18" i="30" s="1"/>
  <c r="BF18" i="5"/>
  <c r="AT25" i="30" a="1"/>
  <c r="AT25" i="30" s="1"/>
  <c r="AT24" i="30" a="1"/>
  <c r="AT24" i="30" s="1"/>
  <c r="BB66" i="5" l="1"/>
  <c r="AY66" i="5"/>
  <c r="BA66" i="5"/>
  <c r="BC66" i="5"/>
  <c r="BF66" i="5"/>
  <c r="BG15" i="5"/>
  <c r="F48" i="9" s="1"/>
  <c r="BE66" i="5"/>
  <c r="AT15" i="30" a="1"/>
  <c r="AT15" i="30" s="1"/>
  <c r="J16" i="30"/>
  <c r="AM16" i="30" s="1"/>
  <c r="AZ16" i="5"/>
  <c r="AZ66" i="5" s="1"/>
  <c r="N16" i="30"/>
  <c r="AQ16" i="30" s="1"/>
  <c r="BD16" i="5"/>
  <c r="BD66" i="5" s="1"/>
  <c r="BG18" i="5"/>
  <c r="F51" i="9" s="1"/>
  <c r="F40" i="9"/>
  <c r="AT18" i="30" a="1"/>
  <c r="AT18" i="30" s="1"/>
  <c r="BG12" i="5"/>
  <c r="F45" i="9" s="1"/>
  <c r="H13" i="30"/>
  <c r="AK13" i="30" s="1"/>
  <c r="AT13" i="30" s="1" a="1"/>
  <c r="AT13" i="30" s="1"/>
  <c r="AX13" i="5"/>
  <c r="AX66" i="5" s="1"/>
  <c r="E16" i="30"/>
  <c r="AH16" i="30" s="1"/>
  <c r="AU16" i="5"/>
  <c r="AU66" i="5" s="1"/>
  <c r="BG17" i="5"/>
  <c r="F50" i="9" s="1"/>
  <c r="G16" i="30"/>
  <c r="AJ16" i="30" s="1"/>
  <c r="AW16" i="5"/>
  <c r="AW66" i="5" s="1"/>
  <c r="F16" i="30"/>
  <c r="AI16" i="30" s="1"/>
  <c r="AV16" i="5"/>
  <c r="AV66" i="5" s="1"/>
  <c r="AT12" i="30" a="1"/>
  <c r="AT12" i="30" s="1"/>
  <c r="AT17" i="30" a="1"/>
  <c r="AT17" i="30" s="1"/>
  <c r="BG13" i="5" l="1"/>
  <c r="F46" i="9" s="1"/>
  <c r="BG16" i="5"/>
  <c r="F49" i="9" s="1"/>
  <c r="D24" i="9" s="1"/>
  <c r="E24" i="9" s="1"/>
  <c r="F24" i="9" s="1"/>
  <c r="D23" i="9"/>
  <c r="E23" i="9" s="1"/>
  <c r="F23" i="9" s="1"/>
  <c r="D22" i="9"/>
  <c r="AT16" i="30" a="1"/>
  <c r="AT16" i="30" s="1"/>
  <c r="E22" i="9" l="1"/>
  <c r="F22" i="9" s="1"/>
  <c r="F99" i="9"/>
  <c r="D34" i="9" s="1"/>
  <c r="BG66" i="5"/>
  <c r="C9" i="2" s="1"/>
  <c r="E47" i="2" l="1"/>
  <c r="E60" i="2" s="1"/>
  <c r="E73" i="2" s="1"/>
  <c r="C11" i="2"/>
  <c r="D35" i="9"/>
  <c r="E74" i="2" l="1"/>
  <c r="E75" i="2" s="1"/>
</calcChain>
</file>

<file path=xl/comments1.xml><?xml version="1.0" encoding="utf-8"?>
<comments xmlns="http://schemas.openxmlformats.org/spreadsheetml/2006/main">
  <authors>
    <author>Harrigan, Paul</author>
    <author>AER</author>
  </authors>
  <commentList>
    <comment ref="E32" authorId="0" shapeId="0">
      <text>
        <r>
          <rPr>
            <b/>
            <sz val="9"/>
            <color indexed="81"/>
            <rFont val="Tahoma"/>
            <family val="2"/>
          </rPr>
          <t>AER:</t>
        </r>
        <r>
          <rPr>
            <sz val="9"/>
            <color indexed="81"/>
            <rFont val="Tahoma"/>
            <family val="2"/>
          </rPr>
          <t xml:space="preserve">
Taken from previous year's pricing proposal.</t>
        </r>
      </text>
    </comment>
    <comment ref="D36" authorId="0" shapeId="0">
      <text>
        <r>
          <rPr>
            <b/>
            <sz val="9"/>
            <color indexed="81"/>
            <rFont val="Tahoma"/>
            <family val="2"/>
          </rPr>
          <t>AER:</t>
        </r>
        <r>
          <rPr>
            <sz val="9"/>
            <color indexed="81"/>
            <rFont val="Tahoma"/>
            <family val="2"/>
          </rPr>
          <t xml:space="preserve">
Taken from previous year's pricing proposal.
</t>
        </r>
        <r>
          <rPr>
            <b/>
            <sz val="9"/>
            <color indexed="81"/>
            <rFont val="Tahoma"/>
            <family val="2"/>
          </rPr>
          <t>UE:</t>
        </r>
        <r>
          <rPr>
            <sz val="9"/>
            <color indexed="81"/>
            <rFont val="Tahoma"/>
            <family val="2"/>
          </rPr>
          <t xml:space="preserve"> Corrected to link to previous year's ‘Adjusted Annual Smoothed Revenue for year t’ as opposed to ‘Total Annual Revenue for year t’.</t>
        </r>
      </text>
    </comment>
    <comment ref="D49" authorId="1" shapeId="0">
      <text>
        <r>
          <rPr>
            <b/>
            <sz val="9"/>
            <color indexed="81"/>
            <rFont val="Tahoma"/>
            <family val="2"/>
          </rPr>
          <t>AER:</t>
        </r>
        <r>
          <rPr>
            <sz val="9"/>
            <color indexed="81"/>
            <rFont val="Tahoma"/>
            <family val="2"/>
          </rPr>
          <t xml:space="preserve">
T-2 Annual RIN</t>
        </r>
      </text>
    </comment>
    <comment ref="D53" authorId="0" shapeId="0">
      <text>
        <r>
          <rPr>
            <b/>
            <sz val="9"/>
            <color indexed="81"/>
            <rFont val="Tahoma"/>
            <family val="2"/>
          </rPr>
          <t>AER:</t>
        </r>
        <r>
          <rPr>
            <sz val="9"/>
            <color indexed="81"/>
            <rFont val="Tahoma"/>
            <family val="2"/>
          </rPr>
          <t xml:space="preserve">
Taken from previous year's pricing proposal.</t>
        </r>
      </text>
    </comment>
    <comment ref="D54" authorId="0" shapeId="0">
      <text>
        <r>
          <rPr>
            <b/>
            <sz val="9"/>
            <color indexed="81"/>
            <rFont val="Tahoma"/>
            <family val="2"/>
          </rPr>
          <t>AER:</t>
        </r>
        <r>
          <rPr>
            <sz val="9"/>
            <color indexed="81"/>
            <rFont val="Tahoma"/>
            <family val="2"/>
          </rPr>
          <t xml:space="preserve">
Taken from previous year's pricing proposal.</t>
        </r>
      </text>
    </comment>
    <comment ref="D68" authorId="0" shapeId="0">
      <text>
        <r>
          <rPr>
            <b/>
            <sz val="9"/>
            <color indexed="81"/>
            <rFont val="Tahoma"/>
            <family val="2"/>
          </rPr>
          <t>AER:</t>
        </r>
        <r>
          <rPr>
            <sz val="9"/>
            <color indexed="81"/>
            <rFont val="Tahoma"/>
            <family val="2"/>
          </rPr>
          <t xml:space="preserve">
Taken from previous year's pricing proposal.</t>
        </r>
      </text>
    </comment>
  </commentList>
</comments>
</file>

<file path=xl/comments2.xml><?xml version="1.0" encoding="utf-8"?>
<comments xmlns="http://schemas.openxmlformats.org/spreadsheetml/2006/main">
  <authors>
    <author>Harrigan, Paul</author>
    <author>AER</author>
  </authors>
  <commentList>
    <comment ref="H21" authorId="0" shapeId="0">
      <text>
        <r>
          <rPr>
            <b/>
            <sz val="9"/>
            <color indexed="81"/>
            <rFont val="Tahoma"/>
            <family val="2"/>
          </rPr>
          <t>AER:</t>
        </r>
        <r>
          <rPr>
            <sz val="9"/>
            <color indexed="81"/>
            <rFont val="Tahoma"/>
            <family val="2"/>
          </rPr>
          <t xml:space="preserve">
Taken from previous year's pricing proposal.</t>
        </r>
      </text>
    </comment>
    <comment ref="H28" authorId="0" shapeId="0">
      <text>
        <r>
          <rPr>
            <b/>
            <sz val="9"/>
            <color indexed="81"/>
            <rFont val="Tahoma"/>
            <family val="2"/>
          </rPr>
          <t>AER:</t>
        </r>
        <r>
          <rPr>
            <sz val="9"/>
            <color indexed="81"/>
            <rFont val="Tahoma"/>
            <family val="2"/>
          </rPr>
          <t xml:space="preserve">
Taken from previous year's pricing proposal.</t>
        </r>
      </text>
    </comment>
    <comment ref="H31" authorId="0" shapeId="0">
      <text>
        <r>
          <rPr>
            <b/>
            <sz val="9"/>
            <color indexed="81"/>
            <rFont val="Tahoma"/>
            <family val="2"/>
          </rPr>
          <t>AER:</t>
        </r>
        <r>
          <rPr>
            <sz val="9"/>
            <color indexed="81"/>
            <rFont val="Tahoma"/>
            <family val="2"/>
          </rPr>
          <t xml:space="preserve">
Taken from previous year's pricing proposal.</t>
        </r>
      </text>
    </comment>
    <comment ref="C47" authorId="1" shapeId="0">
      <text>
        <r>
          <rPr>
            <b/>
            <sz val="9"/>
            <color indexed="81"/>
            <rFont val="Tahoma"/>
            <family val="2"/>
          </rPr>
          <t>AER:</t>
        </r>
        <r>
          <rPr>
            <sz val="9"/>
            <color indexed="81"/>
            <rFont val="Tahoma"/>
            <family val="2"/>
          </rPr>
          <t xml:space="preserve">
T-2 Annual RIN</t>
        </r>
      </text>
    </comment>
    <comment ref="C55" authorId="0" shapeId="0">
      <text>
        <r>
          <rPr>
            <b/>
            <sz val="9"/>
            <color indexed="81"/>
            <rFont val="Tahoma"/>
            <family val="2"/>
          </rPr>
          <t>AER:</t>
        </r>
        <r>
          <rPr>
            <sz val="9"/>
            <color indexed="81"/>
            <rFont val="Tahoma"/>
            <family val="2"/>
          </rPr>
          <t xml:space="preserve">
Taken from previous year's pricing proposal.</t>
        </r>
      </text>
    </comment>
    <comment ref="C57" authorId="0" shapeId="0">
      <text>
        <r>
          <rPr>
            <b/>
            <sz val="9"/>
            <color indexed="81"/>
            <rFont val="Tahoma"/>
            <family val="2"/>
          </rPr>
          <t>AER:</t>
        </r>
        <r>
          <rPr>
            <sz val="9"/>
            <color indexed="81"/>
            <rFont val="Tahoma"/>
            <family val="2"/>
          </rPr>
          <t xml:space="preserve">
Taken from previous year's pricing proposal.</t>
        </r>
      </text>
    </comment>
    <comment ref="C71" authorId="0" shapeId="0">
      <text>
        <r>
          <rPr>
            <b/>
            <sz val="9"/>
            <color indexed="81"/>
            <rFont val="Tahoma"/>
            <family val="2"/>
          </rPr>
          <t>AER:</t>
        </r>
        <r>
          <rPr>
            <sz val="9"/>
            <color indexed="81"/>
            <rFont val="Tahoma"/>
            <family val="2"/>
          </rPr>
          <t xml:space="preserve">
Taken from previous year's pricing proposal.</t>
        </r>
      </text>
    </comment>
  </commentList>
</comments>
</file>

<file path=xl/comments3.xml><?xml version="1.0" encoding="utf-8"?>
<comments xmlns="http://schemas.openxmlformats.org/spreadsheetml/2006/main">
  <authors>
    <author>Author</author>
  </authors>
  <commentList>
    <comment ref="B38" authorId="0" shape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38" authorId="0" shape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comments4.xml><?xml version="1.0" encoding="utf-8"?>
<comments xmlns="http://schemas.openxmlformats.org/spreadsheetml/2006/main">
  <authors>
    <author>AER</author>
    <author>Harrigan, Paul</author>
    <author>Laszlo Milias</author>
  </authors>
  <commentList>
    <comment ref="C34" authorId="0" shapeId="0">
      <text>
        <r>
          <rPr>
            <b/>
            <sz val="9"/>
            <color indexed="81"/>
            <rFont val="Tahoma"/>
            <family val="2"/>
          </rPr>
          <t>AER:</t>
        </r>
        <r>
          <rPr>
            <sz val="9"/>
            <color indexed="81"/>
            <rFont val="Tahoma"/>
            <family val="2"/>
          </rPr>
          <t xml:space="preserve">
T-2 Annual RIN
</t>
        </r>
        <r>
          <rPr>
            <b/>
            <sz val="9"/>
            <color indexed="81"/>
            <rFont val="Tahoma"/>
            <family val="2"/>
          </rPr>
          <t xml:space="preserve">UE: </t>
        </r>
        <r>
          <rPr>
            <sz val="9"/>
            <color indexed="81"/>
            <rFont val="Tahoma"/>
            <family val="2"/>
          </rPr>
          <t>Replaced with audited 2017 revenue</t>
        </r>
      </text>
    </comment>
    <comment ref="C39" authorId="1" shapeId="0">
      <text>
        <r>
          <rPr>
            <b/>
            <sz val="9"/>
            <color indexed="81"/>
            <rFont val="Tahoma"/>
            <family val="2"/>
          </rPr>
          <t>AER:</t>
        </r>
        <r>
          <rPr>
            <sz val="9"/>
            <color indexed="81"/>
            <rFont val="Tahoma"/>
            <family val="2"/>
          </rPr>
          <t xml:space="preserve">
Taken from previous year's pricing proposal.</t>
        </r>
      </text>
    </comment>
    <comment ref="D39" authorId="1" shapeId="0">
      <text>
        <r>
          <rPr>
            <b/>
            <sz val="9"/>
            <color indexed="81"/>
            <rFont val="Tahoma"/>
            <family val="2"/>
          </rPr>
          <t>AER:</t>
        </r>
        <r>
          <rPr>
            <sz val="9"/>
            <color indexed="81"/>
            <rFont val="Tahoma"/>
            <family val="2"/>
          </rPr>
          <t xml:space="preserve">
Taken from previous year's pricing proposal.</t>
        </r>
      </text>
    </comment>
    <comment ref="C45" authorId="2" shapeId="0">
      <text>
        <r>
          <rPr>
            <b/>
            <sz val="9"/>
            <color indexed="81"/>
            <rFont val="Tahoma"/>
            <family val="2"/>
          </rPr>
          <t>Laszlo Milias:</t>
        </r>
        <r>
          <rPr>
            <sz val="9"/>
            <color indexed="81"/>
            <rFont val="Tahoma"/>
            <family val="2"/>
          </rPr>
          <t xml:space="preserve">
</t>
        </r>
        <r>
          <rPr>
            <b/>
            <sz val="9"/>
            <color indexed="81"/>
            <rFont val="Tahoma"/>
            <family val="2"/>
          </rPr>
          <t xml:space="preserve">UE: </t>
        </r>
        <r>
          <rPr>
            <sz val="9"/>
            <color indexed="81"/>
            <rFont val="Tahoma"/>
            <family val="2"/>
          </rPr>
          <t>Corrected to reflect correct sign (negative)</t>
        </r>
      </text>
    </comment>
    <comment ref="C60" authorId="1" shapeId="0">
      <text>
        <r>
          <rPr>
            <b/>
            <sz val="9"/>
            <color indexed="81"/>
            <rFont val="Tahoma"/>
            <family val="2"/>
          </rPr>
          <t>AER:</t>
        </r>
        <r>
          <rPr>
            <sz val="9"/>
            <color indexed="81"/>
            <rFont val="Tahoma"/>
            <family val="2"/>
          </rPr>
          <t xml:space="preserve">
Taken from previous year's pricing proposal.</t>
        </r>
      </text>
    </comment>
  </commentList>
</comments>
</file>

<file path=xl/comments5.xml><?xml version="1.0" encoding="utf-8"?>
<comments xmlns="http://schemas.openxmlformats.org/spreadsheetml/2006/main">
  <authors>
    <author>AER</author>
    <author>Harrigan, Paul</author>
  </authors>
  <commentList>
    <comment ref="C32" authorId="0" shapeId="0">
      <text>
        <r>
          <rPr>
            <b/>
            <sz val="9"/>
            <color indexed="81"/>
            <rFont val="Tahoma"/>
            <family val="2"/>
          </rPr>
          <t>AER:</t>
        </r>
        <r>
          <rPr>
            <sz val="9"/>
            <color indexed="81"/>
            <rFont val="Tahoma"/>
            <family val="2"/>
          </rPr>
          <t xml:space="preserve">
T-2 Annual RIN
</t>
        </r>
        <r>
          <rPr>
            <b/>
            <sz val="9"/>
            <color indexed="81"/>
            <rFont val="Tahoma"/>
            <family val="2"/>
          </rPr>
          <t xml:space="preserve">UE: </t>
        </r>
        <r>
          <rPr>
            <sz val="9"/>
            <color indexed="81"/>
            <rFont val="Tahoma"/>
            <family val="2"/>
          </rPr>
          <t>Replaced with audited 2017 revenue</t>
        </r>
      </text>
    </comment>
    <comment ref="C37" authorId="1" shapeId="0">
      <text>
        <r>
          <rPr>
            <b/>
            <sz val="9"/>
            <color indexed="81"/>
            <rFont val="Tahoma"/>
            <family val="2"/>
          </rPr>
          <t>AER:</t>
        </r>
        <r>
          <rPr>
            <sz val="9"/>
            <color indexed="81"/>
            <rFont val="Tahoma"/>
            <family val="2"/>
          </rPr>
          <t xml:space="preserve">
Taken from previous year's pricing proposal.</t>
        </r>
      </text>
    </comment>
    <comment ref="D37" authorId="1" shapeId="0">
      <text>
        <r>
          <rPr>
            <b/>
            <sz val="9"/>
            <color indexed="81"/>
            <rFont val="Tahoma"/>
            <family val="2"/>
          </rPr>
          <t>AER:</t>
        </r>
        <r>
          <rPr>
            <sz val="9"/>
            <color indexed="81"/>
            <rFont val="Tahoma"/>
            <family val="2"/>
          </rPr>
          <t xml:space="preserve">
Taken from previous year's pricing proposal.</t>
        </r>
      </text>
    </comment>
    <comment ref="C56" authorId="1" shapeId="0">
      <text>
        <r>
          <rPr>
            <b/>
            <sz val="9"/>
            <color indexed="81"/>
            <rFont val="Tahoma"/>
            <family val="2"/>
          </rPr>
          <t>AER:</t>
        </r>
        <r>
          <rPr>
            <sz val="9"/>
            <color indexed="81"/>
            <rFont val="Tahoma"/>
            <family val="2"/>
          </rPr>
          <t xml:space="preserve">
Taken from previous year's pricing proposal.</t>
        </r>
      </text>
    </comment>
  </commentList>
</comments>
</file>

<file path=xl/sharedStrings.xml><?xml version="1.0" encoding="utf-8"?>
<sst xmlns="http://schemas.openxmlformats.org/spreadsheetml/2006/main" count="1256" uniqueCount="749">
  <si>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</si>
  <si>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</si>
  <si>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</si>
  <si>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</si>
  <si>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</si>
  <si>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</si>
  <si>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</si>
  <si>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</si>
  <si>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</si>
  <si>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</si>
  <si>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</si>
  <si>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</si>
  <si>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</si>
  <si>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</si>
  <si>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</si>
  <si>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</si>
  <si>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</si>
  <si>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</si>
  <si>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</si>
  <si>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</si>
  <si>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</si>
  <si>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</si>
  <si>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</si>
  <si>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</si>
  <si>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</si>
  <si>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</si>
  <si>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</si>
  <si>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</si>
  <si>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</si>
  <si>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</si>
  <si>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</si>
  <si>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</si>
  <si>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</si>
  <si>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</si>
  <si>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</si>
  <si>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</si>
  <si>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</si>
  <si>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</si>
  <si>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</si>
  <si>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</si>
  <si>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</si>
  <si>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</si>
  <si>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</si>
  <si>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</si>
  <si>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</si>
  <si>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</si>
  <si>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</si>
  <si>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</si>
  <si>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</si>
  <si>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</si>
  <si>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</si>
  <si>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</si>
  <si>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</si>
  <si>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</si>
  <si>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</si>
  <si>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</si>
  <si>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</si>
  <si>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</si>
  <si>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</si>
  <si>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</si>
  <si>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</si>
  <si>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</si>
  <si>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</si>
  <si>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</si>
  <si>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</si>
  <si>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</si>
  <si>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</si>
  <si>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</si>
  <si>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</si>
  <si>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</si>
  <si>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</si>
  <si>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</si>
  <si>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</si>
  <si>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</si>
  <si>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</si>
  <si>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</si>
  <si>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</si>
  <si>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</si>
  <si>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</si>
  <si>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</si>
  <si>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</si>
  <si>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</si>
  <si>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Jemena</t>
  </si>
  <si>
    <t>CitiPower</t>
  </si>
  <si>
    <t>Powercor</t>
  </si>
  <si>
    <t>United Energy</t>
  </si>
  <si>
    <t>Pass Through Costs</t>
  </si>
  <si>
    <t>VBRC</t>
  </si>
  <si>
    <t>Powerline Replacement program</t>
  </si>
  <si>
    <t>TOTAL PASS THROUGH AMOUNTS</t>
  </si>
  <si>
    <t>F factor Scheme</t>
  </si>
  <si>
    <t>F Factor pass through</t>
  </si>
  <si>
    <t>Pass through amounts approved (Nominal $) - Forecast CPI</t>
  </si>
  <si>
    <t>Forecast CPI in PTRM</t>
  </si>
  <si>
    <t>Pass through amounts approved (Real $2010)</t>
  </si>
  <si>
    <t>Actual CPI</t>
  </si>
  <si>
    <t>Pass through amounts approved (Nominal $) - Actual CPI</t>
  </si>
  <si>
    <t>Xt for 2017</t>
  </si>
  <si>
    <t>Xt for 2018</t>
  </si>
  <si>
    <t>Xt for 2019</t>
  </si>
  <si>
    <t>Xt for 2020</t>
  </si>
  <si>
    <t>CPI Index Sept 2015</t>
  </si>
  <si>
    <t>(As per AER's Final Decision on Powercor's VBRC pass through, table 7.2,  7 March 2012)</t>
  </si>
  <si>
    <t>AR for 2016</t>
  </si>
  <si>
    <t>Regulatory Period 2011-15</t>
  </si>
  <si>
    <t>VBRC pass through</t>
  </si>
  <si>
    <t>AusNet Services</t>
  </si>
  <si>
    <t>As per AER's Final Decision on AusNet Services's VBRC pass through, table 1.3,  19 October 2012</t>
  </si>
  <si>
    <t>Table 1- Compliance with AER Final Determination Total Annual Revenue</t>
  </si>
  <si>
    <t>B factor for year t</t>
  </si>
  <si>
    <t>CPI for period t</t>
  </si>
  <si>
    <t>X factor for period t</t>
  </si>
  <si>
    <t>S factor for period t</t>
  </si>
  <si>
    <t>DUoS revenue under/over recovery approved</t>
  </si>
  <si>
    <t>Table 3 -  Adjusted Annual Revenue for year t (AARt)</t>
  </si>
  <si>
    <t>Table 2 - Total Annual Revenue for year t (TARt)</t>
  </si>
  <si>
    <t>T factor for year t (DMIS carry over amount)</t>
  </si>
  <si>
    <t>I factor for year t (F factor Scheme)</t>
  </si>
  <si>
    <t>Revenue from DUoS charges for year t</t>
  </si>
  <si>
    <t>Total Annual Revenue for year t</t>
  </si>
  <si>
    <t>Adjusted Annual Smoothed Revenue for year t</t>
  </si>
  <si>
    <t>Adjusted Annual Smoothed Revenue for year t-1</t>
  </si>
  <si>
    <t>Total</t>
  </si>
  <si>
    <t>License Fee Recovery Amount for year t</t>
  </si>
  <si>
    <t>Approved Pass through Amount for year t</t>
  </si>
  <si>
    <t>Lt-1</t>
  </si>
  <si>
    <t>Nominal WACC t-1</t>
  </si>
  <si>
    <t>t-4</t>
  </si>
  <si>
    <t>Proposed tariff</t>
  </si>
  <si>
    <t>Existing tariff</t>
  </si>
  <si>
    <t>PropTar
Fixed</t>
  </si>
  <si>
    <t>PropTar
PkBlk1</t>
  </si>
  <si>
    <t>PropTar
OPkBlk1</t>
  </si>
  <si>
    <t>PropTar
OPkBlk3</t>
  </si>
  <si>
    <t>PropTar
OPkBlk4</t>
  </si>
  <si>
    <t>PropTar
DemBlk1</t>
  </si>
  <si>
    <t>PropTar
DemBlk2</t>
  </si>
  <si>
    <t>PropTar
DemBlk3</t>
  </si>
  <si>
    <t>PropTar
DemBlk4</t>
  </si>
  <si>
    <t>ExistTar
Fixed</t>
  </si>
  <si>
    <t>ExistTar
PkBlk1</t>
  </si>
  <si>
    <t>ExistTar
OPkBlk1</t>
  </si>
  <si>
    <t>ExistTar
OPkBlk3</t>
  </si>
  <si>
    <t>ExistTar
OPkBlk4</t>
  </si>
  <si>
    <t>ExistTar
DemBlk1</t>
  </si>
  <si>
    <t>ExistTar
DemBlk2</t>
  </si>
  <si>
    <t>ExistTar
DemBlk3</t>
  </si>
  <si>
    <t>ExistTar
DemBlk4</t>
  </si>
  <si>
    <t>PropRev
Fixed</t>
  </si>
  <si>
    <t>PropRev
PkBlk1</t>
  </si>
  <si>
    <t>PropRev
PkBlk2</t>
  </si>
  <si>
    <t>PropRev
PkBlk3</t>
  </si>
  <si>
    <t>PropRev
PkBlk4</t>
  </si>
  <si>
    <t>PropRev
OPkBlk1</t>
  </si>
  <si>
    <t>PropRev
OPkBlk2</t>
  </si>
  <si>
    <t>PropRev
OPkBlk3</t>
  </si>
  <si>
    <t>PropRev
OPkBlk4</t>
  </si>
  <si>
    <t>PropRev
DemBlk1</t>
  </si>
  <si>
    <t>PropRev
DemBlk2</t>
  </si>
  <si>
    <t>PropRev
DemBlk3</t>
  </si>
  <si>
    <t>PropRev
DemBlk4</t>
  </si>
  <si>
    <t>PropRev
SumBlk1</t>
  </si>
  <si>
    <t>PropRev
Total</t>
  </si>
  <si>
    <t>ExistRev
Fixed</t>
  </si>
  <si>
    <t>ExistRev
PkBlk1</t>
  </si>
  <si>
    <t>ExistRev
OPkBlk1</t>
  </si>
  <si>
    <t>ExistRev
OPkBlk3</t>
  </si>
  <si>
    <t>ExistRev
OPkBlk4</t>
  </si>
  <si>
    <t>ExistRev
DemBlk1</t>
  </si>
  <si>
    <t>ExistRev
DemBlk2</t>
  </si>
  <si>
    <t>ExistRev
DemBlk3</t>
  </si>
  <si>
    <t>ExistRev
DemBlk4</t>
  </si>
  <si>
    <t>ExistRev
Total</t>
  </si>
  <si>
    <t>FcastVol
Fixed</t>
  </si>
  <si>
    <t>FcastVol
PkBlk1</t>
  </si>
  <si>
    <t>FcastVol
OPkBlk1</t>
  </si>
  <si>
    <t>FcastVol
OPkBlk3</t>
  </si>
  <si>
    <t>FcastVol
OPkBlk4</t>
  </si>
  <si>
    <t>FcastVol
DemBlk1</t>
  </si>
  <si>
    <t>FcastVol
DemBlk2</t>
  </si>
  <si>
    <t>FcastVol
DemBlk3</t>
  </si>
  <si>
    <t>FcastVol
DemBlk4</t>
  </si>
  <si>
    <t>P t-1 * Qt-2</t>
  </si>
  <si>
    <t>Pt * Qt-2</t>
  </si>
  <si>
    <t>($) per NMI</t>
  </si>
  <si>
    <t>($) per meter</t>
  </si>
  <si>
    <t>($) per light</t>
  </si>
  <si>
    <t>NMIs</t>
  </si>
  <si>
    <t>Meters</t>
  </si>
  <si>
    <t>Lights</t>
  </si>
  <si>
    <t>$ Comp1</t>
  </si>
  <si>
    <t>$ Comp2</t>
  </si>
  <si>
    <t>$ Comp3</t>
  </si>
  <si>
    <t>Total $</t>
  </si>
  <si>
    <t>ExistTarComp1</t>
  </si>
  <si>
    <t>ExistTarComp2</t>
  </si>
  <si>
    <t>ExistTarComp3</t>
  </si>
  <si>
    <t>PropTarComp1</t>
  </si>
  <si>
    <t>PropTarComp2</t>
  </si>
  <si>
    <t>PropTarComp3</t>
  </si>
  <si>
    <t>ActVolComp1</t>
  </si>
  <si>
    <t>ActVolComp2</t>
  </si>
  <si>
    <t>ActVolComp3</t>
  </si>
  <si>
    <t>$Comp1</t>
  </si>
  <si>
    <t>ExistRevComp2</t>
  </si>
  <si>
    <t>ExistRevComp3</t>
  </si>
  <si>
    <t>Exist Rev Total</t>
  </si>
  <si>
    <t>$PropRevComp1</t>
  </si>
  <si>
    <t>$PropRevComp2</t>
  </si>
  <si>
    <t>$ PropRevComp3</t>
  </si>
  <si>
    <t>metering data services - unmetered supplies</t>
  </si>
  <si>
    <t>UNMETERED SUPPLY TARIFF CONTROL</t>
  </si>
  <si>
    <t>Average price movement allowed</t>
  </si>
  <si>
    <t>Proposed metering tariff revenue (Pt*Qt-2)</t>
  </si>
  <si>
    <t>Existing metering tariff revenue (Pt-1*Qt-2)</t>
  </si>
  <si>
    <t>Average price movement</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</si>
  <si>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</si>
  <si>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</si>
  <si>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</si>
  <si>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</si>
  <si>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</si>
  <si>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</si>
  <si>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</si>
  <si>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</si>
  <si>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</si>
  <si>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</si>
  <si>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</si>
  <si>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</si>
  <si>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</si>
  <si>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</si>
  <si>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</si>
  <si>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</si>
  <si>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</si>
  <si>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</si>
  <si>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</si>
  <si>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</si>
  <si>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Check Total</t>
  </si>
  <si>
    <t>New Tariff Test</t>
  </si>
  <si>
    <t>Destination tariff class</t>
  </si>
  <si>
    <t>Source tariff class</t>
  </si>
  <si>
    <t>EstRev
Fixed</t>
  </si>
  <si>
    <t>EstRev
PkBlk1</t>
  </si>
  <si>
    <t>EstRev
OPkBlk1</t>
  </si>
  <si>
    <t>EstRev
OPkBlk3</t>
  </si>
  <si>
    <t>EstRev
OPkBlk4</t>
  </si>
  <si>
    <t>EstRev
DemBlk1</t>
  </si>
  <si>
    <t>EstRev
DemBlk2</t>
  </si>
  <si>
    <t>EstRev
DemBlk3</t>
  </si>
  <si>
    <t>EstRev
DemBlk4</t>
  </si>
  <si>
    <t>EstRev
Total</t>
  </si>
  <si>
    <t>EstVol
Fixed</t>
  </si>
  <si>
    <t>EstVol
PkBlk1</t>
  </si>
  <si>
    <t>EstVol
OPkBlk1</t>
  </si>
  <si>
    <t>EstVol
OPkBlk3</t>
  </si>
  <si>
    <t>EstVol
OPkBlk4</t>
  </si>
  <si>
    <t>EstVol
DemBlk1</t>
  </si>
  <si>
    <t>EstVol
DemBlk2</t>
  </si>
  <si>
    <t>EstVol
DemBlk3</t>
  </si>
  <si>
    <t>EstVol
DemBlk4</t>
  </si>
  <si>
    <t xml:space="preserve">(A) Revenue from DUoS Charges </t>
  </si>
  <si>
    <t>+ Adjusted annual smoothed revenue</t>
  </si>
  <si>
    <t>+It</t>
  </si>
  <si>
    <t>+Tt</t>
  </si>
  <si>
    <t>+Bt =</t>
  </si>
  <si>
    <t>+Licence fee recovery</t>
  </si>
  <si>
    <t>+Approved pass throughs</t>
  </si>
  <si>
    <t>Year t-2</t>
  </si>
  <si>
    <t>Year (t)</t>
  </si>
  <si>
    <t>Calendar year</t>
  </si>
  <si>
    <t>Closing balance of DUoS overs/ (unders) account</t>
  </si>
  <si>
    <t>Table 7 - DUoS Unders and Overs Account</t>
  </si>
  <si>
    <t>TUOS charges (AEMO)</t>
  </si>
  <si>
    <t>t-2 actual</t>
  </si>
  <si>
    <t>Transmission connection fees (SPI Powernet)</t>
  </si>
  <si>
    <t>Cross boundary network charges (internetwork charges)</t>
  </si>
  <si>
    <t>Distribution Business</t>
  </si>
  <si>
    <t>Amount (payable)/receivable</t>
  </si>
  <si>
    <t>HV crossings</t>
  </si>
  <si>
    <t>Subtransmission crossings</t>
  </si>
  <si>
    <t>TUoS Adjustment</t>
  </si>
  <si>
    <t>Payments to embedded generators</t>
  </si>
  <si>
    <t>Avoided transmission costs</t>
  </si>
  <si>
    <t>Avoided TUoS usage charges</t>
  </si>
  <si>
    <t>Total payments to embedded generators</t>
  </si>
  <si>
    <t>Where the following definitions apply</t>
  </si>
  <si>
    <t>HV Crossings</t>
  </si>
  <si>
    <t>Payments/Receipts for energy transferred utilising the distributor’s HV and LV line assets.</t>
  </si>
  <si>
    <t>Sub-transmission Crossings</t>
  </si>
  <si>
    <t>Payments/Receipts for the Sub-transmission assets in shared loops that support each distributor’s Zone Substation capacity to ensure N-1 reliability is maintained.</t>
  </si>
  <si>
    <t xml:space="preserve">TuoS Adjustment </t>
  </si>
  <si>
    <t>Payments/Receipts for the adjustment of TuoS paid by a distributor for energy delivered to another distribution business through a shared loop.</t>
  </si>
  <si>
    <t>TC + G - D</t>
  </si>
  <si>
    <t xml:space="preserve"> DUoS</t>
  </si>
  <si>
    <t>AEMO (TCt)</t>
  </si>
  <si>
    <t>Embedded generators (Gt)</t>
  </si>
  <si>
    <t>Inter-network (Dt)</t>
  </si>
  <si>
    <t>Table 3 - Transmission charges for year t</t>
  </si>
  <si>
    <t>Transmission revenue under/over recovery for years 2014 and 2015</t>
  </si>
  <si>
    <t>Table 2 - Total DPPC related payments for year t</t>
  </si>
  <si>
    <t>Transmission charges for year t</t>
  </si>
  <si>
    <t>DPPC revenue under/over recovery approved</t>
  </si>
  <si>
    <t xml:space="preserve"> Designated pricing proposal charges (DPPC)</t>
  </si>
  <si>
    <t xml:space="preserve">(B) Less TAR for regulatory year = </t>
  </si>
  <si>
    <t>(B) Less Total DPPC related payments =</t>
  </si>
  <si>
    <t>Table 4 - DPPC Recovery Arrangements</t>
  </si>
  <si>
    <t>Table 5 - DPPC Unders and Overs Account</t>
  </si>
  <si>
    <t>+ Transmission revenue under/over recovery for years 2014 and 2015</t>
  </si>
  <si>
    <t>+Transmission charges  =</t>
  </si>
  <si>
    <t>+AEMO</t>
  </si>
  <si>
    <t xml:space="preserve">+PowerNet </t>
  </si>
  <si>
    <t>+Embedded generators</t>
  </si>
  <si>
    <t>-Inter-network</t>
  </si>
  <si>
    <t>Total DPPC related payments for year t</t>
  </si>
  <si>
    <t>(A) Revenue from designated pricing proposal charges</t>
  </si>
  <si>
    <t>Revenue from designated pricing proposal charges for year t</t>
  </si>
  <si>
    <t>Table 1- Compliance with DPPC Revenue Formula</t>
  </si>
  <si>
    <t>Jurisdictional scheme amounts</t>
  </si>
  <si>
    <t>PFIT</t>
  </si>
  <si>
    <t>TFIT</t>
  </si>
  <si>
    <t>Premium feed-in tariff payments</t>
  </si>
  <si>
    <t>Transitional feed-in tariff payments</t>
  </si>
  <si>
    <t>rptw for 2016</t>
  </si>
  <si>
    <t>rptw for 2017</t>
  </si>
  <si>
    <t>rptw for 2018</t>
  </si>
  <si>
    <t>rptw for 2019</t>
  </si>
  <si>
    <t>rptw for 2020</t>
  </si>
  <si>
    <t>Real Pre-tax WACC (rptw)</t>
  </si>
  <si>
    <t xml:space="preserve"> Jurisdictional Scheme Amounts (JSA)</t>
  </si>
  <si>
    <t>Table 1- Compliance with JSA Revenue Formula</t>
  </si>
  <si>
    <t>Revenue from  Jurisdictional Scheme Amounts charges for year t</t>
  </si>
  <si>
    <t>Total JSA related payments for year t</t>
  </si>
  <si>
    <t>JSA revenue under/over recovery approved</t>
  </si>
  <si>
    <t>JSA revenue under/over recovery for years 2014 and 2015</t>
  </si>
  <si>
    <t>Table 2 - Total JSA related payments for year t</t>
  </si>
  <si>
    <t>PFIT &amp; TFIT charges for year t</t>
  </si>
  <si>
    <t>Table 3 - PFIT &amp; TFIT charges for year t</t>
  </si>
  <si>
    <t>PFIT &amp; TFIT charges</t>
  </si>
  <si>
    <t>Table 4 - JSA Recovery Arrangements</t>
  </si>
  <si>
    <t>(A) Revenue from JSA proposal charges</t>
  </si>
  <si>
    <t>(B) Less Total JSA related payments =</t>
  </si>
  <si>
    <t>+ JSA revenue under/over recovery for years 2014 and 2015</t>
  </si>
  <si>
    <t>+PFIT &amp; TFIT charges  =</t>
  </si>
  <si>
    <t>+PFIT amount</t>
  </si>
  <si>
    <t>+TFIT amount</t>
  </si>
  <si>
    <t>Table 5 - JSA Unders and Overs Account</t>
  </si>
  <si>
    <t>PropTar
$/Cust/year</t>
  </si>
  <si>
    <t>ExistTar
$/Cust/year</t>
  </si>
  <si>
    <t>FcastVol
Cust #</t>
  </si>
  <si>
    <t>DuoS</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</si>
  <si>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</si>
  <si>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</si>
  <si>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</si>
  <si>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</si>
  <si>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</si>
  <si>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</si>
  <si>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</si>
  <si>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</si>
  <si>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</si>
  <si>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</si>
  <si>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</si>
  <si>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</si>
  <si>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</si>
  <si>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</si>
  <si>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</si>
  <si>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</si>
  <si>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</si>
  <si>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</si>
  <si>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</si>
  <si>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</si>
  <si>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</si>
  <si>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</si>
  <si>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</si>
  <si>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</si>
  <si>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Pass through Amounts</t>
  </si>
  <si>
    <t>Table 1- Compliance with AER Final Determination Total Metering Annual Revenue</t>
  </si>
  <si>
    <t>Revenue from  Metering charges for year t</t>
  </si>
  <si>
    <t>Total Annual Metering Revenue for year t</t>
  </si>
  <si>
    <t>Adjusted Annual Smoothed Metering Revenue for year t</t>
  </si>
  <si>
    <t>Table 2 - Total Annual Revenue for year t (TARMt)</t>
  </si>
  <si>
    <t>Table 3 -  Adjusted Annual Revenue for year t (ARt)</t>
  </si>
  <si>
    <t>T factor for year t</t>
  </si>
  <si>
    <t>(A) Revenue from Metering proposal charges</t>
  </si>
  <si>
    <t xml:space="preserve">(B) Less TARM for regulatory year = </t>
  </si>
  <si>
    <t>+ T factor</t>
  </si>
  <si>
    <t>Table 5 - Metering Services Unders and Overs Account</t>
  </si>
  <si>
    <t>Table 4 - Metering Services Recovery Arrangements</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</si>
  <si>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</si>
  <si>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</si>
  <si>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</si>
  <si>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</si>
  <si>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</si>
  <si>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</si>
  <si>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</si>
  <si>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</si>
  <si>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</si>
  <si>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</si>
  <si>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r>
      <t xml:space="preserve"> pretax WACC</t>
    </r>
    <r>
      <rPr>
        <b/>
        <vertAlign val="subscript"/>
        <sz val="10"/>
        <rFont val="Arial"/>
        <family val="2"/>
      </rPr>
      <t>D</t>
    </r>
  </si>
  <si>
    <t>Closing balance of Metering Services overs/ (unders) account</t>
  </si>
  <si>
    <t>Closing balance of DPPC overs/ (unders) account</t>
  </si>
  <si>
    <t>Closing balance of JSA overs/ (unders) account</t>
  </si>
  <si>
    <t>(t)</t>
  </si>
  <si>
    <t>rvw for 2016</t>
  </si>
  <si>
    <t>rvw for 2017</t>
  </si>
  <si>
    <t>rvw for 2018</t>
  </si>
  <si>
    <t>rvw for 2019</t>
  </si>
  <si>
    <t>rvw for 2020</t>
  </si>
  <si>
    <t>Real Vanilla WACC (rvw)</t>
  </si>
  <si>
    <t>Real Vanilla WACC for distribution tariffs</t>
  </si>
  <si>
    <t>Real Pre-tax WACC for distribution tariffs</t>
  </si>
  <si>
    <r>
      <t>Real Vanilla WACC</t>
    </r>
    <r>
      <rPr>
        <b/>
        <vertAlign val="subscript"/>
        <sz val="10"/>
        <rFont val="Arial"/>
        <family val="2"/>
      </rPr>
      <t>D</t>
    </r>
  </si>
  <si>
    <t>Pass Through revenue under/over recovery for years 2014 and 2015</t>
  </si>
  <si>
    <t>Table 4- B factor for year t</t>
  </si>
  <si>
    <t>Table 5 - License Fee Recovery Amount for year t</t>
  </si>
  <si>
    <t>Table 6 - DUoS Recovery Arrangements</t>
  </si>
  <si>
    <t>+Pass Through revenue under/over recovery for years 2014 and 2015</t>
  </si>
  <si>
    <t>single phase single element meter</t>
  </si>
  <si>
    <t>single phase single element meter with contactor</t>
  </si>
  <si>
    <t>three phase direct connected meter</t>
  </si>
  <si>
    <t>three phase Current transformer connected meter</t>
  </si>
  <si>
    <t>PropTar
PkBlk2</t>
  </si>
  <si>
    <t>PropTar
PkBlk3</t>
  </si>
  <si>
    <t>PropTar
PkBlk4</t>
  </si>
  <si>
    <t>PropTar
OPkBlk2</t>
  </si>
  <si>
    <t>ExistTar
PkBlk2</t>
  </si>
  <si>
    <t>ExistTar
PkBlk3</t>
  </si>
  <si>
    <t>ExistTar
PkBlk4</t>
  </si>
  <si>
    <t>ExistTar
OPkBlk2</t>
  </si>
  <si>
    <t>FcastVol
PkBlk2</t>
  </si>
  <si>
    <t>FcastVol
PkBlk3</t>
  </si>
  <si>
    <t>FcastVol
PkBlk4</t>
  </si>
  <si>
    <t>FcastVol
OPkBlk2</t>
  </si>
  <si>
    <t>ExistRev
PkBlk2</t>
  </si>
  <si>
    <t>ExistRev
PkBlk3</t>
  </si>
  <si>
    <t>ExistRev
PkBlk4</t>
  </si>
  <si>
    <t>ExistRev
OPkBlk2</t>
  </si>
  <si>
    <t>Current
Fixed</t>
  </si>
  <si>
    <t xml:space="preserve">
CurrentPkBlk1</t>
  </si>
  <si>
    <t xml:space="preserve">
CurrentPkBlk2</t>
  </si>
  <si>
    <t xml:space="preserve">
Current PkBlk3</t>
  </si>
  <si>
    <t xml:space="preserve">
Current PkBlk4</t>
  </si>
  <si>
    <t xml:space="preserve">
Current OPkBlk1</t>
  </si>
  <si>
    <t xml:space="preserve">
Current OPkBlk2</t>
  </si>
  <si>
    <t xml:space="preserve">
Current OPkBlk3</t>
  </si>
  <si>
    <t xml:space="preserve">
Current OPkBlk4</t>
  </si>
  <si>
    <t xml:space="preserve">
Current DemBlk1</t>
  </si>
  <si>
    <t xml:space="preserve">
Current DemBlk2</t>
  </si>
  <si>
    <t xml:space="preserve">
Current DemBlk3</t>
  </si>
  <si>
    <t xml:space="preserve">
Current DemBlk4</t>
  </si>
  <si>
    <t>EstVol
PkBlk2</t>
  </si>
  <si>
    <t>EstVol
PkBlk3</t>
  </si>
  <si>
    <t>EstVol
PkBlk4</t>
  </si>
  <si>
    <t>EstVol
OPkBlk2</t>
  </si>
  <si>
    <t>EstRev
PkBlk2</t>
  </si>
  <si>
    <t>EstRev
PkBlk3</t>
  </si>
  <si>
    <t>EstRev
PkBlk4</t>
  </si>
  <si>
    <t>EstRev
OPkBlk2</t>
  </si>
  <si>
    <t>Low Voltage Small</t>
  </si>
  <si>
    <t>Low Voltage Medium</t>
  </si>
  <si>
    <t>Low Voltage Large</t>
  </si>
  <si>
    <t>High Voltage Large</t>
  </si>
  <si>
    <t>Subtransmission Large</t>
  </si>
  <si>
    <t xml:space="preserve"> License Fees</t>
  </si>
  <si>
    <t>S factor Scheme</t>
  </si>
  <si>
    <t>Nominal WACC 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</si>
  <si>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</si>
  <si>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</si>
  <si>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</si>
  <si>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</si>
  <si>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</si>
  <si>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</si>
  <si>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</si>
  <si>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</si>
  <si>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</si>
  <si>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</si>
  <si>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</si>
  <si>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</si>
  <si>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</si>
  <si>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</si>
  <si>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</si>
  <si>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</si>
  <si>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</si>
  <si>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</si>
  <si>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</si>
  <si>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</si>
  <si>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</si>
  <si>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</si>
  <si>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</si>
  <si>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</si>
  <si>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</si>
  <si>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</si>
  <si>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</si>
  <si>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</si>
  <si>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</si>
  <si>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</si>
  <si>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</si>
  <si>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</si>
  <si>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</si>
  <si>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</si>
  <si>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</si>
  <si>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</si>
  <si>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</si>
  <si>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</si>
  <si>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</si>
  <si>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</si>
  <si>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</si>
  <si>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</si>
  <si>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</si>
  <si>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</si>
  <si>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</si>
  <si>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</si>
  <si>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</si>
  <si>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</si>
  <si>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</si>
  <si>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</si>
  <si>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</si>
  <si>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</si>
  <si>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</si>
  <si>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</si>
  <si>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</si>
  <si>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</si>
  <si>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</si>
  <si>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</si>
  <si>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</si>
  <si>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</si>
  <si>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</si>
  <si>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</si>
  <si>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</si>
  <si>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</si>
  <si>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</si>
  <si>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</si>
  <si>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</si>
  <si>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</si>
  <si>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</si>
  <si>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</si>
  <si>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</si>
  <si>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</si>
  <si>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</si>
  <si>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</si>
  <si>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</si>
  <si>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</si>
  <si>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</si>
  <si>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</si>
  <si>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</si>
  <si>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</si>
  <si>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</si>
  <si>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</si>
  <si>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</si>
  <si>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</si>
  <si>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</si>
  <si>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</si>
  <si>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</si>
  <si>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</si>
  <si>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</si>
  <si>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</si>
  <si>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</si>
  <si>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</si>
  <si>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</si>
  <si>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</si>
  <si>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</si>
  <si>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</si>
  <si>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</si>
  <si>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</si>
  <si>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</si>
  <si>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</si>
  <si>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</si>
  <si>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</si>
  <si>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</si>
  <si>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</si>
  <si>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</si>
  <si>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</si>
  <si>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</si>
  <si>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</si>
  <si>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</si>
  <si>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</si>
  <si>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</si>
  <si>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Year t-1</t>
  </si>
  <si>
    <t>Nominal WACC</t>
  </si>
  <si>
    <t>Interest on Opening balance</t>
  </si>
  <si>
    <t>DMIA Carryover adjustment</t>
  </si>
  <si>
    <t>2011-15</t>
  </si>
  <si>
    <t>CPI - PTRM</t>
  </si>
  <si>
    <t>Nominal Vanilla WACC - PTRM</t>
  </si>
  <si>
    <t>Ex-ante revenue minus ex post expenditure ($nominal)</t>
  </si>
  <si>
    <t>UED</t>
  </si>
  <si>
    <t>Issue</t>
  </si>
  <si>
    <t>Location</t>
  </si>
  <si>
    <t>Comment</t>
  </si>
  <si>
    <t>The DNSP is expected to achieve a closing balance as close to zero as practicable in its annual metering charges unders and overs account in each forecast year in its annual pricing proposals in the 2016–20 regulatory control period.</t>
  </si>
  <si>
    <t>The DNSP is expected to achieve a closing balance as close to zero as practicable in its DUoS unders and overs account in each forecast year in its annual pricing proposals in the 2016–20 regulatory control period.</t>
  </si>
  <si>
    <t>The DNSP is expected to achieve a closing balance as close to zero as practicable in its DPPC unders and overs account in each forecast year in its annual pricing proposals in the 2016–20 regulatory control period.</t>
  </si>
  <si>
    <t>The DNSP is expected to achieve a closing balance as close to zero as practicable in its jurisdictional scheme amount unders and overs account in each forecast year in its annual pricing proposals in the 2016–20 regulatory control period.</t>
  </si>
  <si>
    <t>AMI Transitional Adjustment in 2018 prices ($)</t>
  </si>
  <si>
    <t>Vanilla' WACC (Real)</t>
  </si>
  <si>
    <t>Vanilla' WACC (nominal)</t>
  </si>
  <si>
    <t>Future value index</t>
  </si>
  <si>
    <t>AMI Transitional Adjustment - Revenue and Costs 2009-2015</t>
  </si>
  <si>
    <t>Over \ (under) recovery of revenue and costs (000's)</t>
  </si>
  <si>
    <t>NPV at 1 January 2009</t>
  </si>
  <si>
    <t>AMI Transitional Adjustment - Revenue 2016-2020</t>
  </si>
  <si>
    <t>Increase \ (Reduction) in revenue 2016-2020 (000's)</t>
  </si>
  <si>
    <t>NPV at 1 January 2016</t>
  </si>
  <si>
    <t>Total AMI Transitional Adjustment in 2018 prices ($)</t>
  </si>
  <si>
    <t>The model has actual and test data to illustrate the workings of the model.</t>
  </si>
  <si>
    <t>Item</t>
  </si>
  <si>
    <t>The following is test data to illustrate the workings of the model.</t>
  </si>
  <si>
    <t>Input data required from DNSPs</t>
  </si>
  <si>
    <t>Transmission charges for year t-1</t>
  </si>
  <si>
    <t>PFIT &amp; TFIT charges for year t-1</t>
  </si>
  <si>
    <t>Model update'!G54:G58</t>
  </si>
  <si>
    <t>DuoS Xt for2019</t>
  </si>
  <si>
    <t>Model update'!G66:G70</t>
  </si>
  <si>
    <t>Metering Xt for2019</t>
  </si>
  <si>
    <t>Model update'!G94:G98</t>
  </si>
  <si>
    <t>Model update'!G105:G109</t>
  </si>
  <si>
    <t>Model update'!G127:G131</t>
  </si>
  <si>
    <t>Model update'!G116:G120</t>
  </si>
  <si>
    <t>Metering!D8:D12</t>
  </si>
  <si>
    <t>Metering!F8:F12</t>
  </si>
  <si>
    <t>Metering!D80:D84</t>
  </si>
  <si>
    <t>Model update'!D37:H41</t>
  </si>
  <si>
    <t>Values may require updating</t>
  </si>
  <si>
    <t>NIL for 2019</t>
  </si>
  <si>
    <t xml:space="preserve">T - factor </t>
  </si>
  <si>
    <t>Added Tt-1 and adjusted formula in I27 so that it is (Tt-Tt-1)/R</t>
  </si>
  <si>
    <t>Indicative prices for 2020'!A1:O65</t>
  </si>
  <si>
    <t>TSS indicative prices for 2020</t>
  </si>
  <si>
    <t>2019TransRevCont'!C20:C23</t>
  </si>
  <si>
    <t>2019TransRevCont'!D42:D45</t>
  </si>
  <si>
    <t>2019JSRevCont'!C20:C21</t>
  </si>
  <si>
    <t>2019JSRevCont'!D40:D41</t>
  </si>
  <si>
    <t>Materiality threshold</t>
  </si>
  <si>
    <t>TSS name</t>
  </si>
  <si>
    <t>Proposal name</t>
  </si>
  <si>
    <t>IndTar
Fixed</t>
  </si>
  <si>
    <t>IndTar
PkBlk1</t>
  </si>
  <si>
    <t>IndTar
PkBlk2</t>
  </si>
  <si>
    <t>IndTar
PkBlk3</t>
  </si>
  <si>
    <t>IndTar
PkBlk4</t>
  </si>
  <si>
    <t>IndTar
OPkBlk1</t>
  </si>
  <si>
    <t>IndTar
OPkBlk2</t>
  </si>
  <si>
    <t>IndTar
OPkBlk3</t>
  </si>
  <si>
    <t>IndTar
OPkBlk4</t>
  </si>
  <si>
    <t>IndTar
DemBlk1</t>
  </si>
  <si>
    <t>IndTar
DemBlk2</t>
  </si>
  <si>
    <t>IndTar
DemBlk3</t>
  </si>
  <si>
    <t>IndTar
DemBlk4</t>
  </si>
  <si>
    <t xml:space="preserve">
Fixed</t>
  </si>
  <si>
    <t xml:space="preserve">
PkBlk1</t>
  </si>
  <si>
    <t xml:space="preserve">
PkBlk2</t>
  </si>
  <si>
    <t xml:space="preserve">
PkBlk3</t>
  </si>
  <si>
    <t xml:space="preserve">
PkBlk4</t>
  </si>
  <si>
    <t xml:space="preserve">
OPkBlk1</t>
  </si>
  <si>
    <t xml:space="preserve">
OPkBlk2</t>
  </si>
  <si>
    <t xml:space="preserve">
OPkBlk3</t>
  </si>
  <si>
    <t xml:space="preserve">
OPkBlk4</t>
  </si>
  <si>
    <t xml:space="preserve">
DemBlk1</t>
  </si>
  <si>
    <t xml:space="preserve">
DemBlk2</t>
  </si>
  <si>
    <t xml:space="preserve">
DemBlk3</t>
  </si>
  <si>
    <t xml:space="preserve">
DemBlk4</t>
  </si>
  <si>
    <t>Explanation required?</t>
  </si>
  <si>
    <t>Low voltage small 1 rate</t>
  </si>
  <si>
    <t>Winter economy tariff</t>
  </si>
  <si>
    <t>Reverse cycle airconditioning time of use</t>
  </si>
  <si>
    <t>Low voltage small 2 rate</t>
  </si>
  <si>
    <t>Dedicated circuit</t>
  </si>
  <si>
    <t>Low voltage medium 1 rate</t>
  </si>
  <si>
    <t>Low voltage medium 2 rate 5 day</t>
  </si>
  <si>
    <t>Low voltage medium 2 rate 7 day</t>
  </si>
  <si>
    <t>Unmetered supplies</t>
  </si>
  <si>
    <t>Low voltage large 1 rate</t>
  </si>
  <si>
    <t>Low voltage large 2 rate</t>
  </si>
  <si>
    <t>Low voltage KW time of use</t>
  </si>
  <si>
    <t>Low voltage KW time of use - HOT</t>
  </si>
  <si>
    <t>Low voltage large KVA time of use</t>
  </si>
  <si>
    <t>Low voltage large KVA time of use - HOT</t>
  </si>
  <si>
    <t>High voltage KVA time of use</t>
  </si>
  <si>
    <t>High voltage KVA time of use - HOT</t>
  </si>
  <si>
    <t>Subtransmission KVA time of use</t>
  </si>
  <si>
    <t>TOD</t>
  </si>
  <si>
    <t>TOD9</t>
  </si>
  <si>
    <t>TOU</t>
  </si>
  <si>
    <t>TODFLEX</t>
  </si>
  <si>
    <t>Low Voltage KW 1 rate</t>
  </si>
  <si>
    <t>Low voltage medium KW time of use (opt-in)</t>
  </si>
  <si>
    <t>Low voltage medium KW 1 rate (mandatory)</t>
  </si>
  <si>
    <t>Winter Energy Tariff*</t>
  </si>
  <si>
    <t>Reverse cycle airconditioning time of use*</t>
  </si>
  <si>
    <t>Low voltage small 2 rate*</t>
  </si>
  <si>
    <t>Dedicated circuit**</t>
  </si>
  <si>
    <t>Low voltage medium 2 rate 5 day*</t>
  </si>
  <si>
    <t>Low voltage medium 2 rate 7 day*</t>
  </si>
  <si>
    <t>Low voltage large 1 rate*</t>
  </si>
  <si>
    <t>Low voltage large 2 rate*</t>
  </si>
  <si>
    <t>Low voltage KW time of use*</t>
  </si>
  <si>
    <t>Low voltage KW time of use - HOT*</t>
  </si>
  <si>
    <t>Low voltage large KVA time of use - HOT*</t>
  </si>
  <si>
    <t>High voltage KVA time of use - HOT*</t>
  </si>
  <si>
    <t>Subtransmission KVA time of use*</t>
  </si>
  <si>
    <t>Time of Day</t>
  </si>
  <si>
    <t>Time of Day 9pm off-peak</t>
  </si>
  <si>
    <t>Time of Use</t>
  </si>
  <si>
    <t>Time of Day Flexible</t>
  </si>
  <si>
    <t>Low voltage KW 1 rate</t>
  </si>
  <si>
    <t>Low Voltage Medium kW Time of Use (Opt-in)</t>
  </si>
  <si>
    <t>Low Voltage Medium kW 1 rate (Mandatory)</t>
  </si>
  <si>
    <t>AEMO (TUOS Locational Charge) - 2017</t>
  </si>
  <si>
    <t>AEMO (TUOS Non Locational and Common Service) - 2017</t>
  </si>
  <si>
    <t>Grid equalisation - 2017</t>
  </si>
  <si>
    <t>Ausnet (Connection) - 2017</t>
  </si>
  <si>
    <t>Ausnet &amp; AEMO (Augmentation) - 2017</t>
  </si>
  <si>
    <t>Citipower</t>
  </si>
  <si>
    <t>Ausnet</t>
  </si>
  <si>
    <t>Embedded generators</t>
  </si>
  <si>
    <t>Prop2019DistTar!D6:P30</t>
  </si>
  <si>
    <t>Prop2019DistTar!AF6:AR30</t>
  </si>
  <si>
    <t>Est2018DistRev!R6:AD30</t>
  </si>
  <si>
    <t>Prop2019TransTar!D6:P30</t>
  </si>
  <si>
    <t>Prop2019JSTar!D6:P30</t>
  </si>
  <si>
    <t>Metering!E31 and I27</t>
  </si>
  <si>
    <t>Metering!E32 and I28</t>
  </si>
  <si>
    <t xml:space="preserve">B - factor </t>
  </si>
  <si>
    <t>Added Bt-1 and adjusted formula in I28 so that it is (Bt-Bt-1)/R</t>
  </si>
  <si>
    <t>2019 Unmetered supply'!G7:I7</t>
  </si>
  <si>
    <t>Proposed 2019 Unmetered Supply Tariffs</t>
  </si>
  <si>
    <t>2019 Unmetered supply'!K7:M7</t>
  </si>
  <si>
    <t>Ifactor (t) 2019</t>
  </si>
  <si>
    <t>S factor (t) 2019</t>
  </si>
  <si>
    <t>Pass through amounts (t) 2019</t>
  </si>
  <si>
    <t>Licence Fee (t-1) 2017-18</t>
  </si>
  <si>
    <t>Qt-2 (2017)</t>
  </si>
  <si>
    <t>Proposed Metering Tariffs P(t) for 2019</t>
  </si>
  <si>
    <t>Forecast Quantities   (Qt) for 2019</t>
  </si>
  <si>
    <t>Estimated Quantities   (Qt-1) for 2018</t>
  </si>
  <si>
    <t>Proposed Distribution Tariffs (Pt) for 2019</t>
  </si>
  <si>
    <t>Forecast Quantities (Qt) for 2019</t>
  </si>
  <si>
    <t xml:space="preserve"> Estimated Distribution Quantities for 2018 (Qt-1)</t>
  </si>
  <si>
    <t>Proposed Transmission Tariffs (Pt) for 2019</t>
  </si>
  <si>
    <t>Proposed Jurisdictional scheme Tariffs (Pt) for 2019</t>
  </si>
  <si>
    <t>Formula modified</t>
  </si>
  <si>
    <t>2019DistRevCapForm'!C28</t>
  </si>
  <si>
    <t>2019TransRevCont'!C15</t>
  </si>
  <si>
    <t>2019JSRevCont'!B15</t>
  </si>
  <si>
    <t>DNSP required to populate with relevant data</t>
  </si>
  <si>
    <t>Metering!D32</t>
  </si>
  <si>
    <t>Transmission connection (TCt)</t>
  </si>
  <si>
    <t>Values updated</t>
  </si>
  <si>
    <t>Values updated for 2019 cost of debt and inflation correction</t>
  </si>
  <si>
    <t>Values updated for 2019 cost of debt</t>
  </si>
  <si>
    <t>NUOS</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</si>
</sst>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44" formatCode="_-&quot;$&quot;* #,##0.00_-;\-&quot;$&quot;* #,##0.00_-;_-&quot;$&quot;* &quot;-&quot;??_-;_-@_-"/>
    <numFmt numFmtId="43" formatCode="_-* #,##0.00_-;\-* #,##0.00_-;_-* &quot;-&quot;??_-;_-@_-"/>
    <numFmt numFmtId="164" formatCode="0.0"/>
    <numFmt numFmtId="165" formatCode="0.000000%"/>
    <numFmt numFmtId="166" formatCode="&quot;$&quot;#,##0;[Red]&quot;$&quot;#,##0"/>
    <numFmt numFmtId="167" formatCode="&quot;$&quot;#,##0.00;[Red]&quot;$&quot;#,##0.00"/>
    <numFmt numFmtId="168" formatCode="0.0%"/>
    <numFmt numFmtId="169" formatCode="_-* #,##0_-;\-* #,##0_-;_-* &quot;-&quot;??_-;_-@_-"/>
    <numFmt numFmtId="170" formatCode="0.000"/>
    <numFmt numFmtId="171" formatCode="#,##0.000"/>
    <numFmt numFmtId="172" formatCode="#,##0.000000000000000"/>
    <numFmt numFmtId="173" formatCode="_(* #,##0.00_);_(* \(#,##0.00\);_(* &quot;-&quot;??_);_(@_)"/>
    <numFmt numFmtId="174" formatCode="_-* #,##0.000_-;\-* #,##0.000_-;_-* &quot;-&quot;??_-;_-@_-"/>
    <numFmt numFmtId="175" formatCode="_-* #,##0.0000_-;\-* #,##0.0000_-;_-* &quot;-&quot;??_-;_-@_-"/>
    <numFmt numFmtId="176" formatCode="_-* #,##0.000_-;\-* #,##0.000_-;_-* &quot;-&quot;_-;_-@_-"/>
    <numFmt numFmtId="177" formatCode="_-* #,##0.0000_-;\-* #,##0.0000_-;_-* &quot;-&quot;_-;_-@_-"/>
    <numFmt numFmtId="178" formatCode="_(* #,##0_);_(* \(#,##0\);_(* &quot;-&quot;_);_(@_)"/>
    <numFmt numFmtId="179" formatCode="0.0000%"/>
    <numFmt numFmtId="180" formatCode="0.000%"/>
    <numFmt numFmtId="181" formatCode="0.000000000000000000%"/>
    <numFmt numFmtId="182" formatCode="&quot;$&quot;#,##0.0000;[Red]&quot;$&quot;#,##0.0000"/>
    <numFmt numFmtId="183" formatCode="&quot;$&quot;#,##0.000000;[Red]&quot;$&quot;#,##0.000000"/>
  </numFmts>
  <fonts count="69" x14ac:knownFonts="1">
    <font>
      <sz val="10"/>
      <color theme="1"/>
      <name val="Arial"/>
      <family val="2"/>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sz val="11"/>
      <color rgb="FFFF0000"/>
      <name val="Arial"/>
      <family val="2"/>
    </font>
    <font>
      <b/>
      <sz val="11"/>
      <color theme="1"/>
      <name val="Arial"/>
      <family val="2"/>
    </font>
    <font>
      <b/>
      <sz val="10"/>
      <name val="Arial"/>
      <family val="2"/>
    </font>
    <font>
      <i/>
      <sz val="10"/>
      <name val="Arial"/>
      <family val="2"/>
    </font>
    <font>
      <sz val="8"/>
      <name val="Arial"/>
      <family val="2"/>
    </font>
    <font>
      <sz val="10"/>
      <color indexed="12"/>
      <name val="Arial"/>
      <family val="2"/>
    </font>
    <font>
      <b/>
      <u/>
      <sz val="12"/>
      <color rgb="FFFF0000"/>
      <name val="Arial"/>
      <family val="2"/>
    </font>
    <font>
      <sz val="10"/>
      <color rgb="FF0000FF"/>
      <name val="Arial"/>
      <family val="2"/>
    </font>
    <font>
      <i/>
      <sz val="11"/>
      <name val="Arial"/>
      <family val="2"/>
    </font>
    <font>
      <b/>
      <sz val="12"/>
      <color theme="1"/>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7"/>
      <color theme="1"/>
      <name val="Arial"/>
      <family val="2"/>
    </font>
    <font>
      <b/>
      <u/>
      <sz val="10"/>
      <color rgb="FFFF0000"/>
      <name val="Arial"/>
      <family val="2"/>
    </font>
    <font>
      <b/>
      <vertAlign val="subscript"/>
      <sz val="10"/>
      <name val="Arial"/>
      <family val="2"/>
    </font>
    <font>
      <b/>
      <sz val="10"/>
      <color indexed="8"/>
      <name val="Arial"/>
      <family val="2"/>
    </font>
    <font>
      <b/>
      <u/>
      <sz val="14"/>
      <color rgb="FFFF0000"/>
      <name val="Arial"/>
      <family val="2"/>
    </font>
    <font>
      <sz val="11"/>
      <color rgb="FF0000FF"/>
      <name val="Arial"/>
      <family val="2"/>
    </font>
    <font>
      <b/>
      <sz val="10"/>
      <color theme="1"/>
      <name val="Arial"/>
      <family val="2"/>
    </font>
    <font>
      <b/>
      <u/>
      <sz val="11"/>
      <name val="Verdana"/>
      <family val="2"/>
    </font>
    <font>
      <b/>
      <sz val="10"/>
      <name val="Verdana"/>
      <family val="2"/>
    </font>
    <font>
      <sz val="10"/>
      <color indexed="12"/>
      <name val="Verdana"/>
      <family val="2"/>
    </font>
    <font>
      <b/>
      <sz val="10"/>
      <color indexed="10"/>
      <name val="Verdana"/>
      <family val="2"/>
    </font>
    <font>
      <sz val="10"/>
      <color indexed="10"/>
      <name val="Verdana"/>
      <family val="2"/>
    </font>
    <font>
      <b/>
      <vertAlign val="superscript"/>
      <sz val="10"/>
      <color theme="1"/>
      <name val="Arial"/>
      <family val="2"/>
    </font>
    <font>
      <vertAlign val="subscript"/>
      <sz val="10"/>
      <color theme="1"/>
      <name val="Arial"/>
      <family val="2"/>
    </font>
    <font>
      <sz val="10"/>
      <color rgb="FF0000FF"/>
      <name val="Verdana"/>
      <family val="2"/>
    </font>
    <font>
      <b/>
      <sz val="11"/>
      <color theme="1"/>
      <name val="Calibri"/>
      <family val="2"/>
      <scheme val="minor"/>
    </font>
    <font>
      <sz val="11"/>
      <color rgb="FFFF0000"/>
      <name val="Calibri"/>
      <family val="2"/>
      <scheme val="minor"/>
    </font>
    <font>
      <sz val="11"/>
      <name val="Calibri"/>
      <family val="2"/>
      <scheme val="minor"/>
    </font>
    <font>
      <sz val="11"/>
      <color rgb="FF0000FF"/>
      <name val="Calibri"/>
      <family val="2"/>
      <scheme val="minor"/>
    </font>
    <font>
      <b/>
      <sz val="11"/>
      <color rgb="FFFF0000"/>
      <name val="Arial"/>
      <family val="2"/>
    </font>
    <font>
      <b/>
      <sz val="10"/>
      <color rgb="FF0000FF"/>
      <name val="Arial"/>
      <family val="2"/>
    </font>
    <font>
      <b/>
      <sz val="12"/>
      <color theme="1"/>
      <name val="Calibri"/>
      <family val="2"/>
      <scheme val="minor"/>
    </font>
    <font>
      <b/>
      <u/>
      <sz val="11"/>
      <color theme="1"/>
      <name val="Calibri"/>
      <family val="2"/>
      <scheme val="minor"/>
    </font>
    <font>
      <b/>
      <sz val="11"/>
      <name val="Calibri"/>
      <family val="2"/>
      <scheme val="minor"/>
    </font>
    <font>
      <b/>
      <sz val="12"/>
      <color rgb="FFFF0000"/>
      <name val="Calibri"/>
      <family val="2"/>
      <scheme val="minor"/>
    </font>
    <font>
      <sz val="8"/>
      <color rgb="FFFF0000"/>
      <name val="Arial"/>
      <family val="2"/>
    </font>
    <font>
      <sz val="10"/>
      <color rgb="FFFF00FF"/>
      <name val="Arial"/>
      <family val="2"/>
    </font>
  </fonts>
  <fills count="23">
    <fill>
      <patternFill patternType="none"/>
    </fill>
    <fill>
      <patternFill patternType="gray125"/>
    </fill>
    <fill>
      <patternFill patternType="solid">
        <fgColor rgb="FF365F91"/>
        <bgColor indexed="64"/>
      </patternFill>
    </fill>
    <fill>
      <patternFill patternType="solid">
        <fgColor rgb="FFDBE5F1"/>
        <bgColor indexed="64"/>
      </patternFill>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0" tint="-0.34998626667073579"/>
        <bgColor indexed="64"/>
      </patternFill>
    </fill>
    <fill>
      <patternFill patternType="solid">
        <fgColor theme="9" tint="0.59999389629810485"/>
        <bgColor indexed="64"/>
      </patternFill>
    </fill>
  </fills>
  <borders count="66">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thin">
        <color indexed="64"/>
      </top>
      <bottom style="double">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s>
  <cellStyleXfs count="23">
    <xf numFmtId="0" fontId="0" fillId="0" borderId="0"/>
    <xf numFmtId="0" fontId="12" fillId="0" borderId="0"/>
    <xf numFmtId="0" fontId="13" fillId="0" borderId="0"/>
    <xf numFmtId="9" fontId="12" fillId="0" borderId="0" applyFont="0" applyFill="0" applyBorder="0" applyAlignment="0" applyProtection="0"/>
    <xf numFmtId="0" fontId="14" fillId="0" borderId="0"/>
    <xf numFmtId="43" fontId="1" fillId="0" borderId="0" applyFont="0" applyFill="0" applyBorder="0" applyAlignment="0" applyProtection="0"/>
    <xf numFmtId="9" fontId="1" fillId="0" borderId="0" applyFont="0" applyFill="0" applyBorder="0" applyAlignment="0" applyProtection="0"/>
    <xf numFmtId="0" fontId="13" fillId="0" borderId="0"/>
    <xf numFmtId="3" fontId="13" fillId="11" borderId="0" applyNumberFormat="0" applyFont="0" applyBorder="0" applyAlignment="0">
      <alignment horizontal="right"/>
      <protection locked="0"/>
    </xf>
    <xf numFmtId="0" fontId="13" fillId="0" borderId="0"/>
    <xf numFmtId="0" fontId="13" fillId="0" borderId="0"/>
    <xf numFmtId="0" fontId="13" fillId="0" borderId="0"/>
    <xf numFmtId="0" fontId="13" fillId="0" borderId="0"/>
    <xf numFmtId="0" fontId="13" fillId="0" borderId="0"/>
    <xf numFmtId="0" fontId="15" fillId="14" borderId="0" applyNumberFormat="0" applyBorder="0" applyAlignment="0" applyProtection="0"/>
    <xf numFmtId="173" fontId="12" fillId="0" borderId="0" applyFont="0" applyFill="0" applyBorder="0" applyAlignment="0" applyProtection="0"/>
    <xf numFmtId="0" fontId="12" fillId="0" borderId="0"/>
    <xf numFmtId="0" fontId="13" fillId="0" borderId="0"/>
    <xf numFmtId="0" fontId="13" fillId="0" borderId="0"/>
    <xf numFmtId="0" fontId="14" fillId="0" borderId="0"/>
    <xf numFmtId="0" fontId="13" fillId="0" borderId="0"/>
    <xf numFmtId="9" fontId="14" fillId="0" borderId="0" applyFont="0" applyFill="0" applyBorder="0" applyAlignment="0" applyProtection="0"/>
    <xf numFmtId="44" fontId="1" fillId="0" borderId="0" applyFont="0" applyFill="0" applyBorder="0" applyAlignment="0" applyProtection="0"/>
  </cellStyleXfs>
  <cellXfs count="875">
    <xf numFmtId="0" fontId="0" fillId="0" borderId="0" xfId="0"/>
    <xf numFmtId="0" fontId="2" fillId="0" borderId="0" xfId="0" applyFont="1" applyAlignment="1">
      <alignment vertical="center"/>
    </xf>
    <xf numFmtId="0" fontId="1" fillId="0" borderId="0" xfId="0" applyFont="1" applyAlignment="1">
      <alignment horizontal="left" vertical="center" indent="2"/>
    </xf>
    <xf numFmtId="0" fontId="3" fillId="0" borderId="0" xfId="0" applyFont="1" applyAlignment="1">
      <alignment horizontal="left" vertical="center" indent="2"/>
    </xf>
    <xf numFmtId="0" fontId="3" fillId="0" borderId="0" xfId="0" applyFont="1" applyAlignment="1">
      <alignment vertical="center"/>
    </xf>
    <xf numFmtId="0" fontId="3" fillId="0" borderId="0" xfId="0" applyFont="1" applyAlignment="1">
      <alignment horizontal="left" vertical="center" indent="3"/>
    </xf>
    <xf numFmtId="0" fontId="4" fillId="0" borderId="0" xfId="0" applyFont="1" applyAlignment="1">
      <alignment vertical="center"/>
    </xf>
    <xf numFmtId="0" fontId="3" fillId="0" borderId="0" xfId="0" applyFont="1" applyAlignment="1">
      <alignment horizontal="left" vertical="center" indent="1"/>
    </xf>
    <xf numFmtId="0" fontId="6" fillId="0" borderId="0" xfId="0" applyFont="1" applyAlignment="1">
      <alignment horizontal="left" vertical="center" indent="1"/>
    </xf>
    <xf numFmtId="0" fontId="5" fillId="0" borderId="0" xfId="0" applyFont="1" applyAlignment="1">
      <alignment horizontal="left" vertical="center" indent="1"/>
    </xf>
    <xf numFmtId="0" fontId="8" fillId="2" borderId="0" xfId="0" applyFont="1" applyFill="1" applyAlignment="1">
      <alignment horizontal="right" vertical="center" wrapText="1"/>
    </xf>
    <xf numFmtId="0" fontId="9" fillId="0" borderId="0" xfId="0" applyFont="1" applyAlignment="1">
      <alignment vertical="center" wrapText="1"/>
    </xf>
    <xf numFmtId="0" fontId="9" fillId="0" borderId="0" xfId="0" applyFont="1" applyAlignment="1">
      <alignment horizontal="right" vertical="center" wrapText="1"/>
    </xf>
    <xf numFmtId="0" fontId="9" fillId="3" borderId="0" xfId="0" applyFont="1" applyFill="1" applyAlignment="1">
      <alignment vertical="center" wrapText="1"/>
    </xf>
    <xf numFmtId="0" fontId="9" fillId="3" borderId="0" xfId="0" applyFont="1" applyFill="1" applyAlignment="1">
      <alignment horizontal="right" vertical="center" wrapText="1"/>
    </xf>
    <xf numFmtId="0" fontId="5" fillId="0" borderId="0" xfId="0" applyFont="1" applyAlignment="1">
      <alignment horizontal="left" vertical="center" wrapText="1" indent="1"/>
    </xf>
    <xf numFmtId="0" fontId="5" fillId="0" borderId="0" xfId="0" applyFont="1" applyAlignment="1">
      <alignment horizontal="right" vertical="center" wrapText="1"/>
    </xf>
    <xf numFmtId="0" fontId="5" fillId="3" borderId="0" xfId="0" applyFont="1" applyFill="1" applyAlignment="1">
      <alignment horizontal="left" vertical="center" wrapText="1" indent="1"/>
    </xf>
    <xf numFmtId="0" fontId="5" fillId="3" borderId="0" xfId="0" applyFont="1" applyFill="1" applyAlignment="1">
      <alignment horizontal="right" vertical="center" wrapText="1"/>
    </xf>
    <xf numFmtId="0" fontId="10" fillId="0" borderId="0" xfId="0" applyFont="1" applyAlignment="1">
      <alignment horizontal="left" vertical="center" wrapText="1" indent="3"/>
    </xf>
    <xf numFmtId="0" fontId="10" fillId="0" borderId="0" xfId="0" applyFont="1" applyAlignment="1">
      <alignment horizontal="right" vertical="center" wrapText="1"/>
    </xf>
    <xf numFmtId="0" fontId="10" fillId="3" borderId="0" xfId="0" applyFont="1" applyFill="1" applyAlignment="1">
      <alignment horizontal="left" vertical="center" wrapText="1" indent="3"/>
    </xf>
    <xf numFmtId="0" fontId="10" fillId="3" borderId="0" xfId="0" applyFont="1" applyFill="1" applyAlignment="1">
      <alignment horizontal="right" vertical="center" wrapText="1"/>
    </xf>
    <xf numFmtId="0" fontId="5" fillId="3" borderId="0" xfId="0" applyFont="1" applyFill="1" applyAlignment="1">
      <alignment vertical="center" wrapText="1"/>
    </xf>
    <xf numFmtId="10" fontId="5" fillId="3" borderId="0" xfId="0" applyNumberFormat="1" applyFont="1" applyFill="1" applyAlignment="1">
      <alignment horizontal="right" vertical="center" wrapText="1"/>
    </xf>
    <xf numFmtId="0" fontId="5" fillId="0" borderId="0" xfId="0" applyFont="1" applyAlignment="1">
      <alignment vertical="center" wrapText="1"/>
    </xf>
    <xf numFmtId="10" fontId="5" fillId="0" borderId="0" xfId="0" applyNumberFormat="1" applyFont="1" applyAlignment="1">
      <alignment horizontal="right" vertical="center" wrapText="1"/>
    </xf>
    <xf numFmtId="0" fontId="9" fillId="0" borderId="1" xfId="0" applyFont="1" applyBorder="1" applyAlignment="1">
      <alignment vertical="center" wrapText="1"/>
    </xf>
    <xf numFmtId="0" fontId="9" fillId="0" borderId="1" xfId="0" applyFont="1" applyBorder="1" applyAlignment="1">
      <alignment horizontal="right" vertical="center" wrapText="1"/>
    </xf>
    <xf numFmtId="0" fontId="5" fillId="0" borderId="0" xfId="0" applyFont="1" applyAlignment="1">
      <alignment horizontal="justify" vertical="center"/>
    </xf>
    <xf numFmtId="0" fontId="9" fillId="3" borderId="1" xfId="0" applyFont="1" applyFill="1" applyBorder="1" applyAlignment="1">
      <alignment vertical="center" wrapText="1"/>
    </xf>
    <xf numFmtId="0" fontId="9" fillId="3" borderId="1" xfId="0" applyFont="1" applyFill="1" applyBorder="1" applyAlignment="1">
      <alignment horizontal="right" vertical="center" wrapText="1"/>
    </xf>
    <xf numFmtId="0" fontId="4" fillId="0" borderId="0" xfId="0" applyFont="1" applyProtection="1">
      <protection locked="0"/>
    </xf>
    <xf numFmtId="0" fontId="3" fillId="0" borderId="0" xfId="0" applyFont="1" applyProtection="1"/>
    <xf numFmtId="170" fontId="3" fillId="0" borderId="0" xfId="0" applyNumberFormat="1" applyFont="1" applyAlignment="1" applyProtection="1">
      <alignment horizontal="center"/>
    </xf>
    <xf numFmtId="0" fontId="3" fillId="0" borderId="0" xfId="0" applyFont="1" applyProtection="1">
      <protection locked="0"/>
    </xf>
    <xf numFmtId="171" fontId="3" fillId="0" borderId="0" xfId="0" applyNumberFormat="1" applyFont="1" applyProtection="1">
      <protection locked="0"/>
    </xf>
    <xf numFmtId="2" fontId="19" fillId="0" borderId="0" xfId="5" applyNumberFormat="1" applyFont="1" applyAlignment="1" applyProtection="1">
      <alignment horizontal="left"/>
    </xf>
    <xf numFmtId="2" fontId="19" fillId="0" borderId="0" xfId="5" applyNumberFormat="1" applyFont="1" applyAlignment="1" applyProtection="1">
      <alignment horizontal="left"/>
      <protection locked="0"/>
    </xf>
    <xf numFmtId="2" fontId="18" fillId="0" borderId="0" xfId="5" applyNumberFormat="1" applyFont="1" applyFill="1" applyAlignment="1" applyProtection="1">
      <alignment horizontal="left"/>
      <protection locked="0"/>
    </xf>
    <xf numFmtId="0" fontId="4" fillId="0" borderId="0" xfId="0" applyFont="1" applyProtection="1"/>
    <xf numFmtId="170" fontId="4" fillId="0" borderId="0" xfId="0" applyNumberFormat="1" applyFont="1" applyAlignment="1" applyProtection="1">
      <alignment horizontal="center"/>
    </xf>
    <xf numFmtId="171" fontId="4" fillId="0" borderId="0" xfId="0" applyNumberFormat="1" applyFont="1" applyProtection="1">
      <protection locked="0"/>
    </xf>
    <xf numFmtId="0" fontId="4" fillId="0" borderId="0" xfId="0" applyFont="1" applyAlignment="1" applyProtection="1">
      <alignment vertical="center"/>
      <protection locked="0"/>
    </xf>
    <xf numFmtId="0" fontId="19" fillId="0" borderId="0" xfId="0" applyFont="1" applyBorder="1" applyAlignment="1" applyProtection="1">
      <alignment vertical="center"/>
    </xf>
    <xf numFmtId="0" fontId="3" fillId="0" borderId="0" xfId="0" applyFont="1" applyBorder="1" applyAlignment="1" applyProtection="1">
      <alignment vertical="center"/>
    </xf>
    <xf numFmtId="170" fontId="19" fillId="0" borderId="0" xfId="0" applyNumberFormat="1" applyFont="1" applyBorder="1" applyAlignment="1" applyProtection="1">
      <alignment horizontal="center" vertical="center"/>
    </xf>
    <xf numFmtId="0" fontId="3" fillId="0" borderId="0" xfId="0" applyFont="1" applyFill="1" applyBorder="1" applyProtection="1">
      <protection locked="0"/>
    </xf>
    <xf numFmtId="0" fontId="4" fillId="0" borderId="11" xfId="0" applyFont="1" applyFill="1" applyBorder="1" applyAlignment="1" applyProtection="1">
      <alignment vertical="center"/>
    </xf>
    <xf numFmtId="172" fontId="4" fillId="0" borderId="0" xfId="0" applyNumberFormat="1" applyFont="1" applyFill="1" applyBorder="1" applyProtection="1">
      <protection locked="0"/>
    </xf>
    <xf numFmtId="3" fontId="20" fillId="0" borderId="0" xfId="8" applyFont="1" applyFill="1" applyBorder="1" applyAlignment="1" applyProtection="1">
      <alignment horizontal="left"/>
      <protection locked="0"/>
    </xf>
    <xf numFmtId="0" fontId="22" fillId="0" borderId="0" xfId="0" applyFont="1" applyFill="1" applyProtection="1">
      <protection locked="0"/>
    </xf>
    <xf numFmtId="0" fontId="3" fillId="0" borderId="7" xfId="0" applyFont="1" applyFill="1" applyBorder="1" applyAlignment="1" applyProtection="1">
      <alignment vertical="center"/>
    </xf>
    <xf numFmtId="0" fontId="4" fillId="0" borderId="11" xfId="0" applyFont="1" applyBorder="1" applyAlignment="1" applyProtection="1">
      <alignment vertical="center"/>
    </xf>
    <xf numFmtId="0" fontId="4" fillId="4" borderId="11" xfId="0" applyFont="1" applyFill="1" applyBorder="1" applyAlignment="1" applyProtection="1">
      <alignment vertical="center"/>
    </xf>
    <xf numFmtId="0" fontId="4" fillId="0" borderId="7" xfId="0" applyFont="1" applyFill="1" applyBorder="1" applyAlignment="1" applyProtection="1">
      <alignment vertical="center"/>
    </xf>
    <xf numFmtId="0" fontId="19" fillId="0" borderId="7" xfId="0" applyFont="1" applyBorder="1" applyAlignment="1" applyProtection="1">
      <alignment vertical="center"/>
    </xf>
    <xf numFmtId="0" fontId="4" fillId="0" borderId="0" xfId="0" applyFont="1" applyBorder="1" applyAlignment="1" applyProtection="1">
      <alignment vertical="center"/>
    </xf>
    <xf numFmtId="0" fontId="19" fillId="0" borderId="0" xfId="9" applyFont="1" applyProtection="1"/>
    <xf numFmtId="0" fontId="19" fillId="0" borderId="11" xfId="9" applyFont="1" applyBorder="1" applyProtection="1"/>
    <xf numFmtId="0" fontId="4" fillId="0" borderId="11" xfId="9" applyFont="1" applyBorder="1" applyProtection="1"/>
    <xf numFmtId="0" fontId="4" fillId="0" borderId="0" xfId="7" applyFont="1"/>
    <xf numFmtId="170" fontId="4" fillId="0" borderId="0" xfId="7" applyNumberFormat="1" applyFont="1" applyFill="1" applyAlignment="1" applyProtection="1">
      <alignment horizontal="center"/>
    </xf>
    <xf numFmtId="2" fontId="24" fillId="11" borderId="0" xfId="5" applyNumberFormat="1" applyFont="1" applyFill="1" applyAlignment="1" applyProtection="1">
      <alignment horizontal="left"/>
      <protection locked="0"/>
    </xf>
    <xf numFmtId="3" fontId="4" fillId="0" borderId="11" xfId="6" applyNumberFormat="1" applyFont="1" applyFill="1" applyBorder="1" applyAlignment="1" applyProtection="1">
      <alignment horizontal="right" vertical="center"/>
    </xf>
    <xf numFmtId="3" fontId="19" fillId="12" borderId="11" xfId="6" applyNumberFormat="1" applyFont="1" applyFill="1" applyBorder="1" applyAlignment="1" applyProtection="1">
      <alignment horizontal="right" vertical="center"/>
      <protection hidden="1"/>
    </xf>
    <xf numFmtId="3" fontId="4" fillId="10" borderId="11" xfId="0" applyNumberFormat="1" applyFont="1" applyFill="1" applyBorder="1" applyAlignment="1" applyProtection="1">
      <alignment horizontal="right" vertical="center"/>
    </xf>
    <xf numFmtId="10" fontId="4" fillId="0" borderId="11" xfId="6" applyNumberFormat="1" applyFont="1" applyFill="1" applyBorder="1" applyAlignment="1" applyProtection="1">
      <alignment horizontal="right" vertical="center"/>
      <protection hidden="1"/>
    </xf>
    <xf numFmtId="171" fontId="19" fillId="0" borderId="0" xfId="6" applyNumberFormat="1" applyFont="1" applyFill="1" applyBorder="1" applyAlignment="1" applyProtection="1">
      <alignment horizontal="right" vertical="center"/>
      <protection hidden="1"/>
    </xf>
    <xf numFmtId="3" fontId="20" fillId="0" borderId="0" xfId="8" applyFont="1" applyFill="1" applyBorder="1" applyAlignment="1" applyProtection="1">
      <alignment horizontal="right"/>
      <protection locked="0"/>
    </xf>
    <xf numFmtId="3" fontId="4" fillId="0" borderId="11" xfId="9" applyNumberFormat="1" applyFont="1" applyFill="1" applyBorder="1" applyAlignment="1" applyProtection="1">
      <alignment horizontal="right"/>
    </xf>
    <xf numFmtId="3" fontId="19" fillId="13" borderId="11" xfId="6" applyNumberFormat="1" applyFont="1" applyFill="1" applyBorder="1" applyAlignment="1" applyProtection="1">
      <alignment horizontal="right" vertical="center"/>
      <protection hidden="1"/>
    </xf>
    <xf numFmtId="3" fontId="19" fillId="0" borderId="11" xfId="0" applyNumberFormat="1" applyFont="1" applyFill="1" applyBorder="1" applyAlignment="1" applyProtection="1">
      <alignment horizontal="right" vertical="center"/>
    </xf>
    <xf numFmtId="0" fontId="19" fillId="11" borderId="0" xfId="5" applyNumberFormat="1" applyFont="1" applyFill="1" applyAlignment="1" applyProtection="1">
      <alignment horizontal="left"/>
      <protection locked="0"/>
    </xf>
    <xf numFmtId="171" fontId="4" fillId="0" borderId="0" xfId="8" applyNumberFormat="1" applyFont="1" applyFill="1" applyBorder="1" applyProtection="1">
      <alignment horizontal="right"/>
      <protection locked="0"/>
    </xf>
    <xf numFmtId="3" fontId="4" fillId="0" borderId="0" xfId="8" applyFont="1" applyFill="1" applyBorder="1" applyProtection="1">
      <alignment horizontal="right"/>
      <protection locked="0"/>
    </xf>
    <xf numFmtId="0" fontId="4" fillId="0" borderId="0" xfId="7" applyFont="1" applyFill="1"/>
    <xf numFmtId="0" fontId="3" fillId="0" borderId="0" xfId="0" applyFont="1" applyFill="1" applyProtection="1">
      <protection locked="0"/>
    </xf>
    <xf numFmtId="0" fontId="4" fillId="0" borderId="6" xfId="7" applyFont="1" applyBorder="1"/>
    <xf numFmtId="0" fontId="3" fillId="0" borderId="38" xfId="0" applyFont="1" applyBorder="1" applyProtection="1">
      <protection locked="0"/>
    </xf>
    <xf numFmtId="10" fontId="3" fillId="0" borderId="11" xfId="0" applyNumberFormat="1" applyFont="1" applyBorder="1" applyProtection="1">
      <protection locked="0"/>
    </xf>
    <xf numFmtId="0" fontId="26" fillId="0" borderId="13" xfId="0" applyFont="1" applyBorder="1" applyProtection="1"/>
    <xf numFmtId="3" fontId="19" fillId="0" borderId="12" xfId="6" applyNumberFormat="1" applyFont="1" applyFill="1" applyBorder="1" applyAlignment="1" applyProtection="1">
      <alignment horizontal="right" vertical="center"/>
    </xf>
    <xf numFmtId="0" fontId="4" fillId="0" borderId="0" xfId="0" applyFont="1" applyFill="1" applyProtection="1">
      <protection locked="0"/>
    </xf>
    <xf numFmtId="0" fontId="4" fillId="0" borderId="8" xfId="0" applyFont="1" applyFill="1" applyBorder="1" applyAlignment="1" applyProtection="1">
      <alignment vertical="center"/>
    </xf>
    <xf numFmtId="3" fontId="19" fillId="0" borderId="8" xfId="0" applyNumberFormat="1" applyFont="1" applyFill="1" applyBorder="1" applyAlignment="1" applyProtection="1">
      <alignment horizontal="right" vertical="center"/>
    </xf>
    <xf numFmtId="0" fontId="3" fillId="0" borderId="38" xfId="0" applyFont="1" applyBorder="1" applyProtection="1"/>
    <xf numFmtId="0" fontId="3" fillId="0" borderId="19" xfId="0" applyFont="1" applyFill="1" applyBorder="1" applyAlignment="1" applyProtection="1">
      <alignment vertical="center"/>
    </xf>
    <xf numFmtId="0" fontId="21" fillId="4" borderId="39" xfId="0" applyFont="1" applyFill="1" applyBorder="1" applyAlignment="1" applyProtection="1">
      <alignment horizontal="right" vertical="center"/>
    </xf>
    <xf numFmtId="0" fontId="27" fillId="16" borderId="0" xfId="2" applyFont="1" applyFill="1"/>
    <xf numFmtId="0" fontId="28" fillId="4" borderId="40" xfId="2" applyFont="1" applyFill="1" applyBorder="1" applyAlignment="1">
      <alignment horizontal="center"/>
    </xf>
    <xf numFmtId="0" fontId="28" fillId="4" borderId="32" xfId="2" applyFont="1" applyFill="1" applyBorder="1" applyAlignment="1">
      <alignment horizontal="center"/>
    </xf>
    <xf numFmtId="0" fontId="28" fillId="4" borderId="17" xfId="2" applyFont="1" applyFill="1" applyBorder="1" applyAlignment="1">
      <alignment horizontal="center"/>
    </xf>
    <xf numFmtId="0" fontId="28" fillId="4" borderId="55" xfId="2" applyFont="1" applyFill="1" applyBorder="1" applyAlignment="1">
      <alignment horizontal="center"/>
    </xf>
    <xf numFmtId="0" fontId="13" fillId="16" borderId="0" xfId="2" applyFont="1" applyFill="1"/>
    <xf numFmtId="0" fontId="29" fillId="0" borderId="41" xfId="2" applyFont="1" applyFill="1" applyBorder="1" applyAlignment="1">
      <alignment horizontal="center"/>
    </xf>
    <xf numFmtId="0" fontId="29" fillId="0" borderId="41" xfId="2" applyFont="1" applyBorder="1" applyAlignment="1">
      <alignment horizontal="center"/>
    </xf>
    <xf numFmtId="0" fontId="29" fillId="4" borderId="41" xfId="2" applyFont="1" applyFill="1" applyBorder="1" applyAlignment="1">
      <alignment horizontal="center"/>
    </xf>
    <xf numFmtId="0" fontId="13" fillId="0" borderId="41" xfId="2" applyFont="1" applyFill="1" applyBorder="1" applyAlignment="1">
      <alignment horizontal="center"/>
    </xf>
    <xf numFmtId="176" fontId="13" fillId="9" borderId="56" xfId="2" applyNumberFormat="1" applyFont="1" applyFill="1" applyBorder="1"/>
    <xf numFmtId="177" fontId="13" fillId="9" borderId="56" xfId="2" applyNumberFormat="1" applyFont="1" applyFill="1" applyBorder="1"/>
    <xf numFmtId="169" fontId="13" fillId="9" borderId="56" xfId="2" applyNumberFormat="1" applyFont="1" applyFill="1" applyBorder="1"/>
    <xf numFmtId="169" fontId="13" fillId="0" borderId="56" xfId="2" applyNumberFormat="1" applyFont="1" applyFill="1" applyBorder="1"/>
    <xf numFmtId="0" fontId="30" fillId="16" borderId="0" xfId="2" applyFont="1" applyFill="1" applyBorder="1"/>
    <xf numFmtId="10" fontId="13" fillId="4" borderId="58" xfId="3" applyNumberFormat="1" applyFont="1" applyFill="1" applyBorder="1"/>
    <xf numFmtId="0" fontId="31" fillId="0" borderId="0" xfId="0" applyFont="1" applyAlignment="1">
      <alignment vertical="center"/>
    </xf>
    <xf numFmtId="10" fontId="23" fillId="0" borderId="7" xfId="5" applyNumberFormat="1" applyFont="1" applyFill="1" applyBorder="1" applyAlignment="1" applyProtection="1">
      <alignment horizontal="center" vertical="center"/>
    </xf>
    <xf numFmtId="10" fontId="23" fillId="0" borderId="0" xfId="5" applyNumberFormat="1" applyFont="1" applyFill="1" applyBorder="1" applyAlignment="1" applyProtection="1">
      <alignment horizontal="center" vertical="center"/>
    </xf>
    <xf numFmtId="0" fontId="19" fillId="11" borderId="0" xfId="5" applyNumberFormat="1" applyFont="1" applyFill="1" applyAlignment="1" applyProtection="1">
      <alignment horizontal="center"/>
      <protection locked="0"/>
    </xf>
    <xf numFmtId="3" fontId="3" fillId="0" borderId="11" xfId="0" applyNumberFormat="1" applyFont="1" applyBorder="1" applyProtection="1">
      <protection locked="0"/>
    </xf>
    <xf numFmtId="3" fontId="26" fillId="0" borderId="11" xfId="0" applyNumberFormat="1" applyFont="1" applyBorder="1" applyProtection="1">
      <protection locked="0"/>
    </xf>
    <xf numFmtId="3" fontId="19" fillId="10" borderId="11" xfId="6" applyNumberFormat="1" applyFont="1" applyFill="1" applyBorder="1" applyAlignment="1" applyProtection="1">
      <alignment horizontal="right" vertical="center"/>
    </xf>
    <xf numFmtId="170" fontId="3" fillId="0" borderId="18" xfId="0" applyNumberFormat="1" applyFont="1" applyBorder="1" applyAlignment="1" applyProtection="1">
      <alignment horizontal="center"/>
    </xf>
    <xf numFmtId="0" fontId="3" fillId="0" borderId="8" xfId="0" applyFont="1" applyFill="1" applyBorder="1" applyProtection="1"/>
    <xf numFmtId="0" fontId="3" fillId="0" borderId="18" xfId="0" applyFont="1" applyFill="1" applyBorder="1" applyProtection="1"/>
    <xf numFmtId="0" fontId="4" fillId="0" borderId="18" xfId="0" applyFont="1" applyFill="1" applyBorder="1" applyAlignment="1" applyProtection="1">
      <alignment wrapText="1"/>
    </xf>
    <xf numFmtId="0" fontId="19" fillId="0" borderId="18" xfId="0" applyFont="1" applyFill="1" applyBorder="1" applyProtection="1"/>
    <xf numFmtId="49" fontId="4" fillId="0" borderId="18" xfId="0" applyNumberFormat="1" applyFont="1" applyFill="1" applyBorder="1" applyAlignment="1" applyProtection="1">
      <alignment horizontal="left" indent="1"/>
    </xf>
    <xf numFmtId="49" fontId="33" fillId="0" borderId="18" xfId="0" applyNumberFormat="1" applyFont="1" applyFill="1" applyBorder="1" applyAlignment="1" applyProtection="1">
      <alignment horizontal="left" indent="2"/>
    </xf>
    <xf numFmtId="49" fontId="19" fillId="0" borderId="18" xfId="0" applyNumberFormat="1" applyFont="1" applyFill="1" applyBorder="1" applyProtection="1"/>
    <xf numFmtId="0" fontId="4" fillId="0" borderId="18" xfId="0" applyFont="1" applyFill="1" applyBorder="1" applyProtection="1"/>
    <xf numFmtId="0" fontId="34" fillId="0" borderId="0" xfId="0" applyFont="1" applyProtection="1"/>
    <xf numFmtId="10" fontId="3" fillId="0" borderId="18" xfId="6" applyNumberFormat="1" applyFont="1" applyBorder="1" applyAlignment="1" applyProtection="1">
      <alignment horizontal="right"/>
    </xf>
    <xf numFmtId="3" fontId="3" fillId="0" borderId="18" xfId="0" applyNumberFormat="1" applyFont="1" applyBorder="1" applyProtection="1">
      <protection locked="0"/>
    </xf>
    <xf numFmtId="0" fontId="3" fillId="0" borderId="18" xfId="0" applyFont="1" applyBorder="1" applyProtection="1">
      <protection locked="0"/>
    </xf>
    <xf numFmtId="3" fontId="25" fillId="0" borderId="18" xfId="0" applyNumberFormat="1" applyFont="1" applyBorder="1" applyProtection="1">
      <protection locked="0"/>
    </xf>
    <xf numFmtId="0" fontId="19" fillId="0" borderId="8" xfId="17" applyFont="1" applyFill="1" applyBorder="1" applyAlignment="1" applyProtection="1">
      <alignment horizontal="right"/>
    </xf>
    <xf numFmtId="1" fontId="19" fillId="0" borderId="18" xfId="17" applyNumberFormat="1" applyFont="1" applyFill="1" applyBorder="1" applyAlignment="1" applyProtection="1">
      <alignment horizontal="right"/>
    </xf>
    <xf numFmtId="1" fontId="19" fillId="0" borderId="12" xfId="17" applyNumberFormat="1" applyFont="1" applyFill="1" applyBorder="1" applyAlignment="1" applyProtection="1">
      <alignment horizontal="right"/>
    </xf>
    <xf numFmtId="0" fontId="19" fillId="0" borderId="6" xfId="0" applyFont="1" applyFill="1" applyBorder="1" applyProtection="1"/>
    <xf numFmtId="0" fontId="4" fillId="0" borderId="10" xfId="0" applyFont="1" applyFill="1" applyBorder="1" applyProtection="1"/>
    <xf numFmtId="0" fontId="19" fillId="0" borderId="13" xfId="0" applyFont="1" applyFill="1" applyBorder="1" applyProtection="1"/>
    <xf numFmtId="0" fontId="3" fillId="0" borderId="0" xfId="0" applyFont="1" applyBorder="1" applyProtection="1"/>
    <xf numFmtId="3" fontId="4" fillId="10" borderId="12" xfId="6" applyNumberFormat="1" applyFont="1" applyFill="1" applyBorder="1" applyAlignment="1" applyProtection="1">
      <alignment horizontal="right" vertical="center"/>
    </xf>
    <xf numFmtId="3" fontId="3" fillId="0" borderId="12" xfId="0" applyNumberFormat="1" applyFont="1" applyBorder="1" applyProtection="1">
      <protection locked="0"/>
    </xf>
    <xf numFmtId="0" fontId="27" fillId="0" borderId="5" xfId="18" applyFont="1" applyBorder="1"/>
    <xf numFmtId="4" fontId="13" fillId="9" borderId="9" xfId="18" applyNumberFormat="1" applyFont="1" applyFill="1" applyBorder="1" applyAlignment="1">
      <alignment horizontal="center"/>
    </xf>
    <xf numFmtId="0" fontId="13" fillId="0" borderId="16" xfId="18" applyFont="1" applyBorder="1" applyAlignment="1">
      <alignment horizontal="right"/>
    </xf>
    <xf numFmtId="4" fontId="13" fillId="0" borderId="61" xfId="18" applyNumberFormat="1" applyFont="1" applyBorder="1" applyAlignment="1">
      <alignment horizontal="center"/>
    </xf>
    <xf numFmtId="0" fontId="27" fillId="0" borderId="3" xfId="18" applyFont="1" applyBorder="1"/>
    <xf numFmtId="0" fontId="27" fillId="0" borderId="4" xfId="18" applyFont="1" applyBorder="1"/>
    <xf numFmtId="0" fontId="27" fillId="0" borderId="5" xfId="18" applyFont="1" applyBorder="1" applyAlignment="1">
      <alignment horizontal="left"/>
    </xf>
    <xf numFmtId="0" fontId="13" fillId="0" borderId="14" xfId="18" applyFont="1" applyBorder="1" applyAlignment="1">
      <alignment horizontal="center" vertical="center" wrapText="1"/>
    </xf>
    <xf numFmtId="0" fontId="13" fillId="0" borderId="37" xfId="18" applyFont="1" applyBorder="1" applyAlignment="1">
      <alignment horizontal="center" vertical="center" wrapText="1"/>
    </xf>
    <xf numFmtId="4" fontId="13" fillId="9" borderId="0" xfId="18" applyNumberFormat="1" applyFont="1" applyFill="1" applyBorder="1" applyAlignment="1">
      <alignment horizontal="center"/>
    </xf>
    <xf numFmtId="4" fontId="13" fillId="9" borderId="7" xfId="18" applyNumberFormat="1" applyFont="1" applyFill="1" applyBorder="1" applyAlignment="1">
      <alignment horizontal="center"/>
    </xf>
    <xf numFmtId="4" fontId="13" fillId="9" borderId="23" xfId="18" applyNumberFormat="1" applyFont="1" applyFill="1" applyBorder="1" applyAlignment="1">
      <alignment horizontal="center"/>
    </xf>
    <xf numFmtId="4" fontId="13" fillId="4" borderId="9" xfId="18" applyNumberFormat="1" applyFont="1" applyFill="1" applyBorder="1" applyAlignment="1">
      <alignment horizontal="center"/>
    </xf>
    <xf numFmtId="4" fontId="13" fillId="9" borderId="21" xfId="18" applyNumberFormat="1" applyFont="1" applyFill="1" applyBorder="1" applyAlignment="1">
      <alignment horizontal="center"/>
    </xf>
    <xf numFmtId="0" fontId="27" fillId="0" borderId="15" xfId="18" applyFont="1" applyBorder="1" applyAlignment="1">
      <alignment horizontal="right"/>
    </xf>
    <xf numFmtId="4" fontId="13" fillId="0" borderId="62" xfId="18" applyNumberFormat="1" applyFont="1" applyBorder="1" applyAlignment="1">
      <alignment horizontal="center"/>
    </xf>
    <xf numFmtId="4" fontId="13" fillId="0" borderId="63" xfId="18" applyNumberFormat="1" applyFont="1" applyBorder="1" applyAlignment="1">
      <alignment horizontal="center"/>
    </xf>
    <xf numFmtId="0" fontId="13" fillId="0" borderId="9" xfId="18" applyFont="1" applyBorder="1"/>
    <xf numFmtId="4" fontId="13" fillId="9" borderId="37" xfId="18" applyNumberFormat="1" applyFont="1" applyFill="1" applyBorder="1" applyAlignment="1">
      <alignment horizontal="center"/>
    </xf>
    <xf numFmtId="4" fontId="13" fillId="0" borderId="9" xfId="18" applyNumberFormat="1" applyFont="1" applyBorder="1" applyAlignment="1">
      <alignment horizontal="center"/>
    </xf>
    <xf numFmtId="2" fontId="24" fillId="0" borderId="0" xfId="5" applyNumberFormat="1" applyFont="1" applyFill="1" applyAlignment="1" applyProtection="1">
      <alignment horizontal="left"/>
      <protection locked="0"/>
    </xf>
    <xf numFmtId="2" fontId="35" fillId="6" borderId="0" xfId="5" applyNumberFormat="1" applyFont="1" applyFill="1" applyAlignment="1" applyProtection="1">
      <alignment horizontal="left"/>
      <protection locked="0"/>
    </xf>
    <xf numFmtId="170" fontId="3" fillId="6" borderId="0" xfId="0" applyNumberFormat="1" applyFont="1" applyFill="1" applyAlignment="1" applyProtection="1">
      <alignment horizontal="center"/>
    </xf>
    <xf numFmtId="3" fontId="4" fillId="0" borderId="18" xfId="0" applyNumberFormat="1" applyFont="1" applyBorder="1" applyProtection="1">
      <protection locked="0"/>
    </xf>
    <xf numFmtId="49" fontId="4" fillId="0" borderId="10" xfId="0" applyNumberFormat="1" applyFont="1" applyFill="1" applyBorder="1" applyAlignment="1" applyProtection="1">
      <alignment horizontal="left" indent="1"/>
    </xf>
    <xf numFmtId="3" fontId="4" fillId="0" borderId="18" xfId="6" applyNumberFormat="1" applyFont="1" applyFill="1" applyBorder="1" applyAlignment="1" applyProtection="1">
      <alignment horizontal="right" vertical="center"/>
    </xf>
    <xf numFmtId="3" fontId="3" fillId="0" borderId="0" xfId="0" applyNumberFormat="1" applyFont="1" applyProtection="1">
      <protection locked="0"/>
    </xf>
    <xf numFmtId="0" fontId="27" fillId="16" borderId="0" xfId="16" applyFont="1" applyFill="1"/>
    <xf numFmtId="10" fontId="13" fillId="4" borderId="18" xfId="3" applyNumberFormat="1" applyFont="1" applyFill="1" applyBorder="1"/>
    <xf numFmtId="10" fontId="13" fillId="4" borderId="12" xfId="3" applyNumberFormat="1" applyFont="1" applyFill="1" applyBorder="1"/>
    <xf numFmtId="10" fontId="13" fillId="4" borderId="0" xfId="3" applyNumberFormat="1" applyFont="1" applyFill="1" applyBorder="1"/>
    <xf numFmtId="0" fontId="36" fillId="16" borderId="0" xfId="1" applyFont="1" applyFill="1"/>
    <xf numFmtId="0" fontId="13" fillId="16" borderId="0" xfId="1" applyFont="1" applyFill="1" applyBorder="1"/>
    <xf numFmtId="0" fontId="13" fillId="4" borderId="2" xfId="1" applyFont="1" applyFill="1" applyBorder="1"/>
    <xf numFmtId="0" fontId="1" fillId="0" borderId="0" xfId="0" applyFont="1"/>
    <xf numFmtId="0" fontId="27" fillId="0" borderId="53" xfId="2" applyFont="1" applyFill="1" applyBorder="1" applyAlignment="1">
      <alignment horizontal="center"/>
    </xf>
    <xf numFmtId="0" fontId="13" fillId="0" borderId="4" xfId="18" applyFont="1" applyBorder="1" applyAlignment="1"/>
    <xf numFmtId="0" fontId="13" fillId="9" borderId="0" xfId="18" applyFont="1" applyFill="1" applyBorder="1" applyAlignment="1"/>
    <xf numFmtId="3" fontId="4" fillId="0" borderId="8" xfId="6" applyNumberFormat="1" applyFont="1" applyFill="1" applyBorder="1" applyAlignment="1" applyProtection="1">
      <alignment horizontal="right" vertical="center"/>
    </xf>
    <xf numFmtId="0" fontId="3" fillId="0" borderId="39" xfId="0" applyFont="1" applyFill="1" applyBorder="1" applyAlignment="1" applyProtection="1">
      <alignment vertical="center"/>
    </xf>
    <xf numFmtId="0" fontId="3" fillId="0" borderId="23" xfId="0" applyFont="1" applyFill="1" applyBorder="1" applyAlignment="1" applyProtection="1">
      <alignment vertical="center"/>
    </xf>
    <xf numFmtId="0" fontId="4" fillId="4" borderId="39" xfId="0" applyFont="1" applyFill="1" applyBorder="1" applyAlignment="1" applyProtection="1">
      <alignment vertical="center"/>
    </xf>
    <xf numFmtId="0" fontId="19" fillId="0" borderId="39" xfId="0" applyFont="1" applyBorder="1" applyAlignment="1" applyProtection="1">
      <alignment vertical="center"/>
    </xf>
    <xf numFmtId="0" fontId="4" fillId="0" borderId="38" xfId="0" applyFont="1" applyFill="1" applyBorder="1" applyAlignment="1" applyProtection="1">
      <alignment vertical="center"/>
    </xf>
    <xf numFmtId="0" fontId="4" fillId="0" borderId="6" xfId="0" applyFont="1" applyFill="1" applyBorder="1" applyAlignment="1" applyProtection="1">
      <alignment vertical="center"/>
    </xf>
    <xf numFmtId="0" fontId="4" fillId="0" borderId="38" xfId="0" applyFont="1" applyBorder="1" applyAlignment="1" applyProtection="1">
      <alignment vertical="center"/>
    </xf>
    <xf numFmtId="0" fontId="4" fillId="4" borderId="38" xfId="0" applyFont="1" applyFill="1" applyBorder="1" applyAlignment="1" applyProtection="1">
      <alignment vertical="center"/>
    </xf>
    <xf numFmtId="0" fontId="19" fillId="0" borderId="10" xfId="0" applyFont="1" applyFill="1" applyBorder="1" applyAlignment="1" applyProtection="1"/>
    <xf numFmtId="0" fontId="3" fillId="0" borderId="6" xfId="0" applyFont="1" applyFill="1" applyBorder="1" applyProtection="1"/>
    <xf numFmtId="0" fontId="3" fillId="0" borderId="10" xfId="0" applyFont="1" applyFill="1" applyBorder="1" applyProtection="1"/>
    <xf numFmtId="0" fontId="4" fillId="0" borderId="10" xfId="0" applyFont="1" applyFill="1" applyBorder="1" applyAlignment="1" applyProtection="1">
      <alignment wrapText="1"/>
    </xf>
    <xf numFmtId="0" fontId="19" fillId="0" borderId="10" xfId="0" applyFont="1" applyFill="1" applyBorder="1" applyProtection="1"/>
    <xf numFmtId="0" fontId="3" fillId="0" borderId="23" xfId="0" applyFont="1" applyBorder="1" applyProtection="1"/>
    <xf numFmtId="0" fontId="3" fillId="0" borderId="21" xfId="0" applyFont="1" applyBorder="1" applyProtection="1"/>
    <xf numFmtId="0" fontId="4" fillId="0" borderId="6" xfId="0" applyFont="1" applyFill="1" applyBorder="1" applyProtection="1"/>
    <xf numFmtId="0" fontId="3" fillId="0" borderId="8" xfId="0" applyFont="1" applyBorder="1" applyProtection="1">
      <protection locked="0"/>
    </xf>
    <xf numFmtId="0" fontId="3" fillId="0" borderId="22" xfId="0" applyFont="1" applyBorder="1" applyProtection="1"/>
    <xf numFmtId="3" fontId="19" fillId="18" borderId="11" xfId="6" applyNumberFormat="1" applyFont="1" applyFill="1" applyBorder="1" applyAlignment="1" applyProtection="1">
      <alignment horizontal="right" vertical="center"/>
      <protection hidden="1"/>
    </xf>
    <xf numFmtId="0" fontId="36" fillId="16" borderId="0" xfId="0" applyFont="1" applyFill="1"/>
    <xf numFmtId="0" fontId="13" fillId="0" borderId="0" xfId="1" applyFont="1" applyFill="1"/>
    <xf numFmtId="0" fontId="27" fillId="16" borderId="0" xfId="0" applyFont="1" applyFill="1"/>
    <xf numFmtId="0" fontId="13" fillId="17" borderId="0" xfId="1" applyFont="1" applyFill="1"/>
    <xf numFmtId="0" fontId="27" fillId="6" borderId="30" xfId="1" applyFont="1" applyFill="1" applyBorder="1" applyAlignment="1">
      <alignment horizontal="center" wrapText="1"/>
    </xf>
    <xf numFmtId="0" fontId="13" fillId="6" borderId="0" xfId="1" applyFont="1" applyFill="1" applyBorder="1"/>
    <xf numFmtId="0" fontId="13" fillId="17" borderId="0" xfId="1" applyFont="1" applyFill="1" applyBorder="1"/>
    <xf numFmtId="0" fontId="13" fillId="0" borderId="41" xfId="1" applyFont="1" applyFill="1" applyBorder="1"/>
    <xf numFmtId="0" fontId="13" fillId="0" borderId="42" xfId="1" applyFont="1" applyFill="1" applyBorder="1"/>
    <xf numFmtId="0" fontId="13" fillId="0" borderId="41" xfId="1" applyFont="1" applyFill="1" applyBorder="1" applyAlignment="1">
      <alignment horizontal="center" wrapText="1"/>
    </xf>
    <xf numFmtId="0" fontId="13" fillId="15" borderId="31" xfId="1" applyFont="1" applyFill="1" applyBorder="1"/>
    <xf numFmtId="0" fontId="13" fillId="15" borderId="2" xfId="1" applyFont="1" applyFill="1" applyBorder="1"/>
    <xf numFmtId="169" fontId="13" fillId="15" borderId="31" xfId="15" applyNumberFormat="1" applyFont="1" applyFill="1" applyBorder="1"/>
    <xf numFmtId="0" fontId="13" fillId="15" borderId="32" xfId="1" applyFont="1" applyFill="1" applyBorder="1"/>
    <xf numFmtId="0" fontId="13" fillId="15" borderId="15" xfId="1" applyFont="1" applyFill="1" applyBorder="1"/>
    <xf numFmtId="0" fontId="13" fillId="0" borderId="0" xfId="1" applyFont="1" applyFill="1" applyBorder="1"/>
    <xf numFmtId="0" fontId="13" fillId="4" borderId="0" xfId="16" applyFont="1" applyFill="1" applyBorder="1"/>
    <xf numFmtId="0" fontId="13" fillId="16" borderId="0" xfId="1" applyFont="1" applyFill="1"/>
    <xf numFmtId="0" fontId="3" fillId="0" borderId="10" xfId="0" applyFont="1" applyBorder="1" applyProtection="1">
      <protection locked="0"/>
    </xf>
    <xf numFmtId="0" fontId="3" fillId="0" borderId="0" xfId="0" applyFont="1" applyBorder="1" applyProtection="1">
      <protection locked="0"/>
    </xf>
    <xf numFmtId="3" fontId="4" fillId="0" borderId="13" xfId="8" applyFont="1" applyFill="1" applyBorder="1" applyProtection="1">
      <alignment horizontal="right"/>
      <protection locked="0"/>
    </xf>
    <xf numFmtId="3" fontId="4" fillId="0" borderId="22" xfId="8" applyFont="1" applyFill="1" applyBorder="1" applyProtection="1">
      <alignment horizontal="right"/>
      <protection locked="0"/>
    </xf>
    <xf numFmtId="0" fontId="4" fillId="0" borderId="0" xfId="0" applyFont="1" applyBorder="1" applyProtection="1">
      <protection locked="0"/>
    </xf>
    <xf numFmtId="171" fontId="4" fillId="0" borderId="0" xfId="0" applyNumberFormat="1" applyFont="1" applyBorder="1" applyProtection="1">
      <protection locked="0"/>
    </xf>
    <xf numFmtId="0" fontId="13" fillId="0" borderId="6" xfId="16" applyFont="1" applyFill="1" applyBorder="1" applyAlignment="1">
      <alignment horizontal="center"/>
    </xf>
    <xf numFmtId="0" fontId="13" fillId="0" borderId="10" xfId="16" applyFont="1" applyFill="1" applyBorder="1" applyAlignment="1">
      <alignment horizontal="center"/>
    </xf>
    <xf numFmtId="0" fontId="34" fillId="0" borderId="0" xfId="0" applyFont="1" applyBorder="1" applyProtection="1"/>
    <xf numFmtId="0" fontId="4" fillId="0" borderId="0" xfId="0" applyFont="1" applyBorder="1" applyProtection="1"/>
    <xf numFmtId="10" fontId="3" fillId="0" borderId="8" xfId="0" applyNumberFormat="1" applyFont="1" applyBorder="1" applyAlignment="1" applyProtection="1">
      <alignment horizontal="center"/>
      <protection locked="0"/>
    </xf>
    <xf numFmtId="10" fontId="4" fillId="0" borderId="18" xfId="6" applyNumberFormat="1" applyFont="1" applyFill="1" applyBorder="1" applyAlignment="1" applyProtection="1">
      <alignment horizontal="center"/>
      <protection locked="0"/>
    </xf>
    <xf numFmtId="0" fontId="3" fillId="0" borderId="21" xfId="0" applyFont="1" applyBorder="1" applyAlignment="1" applyProtection="1">
      <alignment horizontal="center"/>
      <protection locked="0"/>
    </xf>
    <xf numFmtId="10" fontId="4" fillId="0" borderId="11" xfId="6" applyNumberFormat="1" applyFont="1" applyFill="1" applyBorder="1" applyAlignment="1" applyProtection="1">
      <alignment horizontal="center"/>
      <protection locked="0"/>
    </xf>
    <xf numFmtId="0" fontId="13" fillId="0" borderId="54" xfId="1" applyFont="1" applyBorder="1" applyAlignment="1"/>
    <xf numFmtId="0" fontId="13" fillId="0" borderId="55" xfId="1" applyFont="1" applyBorder="1" applyAlignment="1"/>
    <xf numFmtId="0" fontId="27" fillId="0" borderId="54" xfId="1" applyFont="1" applyFill="1" applyBorder="1" applyAlignment="1">
      <alignment horizontal="center"/>
    </xf>
    <xf numFmtId="0" fontId="27" fillId="0" borderId="55" xfId="1" applyFont="1" applyFill="1" applyBorder="1" applyAlignment="1">
      <alignment horizontal="center"/>
    </xf>
    <xf numFmtId="0" fontId="13" fillId="0" borderId="41" xfId="2" applyFont="1" applyBorder="1"/>
    <xf numFmtId="0" fontId="13" fillId="4" borderId="56" xfId="2" applyFont="1" applyFill="1" applyBorder="1"/>
    <xf numFmtId="3" fontId="13" fillId="16" borderId="0" xfId="2" applyNumberFormat="1" applyFont="1" applyFill="1"/>
    <xf numFmtId="178" fontId="13" fillId="0" borderId="57" xfId="2" applyNumberFormat="1" applyFont="1" applyBorder="1"/>
    <xf numFmtId="0" fontId="27" fillId="4" borderId="3" xfId="2" applyFont="1" applyFill="1" applyBorder="1"/>
    <xf numFmtId="0" fontId="13" fillId="4" borderId="5" xfId="2" applyFont="1" applyFill="1" applyBorder="1"/>
    <xf numFmtId="0" fontId="13" fillId="16" borderId="0" xfId="2" applyFont="1" applyFill="1" applyBorder="1"/>
    <xf numFmtId="0" fontId="13" fillId="4" borderId="2" xfId="2" applyFont="1" applyFill="1" applyBorder="1"/>
    <xf numFmtId="0" fontId="13" fillId="4" borderId="9" xfId="2" applyFont="1" applyFill="1" applyBorder="1"/>
    <xf numFmtId="0" fontId="13" fillId="4" borderId="15" xfId="2" applyFont="1" applyFill="1" applyBorder="1"/>
    <xf numFmtId="0" fontId="13" fillId="4" borderId="17" xfId="2" applyFont="1" applyFill="1" applyBorder="1"/>
    <xf numFmtId="0" fontId="13" fillId="4" borderId="4" xfId="2" applyFont="1" applyFill="1" applyBorder="1"/>
    <xf numFmtId="0" fontId="13" fillId="4" borderId="0" xfId="2" applyFont="1" applyFill="1" applyBorder="1"/>
    <xf numFmtId="10" fontId="13" fillId="4" borderId="11" xfId="2" applyNumberFormat="1" applyFont="1" applyFill="1" applyBorder="1"/>
    <xf numFmtId="168" fontId="13" fillId="4" borderId="0" xfId="3" applyNumberFormat="1" applyFont="1" applyFill="1" applyBorder="1"/>
    <xf numFmtId="169" fontId="13" fillId="4" borderId="8" xfId="15" applyNumberFormat="1" applyFont="1" applyFill="1" applyBorder="1"/>
    <xf numFmtId="169" fontId="13" fillId="4" borderId="18" xfId="15" applyNumberFormat="1" applyFont="1" applyFill="1" applyBorder="1"/>
    <xf numFmtId="0" fontId="37" fillId="4" borderId="15" xfId="2" applyFont="1" applyFill="1" applyBorder="1"/>
    <xf numFmtId="0" fontId="13" fillId="4" borderId="16" xfId="2" applyFont="1" applyFill="1" applyBorder="1"/>
    <xf numFmtId="0" fontId="13" fillId="0" borderId="16" xfId="2" applyFont="1" applyBorder="1"/>
    <xf numFmtId="0" fontId="13" fillId="0" borderId="0" xfId="18" applyFont="1"/>
    <xf numFmtId="0" fontId="27" fillId="16" borderId="0" xfId="1" applyFont="1" applyFill="1"/>
    <xf numFmtId="0" fontId="13" fillId="0" borderId="0" xfId="18" applyFont="1" applyAlignment="1">
      <alignment vertical="top"/>
    </xf>
    <xf numFmtId="0" fontId="27" fillId="7" borderId="0" xfId="1" applyFont="1" applyFill="1"/>
    <xf numFmtId="0" fontId="13" fillId="7" borderId="0" xfId="1" applyFont="1" applyFill="1"/>
    <xf numFmtId="0" fontId="27" fillId="6" borderId="0" xfId="1" applyFont="1" applyFill="1"/>
    <xf numFmtId="0" fontId="13" fillId="6" borderId="0" xfId="1" applyFont="1" applyFill="1"/>
    <xf numFmtId="0" fontId="13" fillId="4" borderId="41" xfId="1" applyFont="1" applyFill="1" applyBorder="1"/>
    <xf numFmtId="0" fontId="13" fillId="4" borderId="43" xfId="1" applyFont="1" applyFill="1" applyBorder="1" applyAlignment="1">
      <alignment horizontal="center" wrapText="1"/>
    </xf>
    <xf numFmtId="0" fontId="13" fillId="4" borderId="28" xfId="1" applyFont="1" applyFill="1" applyBorder="1" applyAlignment="1">
      <alignment horizontal="center" wrapText="1"/>
    </xf>
    <xf numFmtId="0" fontId="1" fillId="16" borderId="0" xfId="0" applyFont="1" applyFill="1"/>
    <xf numFmtId="0" fontId="13" fillId="16" borderId="18" xfId="1" applyFont="1" applyFill="1" applyBorder="1"/>
    <xf numFmtId="169" fontId="13" fillId="4" borderId="52" xfId="1" applyNumberFormat="1" applyFont="1" applyFill="1" applyBorder="1"/>
    <xf numFmtId="0" fontId="13" fillId="16" borderId="42" xfId="1" applyFont="1" applyFill="1" applyBorder="1"/>
    <xf numFmtId="169" fontId="13" fillId="16" borderId="0" xfId="1" applyNumberFormat="1" applyFont="1" applyFill="1"/>
    <xf numFmtId="0" fontId="36" fillId="16" borderId="0" xfId="16" applyFont="1" applyFill="1"/>
    <xf numFmtId="0" fontId="13" fillId="16" borderId="0" xfId="16" applyFont="1" applyFill="1"/>
    <xf numFmtId="0" fontId="13" fillId="4" borderId="3" xfId="16" applyFont="1" applyFill="1" applyBorder="1"/>
    <xf numFmtId="0" fontId="13" fillId="4" borderId="4" xfId="16" applyFont="1" applyFill="1" applyBorder="1"/>
    <xf numFmtId="0" fontId="13" fillId="4" borderId="5" xfId="16" applyFont="1" applyFill="1" applyBorder="1"/>
    <xf numFmtId="0" fontId="27" fillId="4" borderId="2" xfId="16" applyFont="1" applyFill="1" applyBorder="1"/>
    <xf numFmtId="0" fontId="13" fillId="4" borderId="9" xfId="16" applyFont="1" applyFill="1" applyBorder="1"/>
    <xf numFmtId="0" fontId="13" fillId="4" borderId="2" xfId="16" applyFont="1" applyFill="1" applyBorder="1"/>
    <xf numFmtId="10" fontId="13" fillId="4" borderId="8" xfId="3" applyNumberFormat="1" applyFont="1" applyFill="1" applyBorder="1"/>
    <xf numFmtId="0" fontId="41" fillId="4" borderId="2" xfId="16" applyFont="1" applyFill="1" applyBorder="1"/>
    <xf numFmtId="10" fontId="13" fillId="4" borderId="11" xfId="16" applyNumberFormat="1" applyFont="1" applyFill="1" applyBorder="1"/>
    <xf numFmtId="0" fontId="13" fillId="4" borderId="15" xfId="16" applyFont="1" applyFill="1" applyBorder="1"/>
    <xf numFmtId="0" fontId="13" fillId="4" borderId="16" xfId="16" applyFont="1" applyFill="1" applyBorder="1"/>
    <xf numFmtId="0" fontId="13" fillId="4" borderId="17" xfId="16" applyFont="1" applyFill="1" applyBorder="1"/>
    <xf numFmtId="0" fontId="13" fillId="16" borderId="0" xfId="16" applyFont="1" applyFill="1" applyBorder="1"/>
    <xf numFmtId="3" fontId="1" fillId="16" borderId="0" xfId="0" applyNumberFormat="1" applyFont="1" applyFill="1"/>
    <xf numFmtId="174" fontId="1" fillId="15" borderId="64" xfId="15" applyNumberFormat="1" applyFont="1" applyFill="1" applyBorder="1"/>
    <xf numFmtId="43" fontId="1" fillId="15" borderId="31" xfId="15" applyNumberFormat="1" applyFont="1" applyFill="1" applyBorder="1"/>
    <xf numFmtId="174" fontId="1" fillId="15" borderId="31" xfId="15" applyNumberFormat="1" applyFont="1" applyFill="1" applyBorder="1"/>
    <xf numFmtId="169" fontId="1" fillId="15" borderId="31" xfId="15" applyNumberFormat="1" applyFont="1" applyFill="1" applyBorder="1"/>
    <xf numFmtId="174" fontId="1" fillId="15" borderId="32" xfId="15" applyNumberFormat="1" applyFont="1" applyFill="1" applyBorder="1"/>
    <xf numFmtId="169" fontId="1" fillId="15" borderId="32" xfId="15" applyNumberFormat="1" applyFont="1" applyFill="1" applyBorder="1"/>
    <xf numFmtId="0" fontId="29" fillId="16" borderId="0" xfId="1" applyFont="1" applyFill="1"/>
    <xf numFmtId="0" fontId="29" fillId="0" borderId="18" xfId="0" applyFont="1" applyFill="1" applyBorder="1" applyAlignment="1" applyProtection="1">
      <alignment wrapText="1"/>
    </xf>
    <xf numFmtId="0" fontId="29" fillId="0" borderId="18" xfId="0" applyFont="1" applyFill="1" applyBorder="1" applyProtection="1"/>
    <xf numFmtId="0" fontId="29" fillId="16" borderId="0" xfId="2" applyFont="1" applyFill="1"/>
    <xf numFmtId="0" fontId="29" fillId="0" borderId="0" xfId="0" applyFont="1" applyAlignment="1">
      <alignment vertical="center"/>
    </xf>
    <xf numFmtId="0" fontId="37" fillId="0" borderId="0" xfId="1" applyFont="1"/>
    <xf numFmtId="0" fontId="13" fillId="0" borderId="0" xfId="1" applyFont="1"/>
    <xf numFmtId="0" fontId="38" fillId="0" borderId="0" xfId="1" applyFont="1"/>
    <xf numFmtId="0" fontId="38" fillId="5" borderId="0" xfId="1" applyFont="1" applyFill="1" applyAlignment="1">
      <alignment horizontal="center"/>
    </xf>
    <xf numFmtId="0" fontId="27" fillId="5" borderId="0" xfId="1" applyFont="1" applyFill="1"/>
    <xf numFmtId="0" fontId="32" fillId="4" borderId="6" xfId="2" applyFont="1" applyFill="1" applyBorder="1"/>
    <xf numFmtId="0" fontId="13" fillId="4" borderId="7" xfId="2" applyFont="1" applyFill="1" applyBorder="1"/>
    <xf numFmtId="164" fontId="13" fillId="5" borderId="8" xfId="2" applyNumberFormat="1" applyFont="1" applyFill="1" applyBorder="1"/>
    <xf numFmtId="0" fontId="13" fillId="0" borderId="0" xfId="1" applyFont="1" applyBorder="1"/>
    <xf numFmtId="0" fontId="32" fillId="4" borderId="10" xfId="2" applyFont="1" applyFill="1" applyBorder="1"/>
    <xf numFmtId="164" fontId="13" fillId="5" borderId="11" xfId="2" applyNumberFormat="1" applyFont="1" applyFill="1" applyBorder="1"/>
    <xf numFmtId="0" fontId="13" fillId="0" borderId="6" xfId="1" applyFont="1" applyBorder="1" applyAlignment="1">
      <alignment horizontal="center"/>
    </xf>
    <xf numFmtId="10" fontId="13" fillId="0" borderId="23" xfId="6" applyNumberFormat="1" applyFont="1" applyBorder="1" applyAlignment="1">
      <alignment horizontal="center"/>
    </xf>
    <xf numFmtId="164" fontId="13" fillId="5" borderId="12" xfId="2" applyNumberFormat="1" applyFont="1" applyFill="1" applyBorder="1"/>
    <xf numFmtId="0" fontId="13" fillId="0" borderId="10" xfId="1" applyFont="1" applyBorder="1" applyAlignment="1">
      <alignment horizontal="center"/>
    </xf>
    <xf numFmtId="10" fontId="13" fillId="0" borderId="21" xfId="6" applyNumberFormat="1" applyFont="1" applyBorder="1" applyAlignment="1">
      <alignment horizontal="center"/>
    </xf>
    <xf numFmtId="0" fontId="13" fillId="4" borderId="21" xfId="2" applyFont="1" applyFill="1" applyBorder="1"/>
    <xf numFmtId="164" fontId="39" fillId="5" borderId="12" xfId="2" applyNumberFormat="1" applyFont="1" applyFill="1" applyBorder="1"/>
    <xf numFmtId="0" fontId="13" fillId="0" borderId="21" xfId="1" applyFont="1" applyBorder="1" applyAlignment="1">
      <alignment horizontal="center"/>
    </xf>
    <xf numFmtId="0" fontId="32" fillId="4" borderId="13" xfId="2" applyFont="1" applyFill="1" applyBorder="1"/>
    <xf numFmtId="0" fontId="13" fillId="4" borderId="14" xfId="2" applyFont="1" applyFill="1" applyBorder="1"/>
    <xf numFmtId="0" fontId="13" fillId="0" borderId="13" xfId="1" applyFont="1" applyBorder="1" applyAlignment="1">
      <alignment horizontal="center"/>
    </xf>
    <xf numFmtId="10" fontId="13" fillId="0" borderId="22" xfId="6" applyNumberFormat="1" applyFont="1" applyBorder="1" applyAlignment="1">
      <alignment horizontal="center"/>
    </xf>
    <xf numFmtId="165" fontId="13" fillId="4" borderId="0" xfId="3" applyNumberFormat="1" applyFont="1" applyFill="1" applyBorder="1"/>
    <xf numFmtId="10" fontId="13" fillId="4" borderId="11" xfId="3" applyNumberFormat="1" applyFont="1" applyFill="1" applyBorder="1"/>
    <xf numFmtId="0" fontId="27" fillId="0" borderId="6" xfId="1" applyFont="1" applyBorder="1" applyAlignment="1"/>
    <xf numFmtId="0" fontId="13" fillId="0" borderId="23" xfId="1" applyFont="1" applyBorder="1" applyAlignment="1"/>
    <xf numFmtId="0" fontId="27" fillId="0" borderId="8" xfId="1" applyFont="1" applyBorder="1" applyAlignment="1">
      <alignment horizontal="right"/>
    </xf>
    <xf numFmtId="0" fontId="27" fillId="0" borderId="7" xfId="1" applyFont="1" applyBorder="1" applyAlignment="1">
      <alignment horizontal="right"/>
    </xf>
    <xf numFmtId="0" fontId="27" fillId="0" borderId="13" xfId="1" applyFont="1" applyBorder="1"/>
    <xf numFmtId="0" fontId="13" fillId="0" borderId="22" xfId="1" applyFont="1" applyBorder="1" applyAlignment="1"/>
    <xf numFmtId="0" fontId="27" fillId="0" borderId="12" xfId="1" applyFont="1" applyBorder="1" applyAlignment="1">
      <alignment horizontal="right"/>
    </xf>
    <xf numFmtId="0" fontId="27" fillId="0" borderId="14" xfId="1" applyFont="1" applyBorder="1" applyAlignment="1">
      <alignment horizontal="right"/>
    </xf>
    <xf numFmtId="0" fontId="13" fillId="0" borderId="2" xfId="1" applyFont="1" applyBorder="1"/>
    <xf numFmtId="10" fontId="13" fillId="0" borderId="9" xfId="3" applyNumberFormat="1" applyFont="1" applyBorder="1"/>
    <xf numFmtId="10" fontId="30" fillId="0" borderId="18" xfId="3" applyNumberFormat="1" applyFont="1" applyBorder="1"/>
    <xf numFmtId="10" fontId="30" fillId="0" borderId="0" xfId="3" applyNumberFormat="1" applyFont="1" applyBorder="1"/>
    <xf numFmtId="10" fontId="30" fillId="15" borderId="0" xfId="3" applyNumberFormat="1" applyFont="1" applyFill="1" applyBorder="1"/>
    <xf numFmtId="10" fontId="30" fillId="15" borderId="18" xfId="3" applyNumberFormat="1" applyFont="1" applyFill="1" applyBorder="1"/>
    <xf numFmtId="0" fontId="27" fillId="6" borderId="15" xfId="1" applyFont="1" applyFill="1" applyBorder="1" applyAlignment="1">
      <alignment wrapText="1"/>
    </xf>
    <xf numFmtId="10" fontId="27" fillId="6" borderId="17" xfId="3" applyNumberFormat="1" applyFont="1" applyFill="1" applyBorder="1"/>
    <xf numFmtId="10" fontId="27" fillId="6" borderId="12" xfId="3" applyNumberFormat="1" applyFont="1" applyFill="1" applyBorder="1"/>
    <xf numFmtId="10" fontId="27" fillId="6" borderId="14" xfId="3" applyNumberFormat="1" applyFont="1" applyFill="1" applyBorder="1"/>
    <xf numFmtId="0" fontId="13" fillId="0" borderId="5" xfId="1" applyFont="1" applyBorder="1"/>
    <xf numFmtId="0" fontId="27" fillId="6" borderId="2" xfId="1" applyFont="1" applyFill="1" applyBorder="1"/>
    <xf numFmtId="10" fontId="27" fillId="6" borderId="9" xfId="6" applyNumberFormat="1" applyFont="1" applyFill="1" applyBorder="1" applyAlignment="1">
      <alignment horizontal="right"/>
    </xf>
    <xf numFmtId="0" fontId="27" fillId="0" borderId="0" xfId="1" applyFont="1"/>
    <xf numFmtId="0" fontId="27" fillId="0" borderId="9" xfId="1" applyFont="1" applyBorder="1"/>
    <xf numFmtId="0" fontId="27" fillId="6" borderId="15" xfId="1" applyFont="1" applyFill="1" applyBorder="1"/>
    <xf numFmtId="10" fontId="27" fillId="6" borderId="17" xfId="6" applyNumberFormat="1" applyFont="1" applyFill="1" applyBorder="1" applyAlignment="1">
      <alignment horizontal="right"/>
    </xf>
    <xf numFmtId="0" fontId="40" fillId="0" borderId="0" xfId="1" applyFont="1"/>
    <xf numFmtId="0" fontId="27" fillId="0" borderId="3" xfId="1" applyFont="1" applyBorder="1"/>
    <xf numFmtId="0" fontId="27" fillId="0" borderId="30" xfId="1" applyFont="1" applyBorder="1" applyAlignment="1">
      <alignment horizontal="right"/>
    </xf>
    <xf numFmtId="0" fontId="27" fillId="0" borderId="23" xfId="1" applyFont="1" applyBorder="1" applyAlignment="1">
      <alignment horizontal="right"/>
    </xf>
    <xf numFmtId="10" fontId="13" fillId="0" borderId="9" xfId="3" applyNumberFormat="1" applyFont="1" applyBorder="1" applyAlignment="1">
      <alignment horizontal="right"/>
    </xf>
    <xf numFmtId="166" fontId="32" fillId="0" borderId="31" xfId="1" applyNumberFormat="1" applyFont="1" applyBorder="1"/>
    <xf numFmtId="10" fontId="30" fillId="15" borderId="21" xfId="3" applyNumberFormat="1" applyFont="1" applyFill="1" applyBorder="1"/>
    <xf numFmtId="0" fontId="13" fillId="0" borderId="31" xfId="1" applyFont="1" applyBorder="1"/>
    <xf numFmtId="0" fontId="13" fillId="0" borderId="21" xfId="1" applyFont="1" applyBorder="1"/>
    <xf numFmtId="0" fontId="13" fillId="0" borderId="18" xfId="1" applyFont="1" applyBorder="1"/>
    <xf numFmtId="0" fontId="27" fillId="6" borderId="15" xfId="1" applyFont="1" applyFill="1" applyBorder="1" applyAlignment="1">
      <alignment horizontal="left" wrapText="1"/>
    </xf>
    <xf numFmtId="10" fontId="27" fillId="6" borderId="17" xfId="3" applyNumberFormat="1" applyFont="1" applyFill="1" applyBorder="1" applyAlignment="1">
      <alignment horizontal="right"/>
    </xf>
    <xf numFmtId="166" fontId="27" fillId="6" borderId="32" xfId="3" applyNumberFormat="1" applyFont="1" applyFill="1" applyBorder="1"/>
    <xf numFmtId="167" fontId="13" fillId="0" borderId="0" xfId="1" applyNumberFormat="1" applyFont="1"/>
    <xf numFmtId="0" fontId="13" fillId="0" borderId="3" xfId="1" applyFont="1" applyBorder="1"/>
    <xf numFmtId="10" fontId="27" fillId="6" borderId="9" xfId="6" applyNumberFormat="1" applyFont="1" applyFill="1" applyBorder="1"/>
    <xf numFmtId="10" fontId="27" fillId="6" borderId="17" xfId="6" applyNumberFormat="1" applyFont="1" applyFill="1" applyBorder="1"/>
    <xf numFmtId="0" fontId="27" fillId="6" borderId="3" xfId="1" applyFont="1" applyFill="1" applyBorder="1"/>
    <xf numFmtId="0" fontId="27" fillId="0" borderId="4" xfId="1" applyFont="1" applyBorder="1"/>
    <xf numFmtId="0" fontId="27" fillId="8" borderId="44" xfId="1" applyFont="1" applyFill="1" applyBorder="1"/>
    <xf numFmtId="0" fontId="27" fillId="8" borderId="29" xfId="1" applyFont="1" applyFill="1" applyBorder="1"/>
    <xf numFmtId="166" fontId="13" fillId="8" borderId="0" xfId="3" applyNumberFormat="1" applyFont="1" applyFill="1" applyBorder="1"/>
    <xf numFmtId="0" fontId="13" fillId="0" borderId="9" xfId="1" applyFont="1" applyBorder="1"/>
    <xf numFmtId="166" fontId="32" fillId="10" borderId="21" xfId="3" applyNumberFormat="1" applyFont="1" applyFill="1" applyBorder="1"/>
    <xf numFmtId="166" fontId="32" fillId="10" borderId="9" xfId="3" applyNumberFormat="1" applyFont="1" applyFill="1" applyBorder="1"/>
    <xf numFmtId="10" fontId="13" fillId="0" borderId="21" xfId="3" applyNumberFormat="1" applyFont="1" applyBorder="1"/>
    <xf numFmtId="166" fontId="27" fillId="6" borderId="16" xfId="3" applyNumberFormat="1" applyFont="1" applyFill="1" applyBorder="1"/>
    <xf numFmtId="0" fontId="13" fillId="0" borderId="17" xfId="1" applyFont="1" applyBorder="1"/>
    <xf numFmtId="166" fontId="27" fillId="6" borderId="49" xfId="3" applyNumberFormat="1" applyFont="1" applyFill="1" applyBorder="1"/>
    <xf numFmtId="166" fontId="27" fillId="6" borderId="17" xfId="3" applyNumberFormat="1" applyFont="1" applyFill="1" applyBorder="1"/>
    <xf numFmtId="0" fontId="43" fillId="6" borderId="3" xfId="0" applyFont="1" applyFill="1" applyBorder="1" applyAlignment="1"/>
    <xf numFmtId="0" fontId="39" fillId="6" borderId="5" xfId="0" applyFont="1" applyFill="1" applyBorder="1" applyAlignment="1">
      <alignment wrapText="1"/>
    </xf>
    <xf numFmtId="0" fontId="13" fillId="0" borderId="0" xfId="0" applyFont="1" applyBorder="1"/>
    <xf numFmtId="0" fontId="13" fillId="0" borderId="0" xfId="0" applyFont="1"/>
    <xf numFmtId="0" fontId="39" fillId="8" borderId="2" xfId="0" applyFont="1" applyFill="1" applyBorder="1" applyAlignment="1">
      <alignment wrapText="1"/>
    </xf>
    <xf numFmtId="0" fontId="39" fillId="8" borderId="9" xfId="0" applyFont="1" applyFill="1" applyBorder="1" applyAlignment="1">
      <alignment wrapText="1"/>
    </xf>
    <xf numFmtId="0" fontId="13" fillId="0" borderId="0" xfId="0" applyFont="1" applyFill="1" applyBorder="1"/>
    <xf numFmtId="10" fontId="30" fillId="0" borderId="9" xfId="3" applyNumberFormat="1" applyFont="1" applyBorder="1"/>
    <xf numFmtId="0" fontId="13" fillId="0" borderId="2" xfId="0" applyFont="1" applyBorder="1"/>
    <xf numFmtId="0" fontId="27" fillId="6" borderId="15" xfId="0" applyFont="1" applyFill="1" applyBorder="1" applyAlignment="1">
      <alignment wrapText="1"/>
    </xf>
    <xf numFmtId="0" fontId="13" fillId="0" borderId="4" xfId="1" applyFont="1" applyBorder="1"/>
    <xf numFmtId="167" fontId="13" fillId="0" borderId="4" xfId="1" applyNumberFormat="1" applyFont="1" applyBorder="1"/>
    <xf numFmtId="0" fontId="43" fillId="7" borderId="2" xfId="1" applyFont="1" applyFill="1" applyBorder="1"/>
    <xf numFmtId="0" fontId="27" fillId="0" borderId="19" xfId="1" applyFont="1" applyBorder="1"/>
    <xf numFmtId="0" fontId="27" fillId="0" borderId="2" xfId="1" applyFont="1" applyBorder="1"/>
    <xf numFmtId="166" fontId="27" fillId="0" borderId="0" xfId="1" applyNumberFormat="1" applyFont="1" applyBorder="1"/>
    <xf numFmtId="169" fontId="13" fillId="0" borderId="0" xfId="1" applyNumberFormat="1" applyFont="1"/>
    <xf numFmtId="3" fontId="27" fillId="0" borderId="0" xfId="1" applyNumberFormat="1" applyFont="1" applyBorder="1"/>
    <xf numFmtId="0" fontId="40" fillId="6" borderId="2" xfId="1" applyFont="1" applyFill="1" applyBorder="1"/>
    <xf numFmtId="3" fontId="40" fillId="6" borderId="20" xfId="1" applyNumberFormat="1" applyFont="1" applyFill="1" applyBorder="1"/>
    <xf numFmtId="169" fontId="13" fillId="0" borderId="0" xfId="5" applyNumberFormat="1" applyFont="1"/>
    <xf numFmtId="0" fontId="40" fillId="8" borderId="2" xfId="1" applyFont="1" applyFill="1" applyBorder="1"/>
    <xf numFmtId="0" fontId="13" fillId="8" borderId="0" xfId="1" applyFont="1" applyFill="1" applyBorder="1"/>
    <xf numFmtId="3" fontId="40" fillId="8" borderId="0" xfId="1" applyNumberFormat="1" applyFont="1" applyFill="1" applyBorder="1"/>
    <xf numFmtId="0" fontId="13" fillId="8" borderId="9" xfId="1" applyFont="1" applyFill="1" applyBorder="1"/>
    <xf numFmtId="0" fontId="13" fillId="8" borderId="0" xfId="1" applyFont="1" applyFill="1"/>
    <xf numFmtId="0" fontId="27" fillId="8" borderId="28" xfId="1" applyFont="1" applyFill="1" applyBorder="1"/>
    <xf numFmtId="166" fontId="32" fillId="10" borderId="26" xfId="3" applyNumberFormat="1" applyFont="1" applyFill="1" applyBorder="1"/>
    <xf numFmtId="10" fontId="13" fillId="0" borderId="26" xfId="3" applyNumberFormat="1" applyFont="1" applyBorder="1"/>
    <xf numFmtId="0" fontId="27" fillId="5" borderId="15" xfId="1" applyFont="1" applyFill="1" applyBorder="1" applyAlignment="1">
      <alignment wrapText="1"/>
    </xf>
    <xf numFmtId="166" fontId="27" fillId="6" borderId="27" xfId="3" applyNumberFormat="1" applyFont="1" applyFill="1" applyBorder="1"/>
    <xf numFmtId="0" fontId="27" fillId="6" borderId="3" xfId="1" applyFont="1" applyFill="1" applyBorder="1" applyAlignment="1">
      <alignment wrapText="1"/>
    </xf>
    <xf numFmtId="0" fontId="27" fillId="6" borderId="33" xfId="1" applyFont="1" applyFill="1" applyBorder="1"/>
    <xf numFmtId="0" fontId="13" fillId="0" borderId="7" xfId="1" applyFont="1" applyBorder="1"/>
    <xf numFmtId="0" fontId="13" fillId="0" borderId="34" xfId="1" applyFont="1" applyBorder="1"/>
    <xf numFmtId="0" fontId="38" fillId="0" borderId="2" xfId="1" applyFont="1" applyBorder="1"/>
    <xf numFmtId="0" fontId="27" fillId="0" borderId="35" xfId="1" applyFont="1" applyBorder="1"/>
    <xf numFmtId="0" fontId="45" fillId="0" borderId="2" xfId="4" applyFont="1" applyFill="1" applyBorder="1" applyAlignment="1">
      <alignment horizontal="left"/>
    </xf>
    <xf numFmtId="3" fontId="30" fillId="0" borderId="0" xfId="1" applyNumberFormat="1" applyFont="1" applyBorder="1"/>
    <xf numFmtId="3" fontId="30" fillId="0" borderId="9" xfId="1" applyNumberFormat="1" applyFont="1" applyBorder="1"/>
    <xf numFmtId="0" fontId="13" fillId="7" borderId="2" xfId="1" applyFont="1" applyFill="1" applyBorder="1"/>
    <xf numFmtId="0" fontId="13" fillId="7" borderId="0" xfId="1" applyFont="1" applyFill="1" applyBorder="1"/>
    <xf numFmtId="10" fontId="1" fillId="9" borderId="0" xfId="4" applyNumberFormat="1" applyFont="1" applyFill="1" applyBorder="1"/>
    <xf numFmtId="10" fontId="1" fillId="9" borderId="9" xfId="4" applyNumberFormat="1" applyFont="1" applyFill="1" applyBorder="1"/>
    <xf numFmtId="10" fontId="1" fillId="0" borderId="0" xfId="4" applyNumberFormat="1" applyFont="1" applyBorder="1"/>
    <xf numFmtId="10" fontId="1" fillId="0" borderId="9" xfId="4" applyNumberFormat="1" applyFont="1" applyBorder="1"/>
    <xf numFmtId="3" fontId="27" fillId="0" borderId="9" xfId="1" applyNumberFormat="1" applyFont="1" applyBorder="1"/>
    <xf numFmtId="10" fontId="13" fillId="0" borderId="0" xfId="1" applyNumberFormat="1" applyFont="1" applyBorder="1"/>
    <xf numFmtId="10" fontId="13" fillId="0" borderId="9" xfId="1" applyNumberFormat="1" applyFont="1" applyBorder="1"/>
    <xf numFmtId="3" fontId="27" fillId="0" borderId="19" xfId="1" applyNumberFormat="1" applyFont="1" applyBorder="1"/>
    <xf numFmtId="3" fontId="27" fillId="0" borderId="35" xfId="1" applyNumberFormat="1" applyFont="1" applyBorder="1"/>
    <xf numFmtId="0" fontId="13" fillId="0" borderId="36" xfId="1" applyFont="1" applyBorder="1"/>
    <xf numFmtId="0" fontId="13" fillId="0" borderId="14" xfId="1" applyFont="1" applyBorder="1"/>
    <xf numFmtId="0" fontId="13" fillId="0" borderId="37" xfId="1" applyFont="1" applyBorder="1"/>
    <xf numFmtId="0" fontId="13" fillId="7" borderId="2" xfId="0" applyFont="1" applyFill="1" applyBorder="1"/>
    <xf numFmtId="0" fontId="13" fillId="7" borderId="0" xfId="0" applyFont="1" applyFill="1" applyBorder="1"/>
    <xf numFmtId="0" fontId="13" fillId="8" borderId="0" xfId="0" applyFont="1" applyFill="1" applyBorder="1"/>
    <xf numFmtId="0" fontId="13" fillId="8" borderId="9" xfId="0" applyFont="1" applyFill="1" applyBorder="1"/>
    <xf numFmtId="0" fontId="13" fillId="0" borderId="15" xfId="1" applyFont="1" applyBorder="1"/>
    <xf numFmtId="0" fontId="13" fillId="0" borderId="16" xfId="1" applyFont="1" applyBorder="1"/>
    <xf numFmtId="167" fontId="13" fillId="0" borderId="0" xfId="1" applyNumberFormat="1" applyFont="1" applyBorder="1"/>
    <xf numFmtId="0" fontId="40" fillId="0" borderId="2" xfId="1" applyFont="1" applyBorder="1"/>
    <xf numFmtId="0" fontId="13" fillId="0" borderId="9" xfId="0" applyFont="1" applyBorder="1"/>
    <xf numFmtId="167" fontId="13" fillId="0" borderId="16" xfId="1" applyNumberFormat="1" applyFont="1" applyBorder="1"/>
    <xf numFmtId="0" fontId="46" fillId="0" borderId="2" xfId="1" applyFont="1" applyBorder="1"/>
    <xf numFmtId="0" fontId="3" fillId="0" borderId="0" xfId="0" applyFont="1"/>
    <xf numFmtId="2" fontId="19" fillId="12" borderId="0" xfId="5" applyNumberFormat="1" applyFont="1" applyFill="1" applyAlignment="1" applyProtection="1">
      <alignment horizontal="left"/>
    </xf>
    <xf numFmtId="0" fontId="27" fillId="0" borderId="0" xfId="1" applyFont="1" applyBorder="1"/>
    <xf numFmtId="169" fontId="1" fillId="8" borderId="31" xfId="15" applyNumberFormat="1" applyFont="1" applyFill="1" applyBorder="1"/>
    <xf numFmtId="169" fontId="1" fillId="8" borderId="64" xfId="15" applyNumberFormat="1" applyFont="1" applyFill="1" applyBorder="1"/>
    <xf numFmtId="169" fontId="1" fillId="8" borderId="32" xfId="15" applyNumberFormat="1" applyFont="1" applyFill="1" applyBorder="1"/>
    <xf numFmtId="169" fontId="13" fillId="8" borderId="52" xfId="1" applyNumberFormat="1" applyFont="1" applyFill="1" applyBorder="1"/>
    <xf numFmtId="0" fontId="27" fillId="8" borderId="30" xfId="1" applyFont="1" applyFill="1" applyBorder="1" applyAlignment="1">
      <alignment horizontal="center" wrapText="1"/>
    </xf>
    <xf numFmtId="0" fontId="40" fillId="8" borderId="30" xfId="1" applyFont="1" applyFill="1" applyBorder="1" applyAlignment="1">
      <alignment horizontal="center" wrapText="1"/>
    </xf>
    <xf numFmtId="0" fontId="13" fillId="8" borderId="65" xfId="1" applyFont="1" applyFill="1" applyBorder="1"/>
    <xf numFmtId="0" fontId="13" fillId="8" borderId="31" xfId="1" applyFont="1" applyFill="1" applyBorder="1" applyAlignment="1">
      <alignment horizontal="center"/>
    </xf>
    <xf numFmtId="0" fontId="13" fillId="8" borderId="31" xfId="1" applyFont="1" applyFill="1" applyBorder="1"/>
    <xf numFmtId="10" fontId="13" fillId="8" borderId="31" xfId="3" applyNumberFormat="1" applyFont="1" applyFill="1" applyBorder="1" applyAlignment="1">
      <alignment horizontal="center"/>
    </xf>
    <xf numFmtId="0" fontId="40" fillId="8" borderId="31" xfId="1" applyFont="1" applyFill="1" applyBorder="1"/>
    <xf numFmtId="0" fontId="40" fillId="8" borderId="32" xfId="1" applyFont="1" applyFill="1" applyBorder="1"/>
    <xf numFmtId="3" fontId="3" fillId="0" borderId="8" xfId="0" applyNumberFormat="1" applyFont="1" applyBorder="1" applyProtection="1">
      <protection locked="0"/>
    </xf>
    <xf numFmtId="0" fontId="27" fillId="6" borderId="15" xfId="0" applyFont="1" applyFill="1" applyBorder="1" applyAlignment="1"/>
    <xf numFmtId="0" fontId="40" fillId="6" borderId="3" xfId="1" applyFont="1" applyFill="1" applyBorder="1" applyAlignment="1"/>
    <xf numFmtId="0" fontId="39" fillId="6" borderId="4" xfId="0" applyFont="1" applyFill="1" applyBorder="1"/>
    <xf numFmtId="0" fontId="39" fillId="6" borderId="5" xfId="0" applyFont="1" applyFill="1" applyBorder="1"/>
    <xf numFmtId="0" fontId="13" fillId="6" borderId="16" xfId="0" applyFont="1" applyFill="1" applyBorder="1"/>
    <xf numFmtId="0" fontId="12" fillId="9" borderId="26" xfId="16" applyFont="1" applyFill="1" applyBorder="1"/>
    <xf numFmtId="0" fontId="0" fillId="16" borderId="0" xfId="0" applyFill="1"/>
    <xf numFmtId="0" fontId="0" fillId="4" borderId="41" xfId="0" applyFill="1" applyBorder="1"/>
    <xf numFmtId="0" fontId="0" fillId="4" borderId="42" xfId="0" applyFill="1" applyBorder="1"/>
    <xf numFmtId="0" fontId="0" fillId="4" borderId="43" xfId="0" applyFill="1" applyBorder="1" applyAlignment="1">
      <alignment horizontal="center" wrapText="1"/>
    </xf>
    <xf numFmtId="0" fontId="0" fillId="4" borderId="28" xfId="0" applyFill="1" applyBorder="1" applyAlignment="1">
      <alignment horizontal="center" wrapText="1"/>
    </xf>
    <xf numFmtId="0" fontId="0" fillId="4" borderId="45" xfId="0" applyFill="1" applyBorder="1" applyAlignment="1">
      <alignment horizontal="center" wrapText="1"/>
    </xf>
    <xf numFmtId="0" fontId="0" fillId="9" borderId="31" xfId="0" applyFill="1" applyBorder="1"/>
    <xf numFmtId="174" fontId="0" fillId="9" borderId="18" xfId="15" applyNumberFormat="1" applyFont="1" applyFill="1" applyBorder="1"/>
    <xf numFmtId="169" fontId="12" fillId="9" borderId="26" xfId="15" applyNumberFormat="1" applyFill="1" applyBorder="1"/>
    <xf numFmtId="169" fontId="0" fillId="4" borderId="26" xfId="15" applyNumberFormat="1" applyFont="1" applyFill="1" applyBorder="1"/>
    <xf numFmtId="169" fontId="0" fillId="4" borderId="18" xfId="15" applyNumberFormat="1" applyFont="1" applyFill="1" applyBorder="1"/>
    <xf numFmtId="169" fontId="0" fillId="4" borderId="48" xfId="0" applyNumberFormat="1" applyFill="1" applyBorder="1"/>
    <xf numFmtId="175" fontId="0" fillId="9" borderId="26" xfId="15" applyNumberFormat="1" applyFont="1" applyFill="1" applyBorder="1"/>
    <xf numFmtId="175" fontId="0" fillId="9" borderId="18" xfId="15" applyNumberFormat="1" applyFont="1" applyFill="1" applyBorder="1"/>
    <xf numFmtId="175" fontId="0" fillId="9" borderId="48" xfId="15" applyNumberFormat="1" applyFont="1" applyFill="1" applyBorder="1"/>
    <xf numFmtId="175" fontId="12" fillId="9" borderId="18" xfId="15" applyNumberFormat="1" applyFont="1" applyFill="1" applyBorder="1"/>
    <xf numFmtId="169" fontId="0" fillId="9" borderId="18" xfId="15" applyNumberFormat="1" applyFont="1" applyFill="1" applyBorder="1"/>
    <xf numFmtId="169" fontId="0" fillId="9" borderId="48" xfId="15" applyNumberFormat="1" applyFont="1" applyFill="1" applyBorder="1"/>
    <xf numFmtId="174" fontId="0" fillId="9" borderId="26" xfId="15" applyNumberFormat="1" applyFont="1" applyFill="1" applyBorder="1"/>
    <xf numFmtId="0" fontId="12" fillId="9" borderId="31" xfId="0" applyFont="1" applyFill="1" applyBorder="1"/>
    <xf numFmtId="175" fontId="12" fillId="9" borderId="26" xfId="15" applyNumberFormat="1" applyFont="1" applyFill="1" applyBorder="1"/>
    <xf numFmtId="0" fontId="0" fillId="9" borderId="2" xfId="0" applyFill="1" applyBorder="1"/>
    <xf numFmtId="174" fontId="0" fillId="9" borderId="48" xfId="15" applyNumberFormat="1" applyFont="1" applyFill="1" applyBorder="1"/>
    <xf numFmtId="173" fontId="12" fillId="9" borderId="26" xfId="15" applyFont="1" applyFill="1" applyBorder="1"/>
    <xf numFmtId="174" fontId="12" fillId="9" borderId="18" xfId="15" applyNumberFormat="1" applyFont="1" applyFill="1" applyBorder="1"/>
    <xf numFmtId="173" fontId="12" fillId="9" borderId="18" xfId="15" applyNumberFormat="1" applyFont="1" applyFill="1" applyBorder="1"/>
    <xf numFmtId="173" fontId="12" fillId="9" borderId="48" xfId="15" applyNumberFormat="1" applyFont="1" applyFill="1" applyBorder="1"/>
    <xf numFmtId="169" fontId="0" fillId="9" borderId="26" xfId="15" applyNumberFormat="1" applyFont="1" applyFill="1" applyBorder="1"/>
    <xf numFmtId="0" fontId="0" fillId="9" borderId="32" xfId="0" applyFill="1" applyBorder="1"/>
    <xf numFmtId="0" fontId="0" fillId="9" borderId="15" xfId="0" applyFill="1" applyBorder="1"/>
    <xf numFmtId="174" fontId="0" fillId="9" borderId="27" xfId="15" applyNumberFormat="1" applyFont="1" applyFill="1" applyBorder="1"/>
    <xf numFmtId="174" fontId="0" fillId="9" borderId="25" xfId="15" applyNumberFormat="1" applyFont="1" applyFill="1" applyBorder="1"/>
    <xf numFmtId="174" fontId="0" fillId="9" borderId="50" xfId="15" applyNumberFormat="1" applyFont="1" applyFill="1" applyBorder="1"/>
    <xf numFmtId="173" fontId="12" fillId="9" borderId="27" xfId="15" applyFont="1" applyFill="1" applyBorder="1"/>
    <xf numFmtId="174" fontId="12" fillId="9" borderId="25" xfId="15" applyNumberFormat="1" applyFont="1" applyFill="1" applyBorder="1"/>
    <xf numFmtId="173" fontId="12" fillId="9" borderId="25" xfId="15" applyNumberFormat="1" applyFont="1" applyFill="1" applyBorder="1"/>
    <xf numFmtId="173" fontId="12" fillId="9" borderId="50" xfId="15" applyNumberFormat="1" applyFont="1" applyFill="1" applyBorder="1"/>
    <xf numFmtId="169" fontId="0" fillId="9" borderId="27" xfId="15" applyNumberFormat="1" applyFont="1" applyFill="1" applyBorder="1"/>
    <xf numFmtId="169" fontId="0" fillId="9" borderId="25" xfId="15" applyNumberFormat="1" applyFont="1" applyFill="1" applyBorder="1"/>
    <xf numFmtId="169" fontId="0" fillId="9" borderId="50" xfId="15" applyNumberFormat="1" applyFont="1" applyFill="1" applyBorder="1"/>
    <xf numFmtId="169" fontId="0" fillId="4" borderId="27" xfId="15" applyNumberFormat="1" applyFont="1" applyFill="1" applyBorder="1"/>
    <xf numFmtId="169" fontId="0" fillId="4" borderId="25" xfId="15" applyNumberFormat="1" applyFont="1" applyFill="1" applyBorder="1"/>
    <xf numFmtId="169" fontId="0" fillId="4" borderId="50" xfId="0" applyNumberFormat="1" applyFill="1" applyBorder="1"/>
    <xf numFmtId="0" fontId="0" fillId="16" borderId="0" xfId="0" applyFill="1" applyBorder="1"/>
    <xf numFmtId="169" fontId="0" fillId="4" borderId="51" xfId="0" applyNumberFormat="1" applyFill="1" applyBorder="1"/>
    <xf numFmtId="169" fontId="0" fillId="4" borderId="51" xfId="15" applyNumberFormat="1" applyFont="1" applyFill="1" applyBorder="1"/>
    <xf numFmtId="169" fontId="0" fillId="4" borderId="52" xfId="0" applyNumberFormat="1" applyFill="1" applyBorder="1"/>
    <xf numFmtId="0" fontId="49" fillId="16" borderId="0" xfId="0" applyFont="1" applyFill="1"/>
    <xf numFmtId="0" fontId="50" fillId="16" borderId="0" xfId="0" applyFont="1" applyFill="1"/>
    <xf numFmtId="0" fontId="50" fillId="7" borderId="0" xfId="0" applyFont="1" applyFill="1"/>
    <xf numFmtId="0" fontId="12" fillId="7" borderId="0" xfId="0" applyFont="1" applyFill="1"/>
    <xf numFmtId="173" fontId="0" fillId="16" borderId="0" xfId="0" applyNumberFormat="1" applyFill="1"/>
    <xf numFmtId="0" fontId="48" fillId="6" borderId="0" xfId="0" applyFont="1" applyFill="1"/>
    <xf numFmtId="0" fontId="50" fillId="6" borderId="0" xfId="0" applyFont="1" applyFill="1"/>
    <xf numFmtId="0" fontId="12" fillId="6" borderId="0" xfId="0" applyFont="1" applyFill="1"/>
    <xf numFmtId="0" fontId="0" fillId="6" borderId="0" xfId="0" applyFill="1"/>
    <xf numFmtId="3" fontId="13" fillId="16" borderId="0" xfId="1" applyNumberFormat="1" applyFont="1" applyFill="1"/>
    <xf numFmtId="3" fontId="13" fillId="0" borderId="0" xfId="1" applyNumberFormat="1" applyFont="1"/>
    <xf numFmtId="3" fontId="1" fillId="0" borderId="0" xfId="0" applyNumberFormat="1" applyFont="1"/>
    <xf numFmtId="0" fontId="51" fillId="9" borderId="2" xfId="16" applyFont="1" applyFill="1" applyBorder="1"/>
    <xf numFmtId="0" fontId="51" fillId="9" borderId="26" xfId="16" applyFont="1" applyFill="1" applyBorder="1"/>
    <xf numFmtId="10" fontId="13" fillId="8" borderId="32" xfId="3" applyNumberFormat="1" applyFont="1" applyFill="1" applyBorder="1" applyAlignment="1">
      <alignment horizontal="center"/>
    </xf>
    <xf numFmtId="0" fontId="12" fillId="4" borderId="3" xfId="16" applyFill="1" applyBorder="1"/>
    <xf numFmtId="0" fontId="12" fillId="4" borderId="4" xfId="16" applyFill="1" applyBorder="1"/>
    <xf numFmtId="0" fontId="12" fillId="4" borderId="5" xfId="16" applyFill="1" applyBorder="1"/>
    <xf numFmtId="0" fontId="12" fillId="16" borderId="0" xfId="16" applyFill="1"/>
    <xf numFmtId="0" fontId="50" fillId="4" borderId="2" xfId="16" applyFont="1" applyFill="1" applyBorder="1"/>
    <xf numFmtId="0" fontId="50" fillId="0" borderId="0" xfId="16" applyFont="1" applyFill="1" applyBorder="1" applyAlignment="1">
      <alignment horizontal="center"/>
    </xf>
    <xf numFmtId="0" fontId="12" fillId="4" borderId="0" xfId="16" applyFill="1" applyBorder="1"/>
    <xf numFmtId="0" fontId="12" fillId="4" borderId="9" xfId="16" applyFill="1" applyBorder="1"/>
    <xf numFmtId="0" fontId="12" fillId="7" borderId="59" xfId="16" applyFont="1" applyFill="1" applyBorder="1"/>
    <xf numFmtId="0" fontId="12" fillId="4" borderId="8" xfId="16" applyFill="1" applyBorder="1" applyAlignment="1">
      <alignment horizontal="center"/>
    </xf>
    <xf numFmtId="0" fontId="52" fillId="4" borderId="9" xfId="16" applyFont="1" applyFill="1" applyBorder="1"/>
    <xf numFmtId="169" fontId="12" fillId="4" borderId="8" xfId="16" applyNumberFormat="1" applyFill="1" applyBorder="1"/>
    <xf numFmtId="10" fontId="12" fillId="4" borderId="8" xfId="3" applyNumberFormat="1" applyFill="1" applyBorder="1"/>
    <xf numFmtId="169" fontId="12" fillId="4" borderId="18" xfId="16" applyNumberFormat="1" applyFill="1" applyBorder="1"/>
    <xf numFmtId="10" fontId="12" fillId="4" borderId="18" xfId="3" applyNumberFormat="1" applyFill="1" applyBorder="1"/>
    <xf numFmtId="0" fontId="12" fillId="9" borderId="26" xfId="16" applyFill="1" applyBorder="1"/>
    <xf numFmtId="0" fontId="12" fillId="9" borderId="27" xfId="16" applyFill="1" applyBorder="1"/>
    <xf numFmtId="169" fontId="12" fillId="4" borderId="25" xfId="16" applyNumberFormat="1" applyFill="1" applyBorder="1"/>
    <xf numFmtId="10" fontId="12" fillId="4" borderId="25" xfId="3" applyNumberFormat="1" applyFill="1" applyBorder="1"/>
    <xf numFmtId="0" fontId="52" fillId="4" borderId="50" xfId="16" applyFont="1" applyFill="1" applyBorder="1"/>
    <xf numFmtId="0" fontId="53" fillId="4" borderId="24" xfId="16" applyFont="1" applyFill="1" applyBorder="1"/>
    <xf numFmtId="169" fontId="53" fillId="4" borderId="60" xfId="16" applyNumberFormat="1" applyFont="1" applyFill="1" applyBorder="1" applyAlignment="1">
      <alignment horizontal="right"/>
    </xf>
    <xf numFmtId="169" fontId="53" fillId="4" borderId="24" xfId="16" applyNumberFormat="1" applyFont="1" applyFill="1" applyBorder="1" applyAlignment="1">
      <alignment horizontal="right"/>
    </xf>
    <xf numFmtId="0" fontId="50" fillId="16" borderId="0" xfId="16" applyFont="1" applyFill="1"/>
    <xf numFmtId="0" fontId="50" fillId="4" borderId="12" xfId="16" applyFont="1" applyFill="1" applyBorder="1"/>
    <xf numFmtId="169" fontId="53" fillId="4" borderId="12" xfId="16" applyNumberFormat="1" applyFont="1" applyFill="1" applyBorder="1" applyAlignment="1">
      <alignment horizontal="right"/>
    </xf>
    <xf numFmtId="169" fontId="50" fillId="16" borderId="0" xfId="16" applyNumberFormat="1" applyFont="1" applyFill="1"/>
    <xf numFmtId="0" fontId="12" fillId="7" borderId="0" xfId="16" applyFont="1" applyFill="1"/>
    <xf numFmtId="173" fontId="12" fillId="16" borderId="0" xfId="16" applyNumberFormat="1" applyFill="1"/>
    <xf numFmtId="0" fontId="0" fillId="4" borderId="40" xfId="0" applyFill="1" applyBorder="1" applyAlignment="1">
      <alignment horizontal="center" wrapText="1"/>
    </xf>
    <xf numFmtId="0" fontId="12" fillId="4" borderId="41" xfId="16" applyFill="1" applyBorder="1"/>
    <xf numFmtId="0" fontId="12" fillId="4" borderId="42" xfId="16" applyFill="1" applyBorder="1"/>
    <xf numFmtId="0" fontId="12" fillId="4" borderId="45" xfId="16" applyFill="1" applyBorder="1" applyAlignment="1">
      <alignment horizontal="center" wrapText="1"/>
    </xf>
    <xf numFmtId="0" fontId="0" fillId="4" borderId="0" xfId="0" applyFill="1"/>
    <xf numFmtId="0" fontId="12" fillId="4" borderId="31" xfId="16" applyFont="1" applyFill="1" applyBorder="1"/>
    <xf numFmtId="0" fontId="12" fillId="4" borderId="31" xfId="16" applyFill="1" applyBorder="1"/>
    <xf numFmtId="169" fontId="12" fillId="4" borderId="26" xfId="15" applyNumberFormat="1" applyFill="1" applyBorder="1"/>
    <xf numFmtId="169" fontId="12" fillId="4" borderId="18" xfId="15" applyNumberFormat="1" applyFill="1" applyBorder="1"/>
    <xf numFmtId="169" fontId="12" fillId="4" borderId="48" xfId="16" applyNumberFormat="1" applyFill="1" applyBorder="1"/>
    <xf numFmtId="0" fontId="12" fillId="4" borderId="2" xfId="16" applyFill="1" applyBorder="1"/>
    <xf numFmtId="0" fontId="0" fillId="4" borderId="17" xfId="0" applyFill="1" applyBorder="1"/>
    <xf numFmtId="0" fontId="12" fillId="9" borderId="27" xfId="16" applyFont="1" applyFill="1" applyBorder="1"/>
    <xf numFmtId="0" fontId="12" fillId="9" borderId="32" xfId="16" applyFont="1" applyFill="1" applyBorder="1"/>
    <xf numFmtId="0" fontId="12" fillId="4" borderId="32" xfId="16" applyFill="1" applyBorder="1"/>
    <xf numFmtId="0" fontId="12" fillId="4" borderId="15" xfId="16" applyFill="1" applyBorder="1"/>
    <xf numFmtId="169" fontId="12" fillId="4" borderId="27" xfId="15" applyNumberFormat="1" applyFill="1" applyBorder="1"/>
    <xf numFmtId="169" fontId="12" fillId="4" borderId="25" xfId="15" applyNumberFormat="1" applyFill="1" applyBorder="1"/>
    <xf numFmtId="169" fontId="12" fillId="4" borderId="50" xfId="16" applyNumberFormat="1" applyFill="1" applyBorder="1"/>
    <xf numFmtId="0" fontId="0" fillId="16" borderId="42" xfId="0" applyFill="1" applyBorder="1"/>
    <xf numFmtId="0" fontId="0" fillId="16" borderId="31" xfId="0" applyFill="1" applyBorder="1"/>
    <xf numFmtId="175" fontId="12" fillId="9" borderId="46" xfId="15" applyNumberFormat="1" applyFill="1" applyBorder="1"/>
    <xf numFmtId="175" fontId="12" fillId="9" borderId="8" xfId="15" applyNumberFormat="1" applyFill="1" applyBorder="1"/>
    <xf numFmtId="174" fontId="12" fillId="9" borderId="47" xfId="15" applyNumberFormat="1" applyFill="1" applyBorder="1"/>
    <xf numFmtId="169" fontId="12" fillId="9" borderId="46" xfId="15" applyNumberFormat="1" applyFont="1" applyFill="1" applyBorder="1"/>
    <xf numFmtId="169" fontId="12" fillId="9" borderId="8" xfId="15" applyNumberFormat="1" applyFont="1" applyFill="1" applyBorder="1"/>
    <xf numFmtId="169" fontId="12" fillId="9" borderId="47" xfId="15" applyNumberFormat="1" applyFont="1" applyFill="1" applyBorder="1"/>
    <xf numFmtId="169" fontId="12" fillId="4" borderId="46" xfId="15" applyNumberFormat="1" applyFill="1" applyBorder="1"/>
    <xf numFmtId="169" fontId="12" fillId="4" borderId="8" xfId="15" applyNumberFormat="1" applyFill="1" applyBorder="1"/>
    <xf numFmtId="169" fontId="0" fillId="4" borderId="47" xfId="0" applyNumberFormat="1" applyFill="1" applyBorder="1"/>
    <xf numFmtId="0" fontId="0" fillId="16" borderId="2" xfId="0" applyFill="1" applyBorder="1"/>
    <xf numFmtId="175" fontId="12" fillId="9" borderId="26" xfId="15" applyNumberFormat="1" applyFill="1" applyBorder="1"/>
    <xf numFmtId="175" fontId="12" fillId="9" borderId="18" xfId="15" applyNumberFormat="1" applyFill="1" applyBorder="1"/>
    <xf numFmtId="175" fontId="12" fillId="9" borderId="48" xfId="15" applyNumberFormat="1" applyFill="1" applyBorder="1"/>
    <xf numFmtId="169" fontId="12" fillId="9" borderId="26" xfId="15" applyNumberFormat="1" applyFont="1" applyFill="1" applyBorder="1"/>
    <xf numFmtId="169" fontId="12" fillId="9" borderId="18" xfId="15" applyNumberFormat="1" applyFont="1" applyFill="1" applyBorder="1"/>
    <xf numFmtId="169" fontId="12" fillId="9" borderId="48" xfId="15" applyNumberFormat="1" applyFont="1" applyFill="1" applyBorder="1"/>
    <xf numFmtId="174" fontId="12" fillId="9" borderId="26" xfId="15" applyNumberFormat="1" applyFill="1" applyBorder="1"/>
    <xf numFmtId="174" fontId="12" fillId="9" borderId="18" xfId="15" applyNumberFormat="1" applyFill="1" applyBorder="1"/>
    <xf numFmtId="174" fontId="12" fillId="9" borderId="48" xfId="15" applyNumberFormat="1" applyFill="1" applyBorder="1"/>
    <xf numFmtId="0" fontId="0" fillId="16" borderId="15" xfId="0" applyFill="1" applyBorder="1"/>
    <xf numFmtId="174" fontId="12" fillId="9" borderId="27" xfId="15" applyNumberFormat="1" applyFill="1" applyBorder="1"/>
    <xf numFmtId="174" fontId="12" fillId="9" borderId="25" xfId="15" applyNumberFormat="1" applyFill="1" applyBorder="1"/>
    <xf numFmtId="174" fontId="12" fillId="9" borderId="50" xfId="15" applyNumberFormat="1" applyFill="1" applyBorder="1"/>
    <xf numFmtId="169" fontId="12" fillId="9" borderId="27" xfId="15" applyNumberFormat="1" applyFont="1" applyFill="1" applyBorder="1"/>
    <xf numFmtId="169" fontId="12" fillId="9" borderId="25" xfId="15" applyNumberFormat="1" applyFont="1" applyFill="1" applyBorder="1"/>
    <xf numFmtId="169" fontId="12" fillId="9" borderId="50" xfId="15" applyNumberFormat="1" applyFont="1" applyFill="1" applyBorder="1"/>
    <xf numFmtId="175" fontId="12" fillId="9" borderId="48" xfId="15" applyNumberFormat="1" applyFont="1" applyFill="1" applyBorder="1"/>
    <xf numFmtId="175" fontId="12" fillId="9" borderId="8" xfId="15" applyNumberFormat="1" applyFont="1" applyFill="1" applyBorder="1"/>
    <xf numFmtId="169" fontId="12" fillId="17" borderId="8" xfId="15" applyNumberFormat="1" applyFont="1" applyFill="1" applyBorder="1"/>
    <xf numFmtId="169" fontId="12" fillId="17" borderId="18" xfId="15" applyNumberFormat="1" applyFont="1" applyFill="1" applyBorder="1"/>
    <xf numFmtId="169" fontId="12" fillId="17" borderId="25" xfId="15" applyNumberFormat="1" applyFont="1" applyFill="1" applyBorder="1"/>
    <xf numFmtId="0" fontId="13" fillId="0" borderId="16" xfId="18" applyFont="1" applyBorder="1" applyAlignment="1"/>
    <xf numFmtId="0" fontId="13" fillId="0" borderId="4" xfId="18" applyFont="1" applyBorder="1" applyAlignment="1"/>
    <xf numFmtId="0" fontId="13" fillId="9" borderId="2" xfId="18" applyFont="1" applyFill="1" applyBorder="1" applyAlignment="1">
      <alignment horizontal="center"/>
    </xf>
    <xf numFmtId="0" fontId="13" fillId="0" borderId="0" xfId="18" applyFont="1" applyBorder="1" applyAlignment="1"/>
    <xf numFmtId="0" fontId="13" fillId="9" borderId="0" xfId="18" applyFont="1" applyFill="1" applyBorder="1" applyAlignment="1"/>
    <xf numFmtId="0" fontId="40" fillId="8" borderId="0" xfId="1" applyFont="1" applyFill="1" applyBorder="1"/>
    <xf numFmtId="0" fontId="27" fillId="0" borderId="0" xfId="1" applyFont="1" applyBorder="1" applyAlignment="1">
      <alignment horizontal="right"/>
    </xf>
    <xf numFmtId="0" fontId="12" fillId="16" borderId="0" xfId="0" applyFont="1" applyFill="1"/>
    <xf numFmtId="169" fontId="0" fillId="16" borderId="0" xfId="0" applyNumberFormat="1" applyFill="1" applyBorder="1"/>
    <xf numFmtId="0" fontId="12" fillId="16" borderId="0" xfId="16" applyFill="1" applyBorder="1"/>
    <xf numFmtId="169" fontId="12" fillId="4" borderId="52" xfId="16" applyNumberFormat="1" applyFill="1" applyBorder="1"/>
    <xf numFmtId="175" fontId="12" fillId="9" borderId="46" xfId="15" applyNumberFormat="1" applyFont="1" applyFill="1" applyBorder="1"/>
    <xf numFmtId="166" fontId="32" fillId="19" borderId="21" xfId="3" applyNumberFormat="1" applyFont="1" applyFill="1" applyBorder="1"/>
    <xf numFmtId="169" fontId="0" fillId="16" borderId="0" xfId="0" applyNumberFormat="1" applyFill="1"/>
    <xf numFmtId="4" fontId="39" fillId="4" borderId="9" xfId="18" applyNumberFormat="1" applyFont="1" applyFill="1" applyBorder="1" applyAlignment="1">
      <alignment horizontal="center"/>
    </xf>
    <xf numFmtId="166" fontId="32" fillId="8" borderId="31" xfId="1" applyNumberFormat="1" applyFont="1" applyFill="1" applyBorder="1"/>
    <xf numFmtId="0" fontId="13" fillId="8" borderId="2" xfId="1" applyFont="1" applyFill="1" applyBorder="1"/>
    <xf numFmtId="10" fontId="13" fillId="8" borderId="0" xfId="6" applyNumberFormat="1" applyFont="1" applyFill="1" applyBorder="1"/>
    <xf numFmtId="10" fontId="32" fillId="10" borderId="21" xfId="6" applyNumberFormat="1" applyFont="1" applyFill="1" applyBorder="1"/>
    <xf numFmtId="10" fontId="32" fillId="10" borderId="9" xfId="6" applyNumberFormat="1" applyFont="1" applyFill="1" applyBorder="1"/>
    <xf numFmtId="10" fontId="13" fillId="0" borderId="0" xfId="6" applyNumberFormat="1" applyFont="1" applyBorder="1"/>
    <xf numFmtId="10" fontId="27" fillId="6" borderId="16" xfId="6" applyNumberFormat="1" applyFont="1" applyFill="1" applyBorder="1"/>
    <xf numFmtId="10" fontId="27" fillId="6" borderId="49" xfId="6" applyNumberFormat="1" applyFont="1" applyFill="1" applyBorder="1"/>
    <xf numFmtId="0" fontId="11" fillId="0" borderId="0" xfId="0" applyFont="1" applyAlignment="1">
      <alignment vertical="center" wrapText="1"/>
    </xf>
    <xf numFmtId="0" fontId="11" fillId="3" borderId="0" xfId="0" applyFont="1" applyFill="1" applyAlignment="1">
      <alignment vertical="center" wrapText="1"/>
    </xf>
    <xf numFmtId="0" fontId="0" fillId="0" borderId="0" xfId="0" applyFont="1"/>
    <xf numFmtId="0" fontId="54" fillId="0" borderId="0" xfId="0" applyFont="1" applyAlignment="1">
      <alignment horizontal="center" vertical="center"/>
    </xf>
    <xf numFmtId="0" fontId="0" fillId="0" borderId="0" xfId="0" applyFont="1" applyAlignment="1">
      <alignment horizontal="left" vertical="center" indent="1"/>
    </xf>
    <xf numFmtId="0" fontId="54" fillId="0" borderId="0" xfId="0" applyFont="1" applyAlignment="1">
      <alignment horizontal="center"/>
    </xf>
    <xf numFmtId="0" fontId="54" fillId="0" borderId="0" xfId="0" applyFont="1" applyAlignment="1">
      <alignment horizontal="left" vertical="center" indent="1"/>
    </xf>
    <xf numFmtId="0" fontId="11" fillId="3" borderId="0" xfId="0" applyFont="1" applyFill="1" applyAlignment="1">
      <alignment horizontal="right" vertical="center" wrapText="1"/>
    </xf>
    <xf numFmtId="0" fontId="11" fillId="0" borderId="0" xfId="0" applyFont="1" applyAlignment="1">
      <alignment horizontal="right" vertical="center" wrapText="1"/>
    </xf>
    <xf numFmtId="0" fontId="54" fillId="0" borderId="0" xfId="0" applyFont="1"/>
    <xf numFmtId="0" fontId="13" fillId="9" borderId="31" xfId="0" applyFont="1" applyFill="1" applyBorder="1"/>
    <xf numFmtId="177" fontId="13" fillId="10" borderId="56" xfId="2" applyNumberFormat="1" applyFont="1" applyFill="1" applyBorder="1"/>
    <xf numFmtId="174" fontId="12" fillId="9" borderId="47" xfId="15" applyNumberFormat="1" applyFont="1" applyFill="1" applyBorder="1"/>
    <xf numFmtId="175" fontId="13" fillId="9" borderId="46" xfId="15" applyNumberFormat="1" applyFont="1" applyFill="1" applyBorder="1"/>
    <xf numFmtId="175" fontId="13" fillId="9" borderId="8" xfId="15" applyNumberFormat="1" applyFont="1" applyFill="1" applyBorder="1"/>
    <xf numFmtId="174" fontId="13" fillId="9" borderId="8" xfId="15" applyNumberFormat="1" applyFont="1" applyFill="1" applyBorder="1"/>
    <xf numFmtId="174" fontId="13" fillId="9" borderId="47" xfId="15" applyNumberFormat="1" applyFont="1" applyFill="1" applyBorder="1"/>
    <xf numFmtId="175" fontId="13" fillId="9" borderId="26" xfId="15" applyNumberFormat="1" applyFont="1" applyFill="1" applyBorder="1"/>
    <xf numFmtId="175" fontId="13" fillId="9" borderId="18" xfId="15" applyNumberFormat="1" applyFont="1" applyFill="1" applyBorder="1"/>
    <xf numFmtId="175" fontId="13" fillId="9" borderId="48" xfId="15" applyNumberFormat="1" applyFont="1" applyFill="1" applyBorder="1"/>
    <xf numFmtId="0" fontId="12" fillId="4" borderId="41" xfId="16" applyFill="1" applyBorder="1" applyAlignment="1">
      <alignment horizontal="center" wrapText="1"/>
    </xf>
    <xf numFmtId="169" fontId="12" fillId="4" borderId="31" xfId="16" applyNumberFormat="1" applyFill="1" applyBorder="1"/>
    <xf numFmtId="169" fontId="12" fillId="4" borderId="32" xfId="16" applyNumberFormat="1" applyFill="1" applyBorder="1"/>
    <xf numFmtId="0" fontId="12" fillId="6" borderId="0" xfId="16" applyFill="1"/>
    <xf numFmtId="0" fontId="27" fillId="7" borderId="0" xfId="16" applyFont="1" applyFill="1"/>
    <xf numFmtId="0" fontId="56" fillId="9" borderId="26" xfId="16" applyFont="1" applyFill="1" applyBorder="1"/>
    <xf numFmtId="169" fontId="39" fillId="15" borderId="31" xfId="15" applyNumberFormat="1" applyFont="1" applyFill="1" applyBorder="1"/>
    <xf numFmtId="3" fontId="19" fillId="0" borderId="11" xfId="6" applyNumberFormat="1" applyFont="1" applyFill="1" applyBorder="1" applyAlignment="1" applyProtection="1">
      <alignment horizontal="right" vertical="center"/>
    </xf>
    <xf numFmtId="10" fontId="3" fillId="0" borderId="0" xfId="6" applyNumberFormat="1" applyFont="1" applyProtection="1">
      <protection locked="0"/>
    </xf>
    <xf numFmtId="10" fontId="3" fillId="0" borderId="18" xfId="6" applyNumberFormat="1" applyFont="1" applyBorder="1" applyProtection="1">
      <protection locked="0"/>
    </xf>
    <xf numFmtId="0" fontId="4" fillId="0" borderId="0" xfId="0" applyFont="1" applyFill="1" applyBorder="1" applyProtection="1"/>
    <xf numFmtId="0" fontId="3" fillId="0" borderId="0" xfId="0" applyFont="1" applyFill="1" applyProtection="1"/>
    <xf numFmtId="170" fontId="3" fillId="0" borderId="0" xfId="0" applyNumberFormat="1" applyFont="1" applyFill="1" applyAlignment="1" applyProtection="1">
      <alignment horizontal="center"/>
    </xf>
    <xf numFmtId="171" fontId="3" fillId="0" borderId="0" xfId="0" applyNumberFormat="1" applyFont="1" applyFill="1" applyProtection="1">
      <protection locked="0"/>
    </xf>
    <xf numFmtId="0" fontId="26" fillId="20" borderId="0" xfId="0" applyFont="1" applyFill="1" applyProtection="1">
      <protection locked="0"/>
    </xf>
    <xf numFmtId="0" fontId="19" fillId="0" borderId="18" xfId="0" applyFont="1" applyFill="1" applyBorder="1" applyAlignment="1" applyProtection="1">
      <alignment wrapText="1"/>
    </xf>
    <xf numFmtId="0" fontId="19" fillId="0" borderId="12" xfId="0" applyFont="1" applyFill="1" applyBorder="1" applyProtection="1"/>
    <xf numFmtId="0" fontId="19" fillId="0" borderId="8" xfId="0" applyFont="1" applyFill="1" applyBorder="1" applyProtection="1"/>
    <xf numFmtId="0" fontId="4" fillId="0" borderId="12" xfId="0" applyFont="1" applyFill="1" applyBorder="1" applyProtection="1"/>
    <xf numFmtId="3" fontId="0" fillId="16" borderId="0" xfId="0" applyNumberFormat="1" applyFill="1"/>
    <xf numFmtId="3" fontId="25" fillId="0" borderId="18" xfId="0" applyNumberFormat="1" applyFont="1" applyFill="1" applyBorder="1" applyProtection="1">
      <protection locked="0"/>
    </xf>
    <xf numFmtId="10" fontId="30" fillId="17" borderId="18" xfId="3" applyNumberFormat="1" applyFont="1" applyFill="1" applyBorder="1"/>
    <xf numFmtId="10" fontId="30" fillId="17" borderId="0" xfId="3" applyNumberFormat="1" applyFont="1" applyFill="1" applyBorder="1"/>
    <xf numFmtId="166" fontId="32" fillId="17" borderId="21" xfId="3" applyNumberFormat="1" applyFont="1" applyFill="1" applyBorder="1"/>
    <xf numFmtId="166" fontId="13" fillId="10" borderId="9" xfId="3" applyNumberFormat="1" applyFont="1" applyFill="1" applyBorder="1"/>
    <xf numFmtId="166" fontId="32" fillId="17" borderId="9" xfId="3" applyNumberFormat="1" applyFont="1" applyFill="1" applyBorder="1"/>
    <xf numFmtId="0" fontId="57" fillId="0" borderId="10" xfId="0" applyFont="1" applyBorder="1"/>
    <xf numFmtId="0" fontId="58" fillId="0" borderId="6" xfId="0" applyFont="1" applyBorder="1"/>
    <xf numFmtId="0" fontId="57" fillId="0" borderId="19" xfId="0" applyFont="1" applyBorder="1" applyAlignment="1">
      <alignment horizontal="right"/>
    </xf>
    <xf numFmtId="0" fontId="57" fillId="0" borderId="19" xfId="0" applyFont="1" applyBorder="1"/>
    <xf numFmtId="0" fontId="0" fillId="0" borderId="7" xfId="0" applyBorder="1"/>
    <xf numFmtId="0" fontId="0" fillId="0" borderId="23" xfId="0" applyBorder="1"/>
    <xf numFmtId="0" fontId="59" fillId="0" borderId="10" xfId="0" applyFont="1" applyBorder="1"/>
    <xf numFmtId="0" fontId="57" fillId="0" borderId="0" xfId="0" applyFont="1" applyBorder="1" applyAlignment="1">
      <alignment horizontal="right"/>
    </xf>
    <xf numFmtId="10" fontId="60" fillId="0" borderId="0" xfId="6" applyNumberFormat="1" applyFont="1" applyBorder="1"/>
    <xf numFmtId="0" fontId="0" fillId="0" borderId="0" xfId="0" applyBorder="1"/>
    <xf numFmtId="0" fontId="0" fillId="0" borderId="21" xfId="0" applyBorder="1"/>
    <xf numFmtId="0" fontId="0" fillId="0" borderId="10" xfId="0" applyBorder="1"/>
    <xf numFmtId="10" fontId="59" fillId="0" borderId="0" xfId="6" applyNumberFormat="1" applyFont="1" applyBorder="1"/>
    <xf numFmtId="0" fontId="57" fillId="0" borderId="39" xfId="0" applyFont="1" applyBorder="1" applyAlignment="1">
      <alignment horizontal="right"/>
    </xf>
    <xf numFmtId="169" fontId="60" fillId="0" borderId="0" xfId="0" applyNumberFormat="1" applyFont="1" applyBorder="1"/>
    <xf numFmtId="169" fontId="0" fillId="0" borderId="21" xfId="0" applyNumberFormat="1" applyBorder="1"/>
    <xf numFmtId="169" fontId="0" fillId="0" borderId="0" xfId="0" applyNumberFormat="1" applyBorder="1"/>
    <xf numFmtId="169" fontId="58" fillId="6" borderId="21" xfId="0" applyNumberFormat="1" applyFont="1" applyFill="1" applyBorder="1"/>
    <xf numFmtId="169" fontId="13" fillId="0" borderId="0" xfId="1" applyNumberFormat="1" applyFont="1" applyBorder="1"/>
    <xf numFmtId="0" fontId="0" fillId="0" borderId="13" xfId="0" applyBorder="1"/>
    <xf numFmtId="169" fontId="0" fillId="0" borderId="14" xfId="0" applyNumberFormat="1" applyBorder="1"/>
    <xf numFmtId="0" fontId="0" fillId="0" borderId="14" xfId="0" applyBorder="1"/>
    <xf numFmtId="169" fontId="58" fillId="0" borderId="14" xfId="0" applyNumberFormat="1" applyFont="1" applyBorder="1"/>
    <xf numFmtId="168" fontId="58" fillId="0" borderId="22" xfId="6" applyNumberFormat="1" applyFont="1" applyBorder="1"/>
    <xf numFmtId="169" fontId="58" fillId="0" borderId="22" xfId="0" applyNumberFormat="1" applyFont="1" applyBorder="1"/>
    <xf numFmtId="177" fontId="32" fillId="9" borderId="56" xfId="2" applyNumberFormat="1" applyFont="1" applyFill="1" applyBorder="1"/>
    <xf numFmtId="43" fontId="32" fillId="15" borderId="31" xfId="15" applyNumberFormat="1" applyFont="1" applyFill="1" applyBorder="1"/>
    <xf numFmtId="169" fontId="32" fillId="15" borderId="31" xfId="15" applyNumberFormat="1" applyFont="1" applyFill="1" applyBorder="1"/>
    <xf numFmtId="175" fontId="32" fillId="9" borderId="46" xfId="15" applyNumberFormat="1" applyFont="1" applyFill="1" applyBorder="1"/>
    <xf numFmtId="175" fontId="32" fillId="9" borderId="8" xfId="15" applyNumberFormat="1" applyFont="1" applyFill="1" applyBorder="1"/>
    <xf numFmtId="174" fontId="32" fillId="9" borderId="8" xfId="15" applyNumberFormat="1" applyFont="1" applyFill="1" applyBorder="1"/>
    <xf numFmtId="175" fontId="32" fillId="9" borderId="26" xfId="15" applyNumberFormat="1" applyFont="1" applyFill="1" applyBorder="1"/>
    <xf numFmtId="175" fontId="32" fillId="9" borderId="18" xfId="15" applyNumberFormat="1" applyFont="1" applyFill="1" applyBorder="1"/>
    <xf numFmtId="175" fontId="32" fillId="9" borderId="48" xfId="15" applyNumberFormat="1" applyFont="1" applyFill="1" applyBorder="1"/>
    <xf numFmtId="169" fontId="56" fillId="9" borderId="26" xfId="15" applyNumberFormat="1" applyFont="1" applyFill="1" applyBorder="1"/>
    <xf numFmtId="169" fontId="56" fillId="9" borderId="18" xfId="15" applyNumberFormat="1" applyFont="1" applyFill="1" applyBorder="1"/>
    <xf numFmtId="169" fontId="56" fillId="9" borderId="48" xfId="15" applyNumberFormat="1" applyFont="1" applyFill="1" applyBorder="1"/>
    <xf numFmtId="169" fontId="32" fillId="9" borderId="18" xfId="15" applyNumberFormat="1" applyFont="1" applyFill="1" applyBorder="1"/>
    <xf numFmtId="169" fontId="32" fillId="9" borderId="48" xfId="15" applyNumberFormat="1" applyFont="1" applyFill="1" applyBorder="1"/>
    <xf numFmtId="175" fontId="56" fillId="9" borderId="46" xfId="15" applyNumberFormat="1" applyFont="1" applyFill="1" applyBorder="1"/>
    <xf numFmtId="175" fontId="56" fillId="9" borderId="8" xfId="15" applyNumberFormat="1" applyFont="1" applyFill="1" applyBorder="1"/>
    <xf numFmtId="174" fontId="56" fillId="9" borderId="47" xfId="15" applyNumberFormat="1" applyFont="1" applyFill="1" applyBorder="1"/>
    <xf numFmtId="175" fontId="56" fillId="9" borderId="26" xfId="15" applyNumberFormat="1" applyFont="1" applyFill="1" applyBorder="1"/>
    <xf numFmtId="175" fontId="56" fillId="9" borderId="18" xfId="15" applyNumberFormat="1" applyFont="1" applyFill="1" applyBorder="1"/>
    <xf numFmtId="175" fontId="56" fillId="9" borderId="48" xfId="15" applyNumberFormat="1" applyFont="1" applyFill="1" applyBorder="1"/>
    <xf numFmtId="3" fontId="47" fillId="10" borderId="18" xfId="6" applyNumberFormat="1" applyFont="1" applyFill="1" applyBorder="1" applyAlignment="1" applyProtection="1">
      <alignment horizontal="right" vertical="center"/>
    </xf>
    <xf numFmtId="3" fontId="47" fillId="10" borderId="12" xfId="6" applyNumberFormat="1" applyFont="1" applyFill="1" applyBorder="1" applyAlignment="1" applyProtection="1">
      <alignment horizontal="right" vertical="center"/>
    </xf>
    <xf numFmtId="3" fontId="47" fillId="10" borderId="11" xfId="6" applyNumberFormat="1" applyFont="1" applyFill="1" applyBorder="1" applyAlignment="1" applyProtection="1">
      <alignment horizontal="right" vertical="center"/>
    </xf>
    <xf numFmtId="0" fontId="61" fillId="0" borderId="0" xfId="0" applyFont="1" applyAlignment="1">
      <alignment vertical="center"/>
    </xf>
    <xf numFmtId="0" fontId="48" fillId="0" borderId="19" xfId="0" applyFont="1" applyBorder="1" applyAlignment="1">
      <alignment horizontal="center"/>
    </xf>
    <xf numFmtId="0" fontId="48" fillId="0" borderId="19" xfId="0" applyFont="1" applyBorder="1"/>
    <xf numFmtId="0" fontId="62" fillId="0" borderId="0" xfId="0" applyFont="1" applyAlignment="1">
      <alignment horizontal="center"/>
    </xf>
    <xf numFmtId="0" fontId="0" fillId="0" borderId="0" xfId="0" quotePrefix="1"/>
    <xf numFmtId="0" fontId="48" fillId="0" borderId="0" xfId="0" applyFont="1"/>
    <xf numFmtId="10" fontId="30" fillId="0" borderId="0" xfId="3" applyNumberFormat="1" applyFont="1" applyFill="1" applyBorder="1"/>
    <xf numFmtId="10" fontId="30" fillId="0" borderId="21" xfId="3" applyNumberFormat="1" applyFont="1" applyFill="1" applyBorder="1"/>
    <xf numFmtId="0" fontId="40" fillId="0" borderId="0" xfId="0" applyFont="1"/>
    <xf numFmtId="0" fontId="63" fillId="6" borderId="3" xfId="19" applyFont="1" applyFill="1" applyBorder="1" applyAlignment="1">
      <alignment horizontal="left"/>
    </xf>
    <xf numFmtId="0" fontId="13" fillId="6" borderId="4" xfId="1" applyFont="1" applyFill="1" applyBorder="1"/>
    <xf numFmtId="0" fontId="27" fillId="0" borderId="19" xfId="20" quotePrefix="1" applyFont="1" applyFill="1" applyBorder="1" applyAlignment="1">
      <alignment horizontal="right"/>
    </xf>
    <xf numFmtId="0" fontId="27" fillId="0" borderId="39" xfId="20" quotePrefix="1" applyFont="1" applyFill="1" applyBorder="1" applyAlignment="1">
      <alignment horizontal="right"/>
    </xf>
    <xf numFmtId="0" fontId="57" fillId="0" borderId="19" xfId="19" applyFont="1" applyBorder="1" applyAlignment="1">
      <alignment horizontal="right"/>
    </xf>
    <xf numFmtId="0" fontId="57" fillId="0" borderId="35" xfId="19" applyFont="1" applyBorder="1" applyAlignment="1">
      <alignment horizontal="right"/>
    </xf>
    <xf numFmtId="0" fontId="57" fillId="0" borderId="2" xfId="19" applyFont="1" applyBorder="1"/>
    <xf numFmtId="10" fontId="13" fillId="15" borderId="0" xfId="6" applyNumberFormat="1" applyFont="1" applyFill="1" applyBorder="1"/>
    <xf numFmtId="10" fontId="13" fillId="0" borderId="21" xfId="1" applyNumberFormat="1" applyFont="1" applyBorder="1"/>
    <xf numFmtId="0" fontId="57" fillId="0" borderId="2" xfId="19" applyFont="1" applyFill="1" applyBorder="1"/>
    <xf numFmtId="10" fontId="13" fillId="0" borderId="0" xfId="6" applyNumberFormat="1" applyFont="1" applyFill="1" applyBorder="1"/>
    <xf numFmtId="10" fontId="13" fillId="0" borderId="21" xfId="1" applyNumberFormat="1" applyFont="1" applyFill="1" applyBorder="1"/>
    <xf numFmtId="10" fontId="13" fillId="0" borderId="0" xfId="1" applyNumberFormat="1" applyFont="1" applyFill="1" applyBorder="1"/>
    <xf numFmtId="10" fontId="13" fillId="0" borderId="9" xfId="1" applyNumberFormat="1" applyFont="1" applyFill="1" applyBorder="1"/>
    <xf numFmtId="10" fontId="0" fillId="0" borderId="0" xfId="21" applyNumberFormat="1" applyFont="1" applyBorder="1"/>
    <xf numFmtId="10" fontId="0" fillId="0" borderId="21" xfId="21" applyNumberFormat="1" applyFont="1" applyBorder="1"/>
    <xf numFmtId="10" fontId="0" fillId="0" borderId="9" xfId="21" applyNumberFormat="1" applyFont="1" applyBorder="1"/>
    <xf numFmtId="171" fontId="14" fillId="0" borderId="0" xfId="19" applyNumberFormat="1" applyFont="1" applyBorder="1" applyAlignment="1">
      <alignment horizontal="right"/>
    </xf>
    <xf numFmtId="171" fontId="14" fillId="0" borderId="0" xfId="19" applyNumberFormat="1" applyBorder="1" applyAlignment="1">
      <alignment horizontal="right"/>
    </xf>
    <xf numFmtId="171" fontId="14" fillId="0" borderId="21" xfId="19" applyNumberFormat="1" applyBorder="1" applyAlignment="1">
      <alignment horizontal="right"/>
    </xf>
    <xf numFmtId="171" fontId="14" fillId="0" borderId="9" xfId="19" applyNumberFormat="1" applyBorder="1" applyAlignment="1">
      <alignment horizontal="right"/>
    </xf>
    <xf numFmtId="0" fontId="14" fillId="0" borderId="2" xfId="19" applyBorder="1"/>
    <xf numFmtId="0" fontId="64" fillId="0" borderId="2" xfId="19" applyFont="1" applyBorder="1"/>
    <xf numFmtId="0" fontId="65" fillId="0" borderId="2" xfId="19" applyFont="1" applyBorder="1" applyAlignment="1">
      <alignment horizontal="left"/>
    </xf>
    <xf numFmtId="0" fontId="57" fillId="0" borderId="2" xfId="19" applyFont="1" applyBorder="1" applyAlignment="1">
      <alignment horizontal="left"/>
    </xf>
    <xf numFmtId="3" fontId="65" fillId="15" borderId="0" xfId="19" applyNumberFormat="1" applyFont="1" applyFill="1" applyBorder="1" applyAlignment="1">
      <alignment horizontal="right"/>
    </xf>
    <xf numFmtId="3" fontId="57" fillId="0" borderId="0" xfId="19" applyNumberFormat="1" applyFont="1" applyBorder="1" applyAlignment="1">
      <alignment horizontal="right"/>
    </xf>
    <xf numFmtId="0" fontId="27" fillId="0" borderId="2" xfId="0" applyFont="1" applyBorder="1"/>
    <xf numFmtId="0" fontId="64" fillId="0" borderId="2" xfId="19" applyFont="1" applyFill="1" applyBorder="1"/>
    <xf numFmtId="0" fontId="66" fillId="0" borderId="2" xfId="19" applyFont="1" applyFill="1" applyBorder="1" applyAlignment="1">
      <alignment horizontal="left"/>
    </xf>
    <xf numFmtId="0" fontId="67" fillId="0" borderId="0" xfId="1" applyFont="1" applyFill="1" applyBorder="1"/>
    <xf numFmtId="3" fontId="66" fillId="6" borderId="11" xfId="19" applyNumberFormat="1" applyFont="1" applyFill="1" applyBorder="1" applyAlignment="1">
      <alignment horizontal="right"/>
    </xf>
    <xf numFmtId="179" fontId="13" fillId="0" borderId="0" xfId="6" applyNumberFormat="1" applyFont="1" applyBorder="1"/>
    <xf numFmtId="3" fontId="4" fillId="10" borderId="8" xfId="0" applyNumberFormat="1" applyFont="1" applyFill="1" applyBorder="1" applyAlignment="1" applyProtection="1">
      <alignment horizontal="right" vertical="center"/>
    </xf>
    <xf numFmtId="3" fontId="4" fillId="10" borderId="18" xfId="0" applyNumberFormat="1" applyFont="1" applyFill="1" applyBorder="1" applyAlignment="1" applyProtection="1">
      <alignment horizontal="right" vertical="center"/>
    </xf>
    <xf numFmtId="0" fontId="13" fillId="17" borderId="0" xfId="18" applyFont="1" applyFill="1"/>
    <xf numFmtId="0" fontId="36" fillId="6" borderId="0" xfId="0" applyFont="1" applyFill="1" applyAlignment="1">
      <alignment vertical="center"/>
    </xf>
    <xf numFmtId="0" fontId="0" fillId="0" borderId="0" xfId="0" applyAlignment="1">
      <alignment horizontal="left"/>
    </xf>
    <xf numFmtId="0" fontId="0" fillId="0" borderId="0" xfId="0" quotePrefix="1" applyFill="1"/>
    <xf numFmtId="0" fontId="0" fillId="0" borderId="0" xfId="0" applyFill="1"/>
    <xf numFmtId="3" fontId="4" fillId="21" borderId="11" xfId="6" applyNumberFormat="1" applyFont="1" applyFill="1" applyBorder="1" applyAlignment="1" applyProtection="1">
      <alignment horizontal="right" vertical="center"/>
    </xf>
    <xf numFmtId="3" fontId="3" fillId="21" borderId="12" xfId="0" applyNumberFormat="1" applyFont="1" applyFill="1" applyBorder="1" applyProtection="1">
      <protection locked="0"/>
    </xf>
    <xf numFmtId="3" fontId="4" fillId="0" borderId="22" xfId="6" applyNumberFormat="1" applyFont="1" applyFill="1" applyBorder="1" applyAlignment="1" applyProtection="1">
      <alignment horizontal="right" vertical="center"/>
    </xf>
    <xf numFmtId="3" fontId="4" fillId="0" borderId="11" xfId="0" applyNumberFormat="1" applyFont="1" applyFill="1" applyBorder="1" applyAlignment="1" applyProtection="1">
      <alignment horizontal="right" vertical="center"/>
    </xf>
    <xf numFmtId="3" fontId="4" fillId="0" borderId="12" xfId="0" applyNumberFormat="1" applyFont="1" applyFill="1" applyBorder="1" applyAlignment="1" applyProtection="1">
      <alignment horizontal="right" vertical="center"/>
    </xf>
    <xf numFmtId="3" fontId="4" fillId="10" borderId="12" xfId="0" applyNumberFormat="1" applyFont="1" applyFill="1" applyBorder="1" applyAlignment="1" applyProtection="1">
      <alignment horizontal="right" vertical="center"/>
    </xf>
    <xf numFmtId="3" fontId="3" fillId="0" borderId="11" xfId="0" applyNumberFormat="1" applyFont="1" applyFill="1" applyBorder="1" applyProtection="1">
      <protection locked="0"/>
    </xf>
    <xf numFmtId="3" fontId="4" fillId="0" borderId="12" xfId="6" applyNumberFormat="1" applyFont="1" applyFill="1" applyBorder="1" applyAlignment="1" applyProtection="1">
      <alignment horizontal="right" vertical="center"/>
    </xf>
    <xf numFmtId="3" fontId="3" fillId="21" borderId="18" xfId="0" applyNumberFormat="1" applyFont="1" applyFill="1" applyBorder="1" applyProtection="1">
      <protection locked="0"/>
    </xf>
    <xf numFmtId="4" fontId="13" fillId="8" borderId="9" xfId="18" applyNumberFormat="1" applyFont="1" applyFill="1" applyBorder="1" applyAlignment="1">
      <alignment horizontal="center"/>
    </xf>
    <xf numFmtId="169" fontId="39" fillId="16" borderId="0" xfId="0" applyNumberFormat="1" applyFont="1" applyFill="1"/>
    <xf numFmtId="10" fontId="61" fillId="0" borderId="18" xfId="6" applyNumberFormat="1" applyFont="1" applyFill="1" applyBorder="1" applyAlignment="1" applyProtection="1">
      <alignment horizontal="center"/>
      <protection locked="0"/>
    </xf>
    <xf numFmtId="0" fontId="19" fillId="12" borderId="0" xfId="5" applyNumberFormat="1" applyFont="1" applyFill="1" applyAlignment="1" applyProtection="1">
      <alignment horizontal="right"/>
      <protection locked="0"/>
    </xf>
    <xf numFmtId="0" fontId="61" fillId="22" borderId="0" xfId="5" applyNumberFormat="1" applyFont="1" applyFill="1" applyAlignment="1" applyProtection="1">
      <alignment horizontal="right"/>
      <protection locked="0"/>
    </xf>
    <xf numFmtId="0" fontId="3" fillId="22" borderId="0" xfId="0" applyFont="1" applyFill="1" applyBorder="1" applyProtection="1">
      <protection locked="0"/>
    </xf>
    <xf numFmtId="0" fontId="3" fillId="22" borderId="0" xfId="0" applyFont="1" applyFill="1" applyProtection="1">
      <protection locked="0"/>
    </xf>
    <xf numFmtId="171" fontId="4" fillId="22" borderId="0" xfId="8" applyNumberFormat="1" applyFont="1" applyFill="1" applyBorder="1" applyProtection="1">
      <alignment horizontal="right"/>
      <protection locked="0"/>
    </xf>
    <xf numFmtId="3" fontId="61" fillId="22" borderId="0" xfId="6" applyNumberFormat="1" applyFont="1" applyFill="1" applyBorder="1" applyAlignment="1" applyProtection="1">
      <alignment horizontal="right" vertical="center"/>
    </xf>
    <xf numFmtId="3" fontId="4" fillId="21" borderId="18" xfId="0" applyNumberFormat="1" applyFont="1" applyFill="1" applyBorder="1" applyAlignment="1" applyProtection="1">
      <alignment horizontal="right" vertical="center"/>
    </xf>
    <xf numFmtId="10" fontId="61" fillId="0" borderId="0" xfId="6" applyNumberFormat="1" applyFont="1" applyAlignment="1" applyProtection="1">
      <alignment horizontal="center"/>
      <protection locked="0"/>
    </xf>
    <xf numFmtId="3" fontId="4" fillId="21" borderId="11" xfId="0" applyNumberFormat="1" applyFont="1" applyFill="1" applyBorder="1" applyAlignment="1" applyProtection="1">
      <alignment horizontal="right" vertical="center"/>
    </xf>
    <xf numFmtId="166" fontId="68" fillId="10" borderId="9" xfId="3" applyNumberFormat="1" applyFont="1" applyFill="1" applyBorder="1"/>
    <xf numFmtId="10" fontId="68" fillId="10" borderId="9" xfId="6" applyNumberFormat="1" applyFont="1" applyFill="1" applyBorder="1"/>
    <xf numFmtId="179" fontId="61" fillId="0" borderId="0" xfId="6" applyNumberFormat="1" applyFont="1" applyAlignment="1" applyProtection="1">
      <alignment horizontal="center"/>
      <protection locked="0"/>
    </xf>
    <xf numFmtId="0" fontId="48" fillId="0" borderId="0" xfId="0" applyFont="1" applyBorder="1" applyAlignment="1">
      <alignment horizontal="center"/>
    </xf>
    <xf numFmtId="0" fontId="48" fillId="0" borderId="0" xfId="0" applyFont="1" applyBorder="1"/>
    <xf numFmtId="0" fontId="13" fillId="8" borderId="30" xfId="1" applyFont="1" applyFill="1" applyBorder="1"/>
    <xf numFmtId="173" fontId="13" fillId="16" borderId="0" xfId="1" applyNumberFormat="1" applyFont="1" applyFill="1"/>
    <xf numFmtId="0" fontId="13" fillId="4" borderId="42" xfId="1" applyFont="1" applyFill="1" applyBorder="1"/>
    <xf numFmtId="0" fontId="32" fillId="4" borderId="43" xfId="0" applyFont="1" applyFill="1" applyBorder="1" applyAlignment="1">
      <alignment horizontal="center" wrapText="1"/>
    </xf>
    <xf numFmtId="0" fontId="32" fillId="4" borderId="28" xfId="0" applyFont="1" applyFill="1" applyBorder="1" applyAlignment="1">
      <alignment horizontal="center" wrapText="1"/>
    </xf>
    <xf numFmtId="0" fontId="32" fillId="4" borderId="45" xfId="0" applyFont="1" applyFill="1" applyBorder="1" applyAlignment="1">
      <alignment horizontal="center" wrapText="1"/>
    </xf>
    <xf numFmtId="0" fontId="32" fillId="16" borderId="0" xfId="1" applyFont="1" applyFill="1"/>
    <xf numFmtId="0" fontId="13" fillId="8" borderId="30" xfId="1" applyFont="1" applyFill="1" applyBorder="1" applyAlignment="1">
      <alignment horizontal="center" wrapText="1"/>
    </xf>
    <xf numFmtId="0" fontId="32" fillId="9" borderId="31" xfId="1" applyFont="1" applyFill="1" applyBorder="1"/>
    <xf numFmtId="0" fontId="13" fillId="9" borderId="31" xfId="1" applyFont="1" applyFill="1" applyBorder="1"/>
    <xf numFmtId="174" fontId="32" fillId="9" borderId="46" xfId="15" applyNumberFormat="1" applyFont="1" applyFill="1" applyBorder="1"/>
    <xf numFmtId="173" fontId="32" fillId="9" borderId="8" xfId="15" applyFont="1" applyFill="1" applyBorder="1"/>
    <xf numFmtId="168" fontId="1" fillId="4" borderId="26" xfId="6" applyNumberFormat="1" applyFont="1" applyFill="1" applyBorder="1"/>
    <xf numFmtId="168" fontId="1" fillId="4" borderId="18" xfId="6" applyNumberFormat="1" applyFont="1" applyFill="1" applyBorder="1"/>
    <xf numFmtId="175" fontId="13" fillId="9" borderId="2" xfId="15" applyNumberFormat="1" applyFont="1" applyFill="1" applyBorder="1"/>
    <xf numFmtId="175" fontId="32" fillId="9" borderId="2" xfId="15" applyNumberFormat="1" applyFont="1" applyFill="1" applyBorder="1"/>
    <xf numFmtId="0" fontId="13" fillId="9" borderId="2" xfId="1" applyFont="1" applyFill="1" applyBorder="1"/>
    <xf numFmtId="174" fontId="13" fillId="9" borderId="26" xfId="15" applyNumberFormat="1" applyFont="1" applyFill="1" applyBorder="1"/>
    <xf numFmtId="174" fontId="13" fillId="9" borderId="18" xfId="15" applyNumberFormat="1" applyFont="1" applyFill="1" applyBorder="1"/>
    <xf numFmtId="173" fontId="32" fillId="9" borderId="26" xfId="15" applyFont="1" applyFill="1" applyBorder="1"/>
    <xf numFmtId="174" fontId="32" fillId="9" borderId="18" xfId="15" applyNumberFormat="1" applyFont="1" applyFill="1" applyBorder="1"/>
    <xf numFmtId="173" fontId="32" fillId="9" borderId="18" xfId="15" applyNumberFormat="1" applyFont="1" applyFill="1" applyBorder="1"/>
    <xf numFmtId="0" fontId="32" fillId="9" borderId="32" xfId="1" applyFont="1" applyFill="1" applyBorder="1"/>
    <xf numFmtId="0" fontId="13" fillId="9" borderId="15" xfId="1" applyFont="1" applyFill="1" applyBorder="1"/>
    <xf numFmtId="174" fontId="13" fillId="9" borderId="27" xfId="15" applyNumberFormat="1" applyFont="1" applyFill="1" applyBorder="1"/>
    <xf numFmtId="174" fontId="13" fillId="9" borderId="25" xfId="15" applyNumberFormat="1" applyFont="1" applyFill="1" applyBorder="1"/>
    <xf numFmtId="173" fontId="32" fillId="9" borderId="27" xfId="15" applyFont="1" applyFill="1" applyBorder="1"/>
    <xf numFmtId="174" fontId="32" fillId="9" borderId="25" xfId="15" applyNumberFormat="1" applyFont="1" applyFill="1" applyBorder="1"/>
    <xf numFmtId="173" fontId="32" fillId="9" borderId="25" xfId="15" applyNumberFormat="1" applyFont="1" applyFill="1" applyBorder="1"/>
    <xf numFmtId="168" fontId="1" fillId="4" borderId="27" xfId="6" applyNumberFormat="1" applyFont="1" applyFill="1" applyBorder="1"/>
    <xf numFmtId="168" fontId="1" fillId="4" borderId="25" xfId="6" applyNumberFormat="1" applyFont="1" applyFill="1" applyBorder="1"/>
    <xf numFmtId="0" fontId="13" fillId="8" borderId="32" xfId="1" applyFont="1" applyFill="1" applyBorder="1"/>
    <xf numFmtId="168" fontId="40" fillId="10" borderId="31" xfId="1" applyNumberFormat="1" applyFont="1" applyFill="1" applyBorder="1" applyAlignment="1">
      <alignment horizontal="center"/>
    </xf>
    <xf numFmtId="0" fontId="12" fillId="17" borderId="0" xfId="0" applyFont="1" applyFill="1"/>
    <xf numFmtId="10" fontId="61" fillId="0" borderId="12" xfId="6" applyNumberFormat="1" applyFont="1" applyFill="1" applyBorder="1" applyAlignment="1" applyProtection="1">
      <alignment horizontal="center"/>
      <protection locked="0"/>
    </xf>
    <xf numFmtId="3" fontId="61" fillId="0" borderId="11" xfId="6" applyNumberFormat="1" applyFont="1" applyFill="1" applyBorder="1" applyAlignment="1" applyProtection="1">
      <alignment horizontal="right" vertical="center"/>
    </xf>
    <xf numFmtId="3" fontId="61" fillId="8" borderId="11" xfId="9" applyNumberFormat="1" applyFont="1" applyFill="1" applyBorder="1" applyAlignment="1" applyProtection="1">
      <alignment horizontal="right"/>
    </xf>
    <xf numFmtId="3" fontId="61" fillId="8" borderId="11" xfId="6" applyNumberFormat="1" applyFont="1" applyFill="1" applyBorder="1" applyAlignment="1" applyProtection="1">
      <alignment horizontal="right" vertical="center"/>
    </xf>
    <xf numFmtId="0" fontId="39" fillId="0" borderId="0" xfId="1" applyFont="1"/>
    <xf numFmtId="10" fontId="30" fillId="0" borderId="18" xfId="3" applyNumberFormat="1" applyFont="1" applyFill="1" applyBorder="1"/>
    <xf numFmtId="43" fontId="13" fillId="0" borderId="0" xfId="1" applyNumberFormat="1" applyFont="1"/>
    <xf numFmtId="175" fontId="13" fillId="0" borderId="0" xfId="5" applyNumberFormat="1" applyFont="1"/>
    <xf numFmtId="166" fontId="13" fillId="0" borderId="0" xfId="1" applyNumberFormat="1" applyFont="1"/>
    <xf numFmtId="180" fontId="13" fillId="0" borderId="0" xfId="6" applyNumberFormat="1" applyFont="1"/>
    <xf numFmtId="181" fontId="13" fillId="0" borderId="0" xfId="1" applyNumberFormat="1" applyFont="1"/>
    <xf numFmtId="182" fontId="13" fillId="0" borderId="0" xfId="1" applyNumberFormat="1" applyFont="1"/>
    <xf numFmtId="183" fontId="13" fillId="0" borderId="0" xfId="1" applyNumberFormat="1" applyFont="1"/>
    <xf numFmtId="10" fontId="30" fillId="15" borderId="8" xfId="3" applyNumberFormat="1" applyFont="1" applyFill="1" applyBorder="1"/>
    <xf numFmtId="10" fontId="30" fillId="8" borderId="0" xfId="3" applyNumberFormat="1" applyFont="1" applyFill="1" applyBorder="1"/>
    <xf numFmtId="175" fontId="32" fillId="9" borderId="47" xfId="15" applyNumberFormat="1" applyFont="1" applyFill="1" applyBorder="1"/>
    <xf numFmtId="44" fontId="4" fillId="0" borderId="0" xfId="22" applyFont="1" applyFill="1" applyBorder="1" applyProtection="1">
      <protection locked="0"/>
    </xf>
    <xf numFmtId="0" fontId="39" fillId="6" borderId="0" xfId="1" applyFont="1" applyFill="1"/>
    <xf numFmtId="174" fontId="32" fillId="9" borderId="2" xfId="15" applyNumberFormat="1" applyFont="1" applyFill="1" applyBorder="1"/>
    <xf numFmtId="3" fontId="25" fillId="0" borderId="11" xfId="0" applyNumberFormat="1" applyFont="1" applyFill="1" applyBorder="1" applyAlignment="1" applyProtection="1">
      <alignment horizontal="right" vertical="center"/>
    </xf>
    <xf numFmtId="171" fontId="61" fillId="0" borderId="0" xfId="8" applyNumberFormat="1" applyFont="1" applyFill="1" applyBorder="1" applyAlignment="1" applyProtection="1">
      <alignment horizontal="left"/>
      <protection locked="0"/>
    </xf>
    <xf numFmtId="3" fontId="4" fillId="10" borderId="18" xfId="6" applyNumberFormat="1" applyFont="1" applyFill="1" applyBorder="1" applyAlignment="1" applyProtection="1">
      <alignment horizontal="right" vertical="center"/>
    </xf>
    <xf numFmtId="4" fontId="13" fillId="10" borderId="9" xfId="18" applyNumberFormat="1" applyFont="1" applyFill="1" applyBorder="1" applyAlignment="1">
      <alignment horizontal="center"/>
    </xf>
    <xf numFmtId="4" fontId="13" fillId="16" borderId="0" xfId="1" applyNumberFormat="1" applyFont="1" applyFill="1"/>
    <xf numFmtId="0" fontId="8" fillId="2" borderId="0" xfId="0" applyFont="1" applyFill="1" applyAlignment="1">
      <alignment vertical="center" wrapText="1"/>
    </xf>
    <xf numFmtId="0" fontId="27" fillId="0" borderId="53" xfId="2" applyFont="1" applyFill="1" applyBorder="1" applyAlignment="1">
      <alignment horizontal="center"/>
    </xf>
    <xf numFmtId="0" fontId="27" fillId="0" borderId="54" xfId="1" applyFont="1" applyFill="1" applyBorder="1" applyAlignment="1">
      <alignment horizontal="center"/>
    </xf>
    <xf numFmtId="0" fontId="27" fillId="4" borderId="38" xfId="16" applyFont="1" applyFill="1" applyBorder="1" applyAlignment="1">
      <alignment horizontal="center"/>
    </xf>
    <xf numFmtId="0" fontId="1" fillId="0" borderId="39" xfId="0" applyFont="1" applyBorder="1" applyAlignment="1">
      <alignment horizontal="center"/>
    </xf>
    <xf numFmtId="0" fontId="13" fillId="0" borderId="15" xfId="18" applyFont="1" applyBorder="1" applyAlignment="1">
      <alignment horizontal="left"/>
    </xf>
    <xf numFmtId="0" fontId="13" fillId="0" borderId="16" xfId="18" applyFont="1" applyBorder="1" applyAlignment="1"/>
    <xf numFmtId="0" fontId="29" fillId="0" borderId="2" xfId="18" applyFont="1" applyBorder="1" applyAlignment="1">
      <alignment horizontal="right"/>
    </xf>
    <xf numFmtId="0" fontId="13" fillId="0" borderId="0" xfId="18" applyFont="1" applyBorder="1" applyAlignment="1">
      <alignment horizontal="right"/>
    </xf>
    <xf numFmtId="0" fontId="13" fillId="0" borderId="2" xfId="18" applyFont="1" applyBorder="1" applyAlignment="1">
      <alignment horizontal="center"/>
    </xf>
    <xf numFmtId="0" fontId="13" fillId="0" borderId="0" xfId="18" applyFont="1" applyBorder="1" applyAlignment="1"/>
    <xf numFmtId="0" fontId="13" fillId="0" borderId="2" xfId="18" applyFont="1" applyBorder="1" applyAlignment="1"/>
    <xf numFmtId="0" fontId="13" fillId="9" borderId="2" xfId="18" applyFont="1" applyFill="1" applyBorder="1" applyAlignment="1">
      <alignment horizontal="center"/>
    </xf>
    <xf numFmtId="0" fontId="13" fillId="9" borderId="0" xfId="18" applyFont="1" applyFill="1" applyBorder="1" applyAlignment="1"/>
    <xf numFmtId="0" fontId="13" fillId="0" borderId="2" xfId="18" applyFont="1" applyBorder="1" applyAlignment="1">
      <alignment horizontal="right"/>
    </xf>
    <xf numFmtId="0" fontId="13" fillId="0" borderId="0" xfId="18" applyFont="1" applyAlignment="1"/>
    <xf numFmtId="0" fontId="13" fillId="9" borderId="0" xfId="18" applyFont="1" applyFill="1" applyBorder="1" applyAlignment="1">
      <alignment horizontal="center"/>
    </xf>
    <xf numFmtId="0" fontId="27" fillId="0" borderId="3" xfId="18" applyFont="1" applyBorder="1" applyAlignment="1"/>
    <xf numFmtId="0" fontId="13" fillId="0" borderId="4" xfId="18" applyFont="1" applyBorder="1" applyAlignment="1"/>
    <xf numFmtId="0" fontId="13" fillId="0" borderId="15" xfId="18" applyFont="1" applyBorder="1" applyAlignment="1">
      <alignment horizontal="right"/>
    </xf>
    <xf numFmtId="0" fontId="27" fillId="0" borderId="33" xfId="18" applyFont="1" applyBorder="1" applyAlignment="1">
      <alignment horizontal="center" vertical="center" wrapText="1"/>
    </xf>
    <xf numFmtId="0" fontId="13" fillId="0" borderId="36" xfId="18" applyFont="1" applyBorder="1" applyAlignment="1">
      <alignment horizontal="center" vertical="center" wrapText="1"/>
    </xf>
    <xf numFmtId="0" fontId="27" fillId="0" borderId="7" xfId="18" applyFont="1" applyBorder="1" applyAlignment="1">
      <alignment horizontal="center"/>
    </xf>
    <xf numFmtId="0" fontId="27" fillId="0" borderId="34" xfId="18" applyFont="1" applyBorder="1" applyAlignment="1">
      <alignment horizontal="center"/>
    </xf>
  </cellXfs>
  <cellStyles count="23">
    <cellStyle name="20% - Accent5 2 2 2" xfId="14"/>
    <cellStyle name="Comma" xfId="5" builtinId="3"/>
    <cellStyle name="Comma 2" xfId="15"/>
    <cellStyle name="Currency" xfId="22" builtinId="4"/>
    <cellStyle name="Input1" xfId="8"/>
    <cellStyle name="Normal" xfId="0" builtinId="0"/>
    <cellStyle name="Normal 2" xfId="1"/>
    <cellStyle name="Normal 3" xfId="4"/>
    <cellStyle name="Normal 4" xfId="19"/>
    <cellStyle name="Normal 70" xfId="7"/>
    <cellStyle name="Normal 71" xfId="12"/>
    <cellStyle name="Normal 72" xfId="9"/>
    <cellStyle name="Normal 73" xfId="11"/>
    <cellStyle name="Normal 74" xfId="13"/>
    <cellStyle name="Normal 75" xfId="17"/>
    <cellStyle name="Normal 80" xfId="10"/>
    <cellStyle name="Normal_051020 Meter tariff approval model" xfId="2"/>
    <cellStyle name="Normal_Audit template" xfId="18"/>
    <cellStyle name="Normal_CP Templates 260209 am" xfId="20"/>
    <cellStyle name="Normal_JEM 2011 Tariff Approval mr check v2.0 test code v1.2" xfId="16"/>
    <cellStyle name="Percent" xfId="6" builtinId="5"/>
    <cellStyle name="Percent 2" xfId="3"/>
    <cellStyle name="Percent 3" xfId="21"/>
  </cellStyles>
  <dxfs count="20">
    <dxf>
      <font>
        <b/>
        <i val="0"/>
        <color rgb="FFFF0000"/>
      </font>
      <fill>
        <patternFill>
          <bgColor rgb="FFFFFF00"/>
        </patternFill>
      </fill>
    </dxf>
    <dxf>
      <font>
        <b/>
        <i val="0"/>
        <color theme="1"/>
      </font>
      <fill>
        <patternFill>
          <bgColor rgb="FFFFFF00"/>
        </patternFill>
      </fill>
    </dxf>
    <dxf>
      <font>
        <b/>
        <i val="0"/>
        <color rgb="FFFF0000"/>
      </font>
      <fill>
        <patternFill>
          <bgColor rgb="FFFFFF00"/>
        </patternFill>
      </fill>
    </dxf>
    <dxf>
      <font>
        <b/>
        <i val="0"/>
        <color theme="1"/>
      </font>
      <fill>
        <patternFill>
          <bgColor rgb="FFFFFF00"/>
        </patternFill>
      </fill>
    </dxf>
    <dxf>
      <font>
        <b/>
        <i val="0"/>
        <color rgb="FFFF0000"/>
      </font>
    </dxf>
    <dxf>
      <font>
        <b/>
        <i val="0"/>
        <color rgb="FFFF0000"/>
      </font>
      <fill>
        <patternFill>
          <bgColor rgb="FFFFFF00"/>
        </patternFill>
      </fill>
    </dxf>
    <dxf>
      <font>
        <b/>
        <i val="0"/>
        <color theme="1"/>
      </font>
      <fill>
        <patternFill>
          <bgColor rgb="FFFFFF00"/>
        </patternFill>
      </fill>
    </dxf>
    <dxf>
      <font>
        <b/>
        <i val="0"/>
        <color rgb="FFFF0000"/>
      </font>
      <fill>
        <patternFill>
          <bgColor rgb="FFFFFF00"/>
        </patternFill>
      </fill>
    </dxf>
    <dxf>
      <font>
        <b/>
        <i val="0"/>
        <color theme="1"/>
      </font>
      <fill>
        <patternFill>
          <bgColor rgb="FFFFFF00"/>
        </patternFill>
      </fill>
    </dxf>
    <dxf>
      <font>
        <b/>
        <i val="0"/>
        <color rgb="FFFF0000"/>
      </font>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s>
  <tableStyles count="0" defaultTableStyle="TableStyleMedium2" defaultPivotStyle="PivotStyleLight16"/>
  <colors>
    <mruColors>
      <color rgb="FFFFFFCC"/>
      <color rgb="FF0000FF"/>
      <color rgb="FFFF00FF"/>
      <color rgb="FFFFFF99"/>
      <color rgb="FFCCFFFF"/>
      <color rgb="FF00FFFF"/>
      <color rgb="FF00FF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 Id="rId8" Type="http://schemas.openxmlformats.org/officeDocument/2006/relationships/image" Target="../media/image8.wmf"/><Relationship Id="rId3" Type="http://schemas.openxmlformats.org/officeDocument/2006/relationships/image" Target="../media/image3.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426656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4264025"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6" Type="http://schemas.openxmlformats.org/officeDocument/2006/relationships/image" Target="../media/image12.wmf"/><Relationship Id="rId21" Type="http://schemas.openxmlformats.org/officeDocument/2006/relationships/oleObject" Target="../embeddings/oleObject10.bin"/><Relationship Id="rId42" Type="http://schemas.openxmlformats.org/officeDocument/2006/relationships/image" Target="../media/image20.wmf"/><Relationship Id="rId47" Type="http://schemas.openxmlformats.org/officeDocument/2006/relationships/oleObject" Target="../embeddings/oleObject23.bin"/><Relationship Id="rId63" Type="http://schemas.openxmlformats.org/officeDocument/2006/relationships/image" Target="../media/image30.wmf"/><Relationship Id="rId68" Type="http://schemas.openxmlformats.org/officeDocument/2006/relationships/oleObject" Target="../embeddings/oleObject35.bin"/><Relationship Id="rId84" Type="http://schemas.openxmlformats.org/officeDocument/2006/relationships/oleObject" Target="../embeddings/oleObject46.bin"/><Relationship Id="rId89" Type="http://schemas.openxmlformats.org/officeDocument/2006/relationships/image" Target="../media/image39.wmf"/><Relationship Id="rId16" Type="http://schemas.openxmlformats.org/officeDocument/2006/relationships/image" Target="../media/image7.wmf"/><Relationship Id="rId11" Type="http://schemas.openxmlformats.org/officeDocument/2006/relationships/oleObject" Target="../embeddings/oleObject5.bin"/><Relationship Id="rId32" Type="http://schemas.openxmlformats.org/officeDocument/2006/relationships/image" Target="../media/image15.wmf"/><Relationship Id="rId37" Type="http://schemas.openxmlformats.org/officeDocument/2006/relationships/oleObject" Target="../embeddings/oleObject18.bin"/><Relationship Id="rId53" Type="http://schemas.openxmlformats.org/officeDocument/2006/relationships/image" Target="../media/image25.wmf"/><Relationship Id="rId58" Type="http://schemas.openxmlformats.org/officeDocument/2006/relationships/oleObject" Target="../embeddings/oleObject29.bin"/><Relationship Id="rId74" Type="http://schemas.openxmlformats.org/officeDocument/2006/relationships/oleObject" Target="../embeddings/oleObject39.bin"/><Relationship Id="rId79" Type="http://schemas.openxmlformats.org/officeDocument/2006/relationships/image" Target="../media/image35.wmf"/><Relationship Id="rId5" Type="http://schemas.openxmlformats.org/officeDocument/2006/relationships/oleObject" Target="../embeddings/oleObject2.bin"/><Relationship Id="rId90" Type="http://schemas.openxmlformats.org/officeDocument/2006/relationships/oleObject" Target="../embeddings/oleObject49.bin"/><Relationship Id="rId95" Type="http://schemas.openxmlformats.org/officeDocument/2006/relationships/image" Target="../media/image42.wmf"/><Relationship Id="rId22" Type="http://schemas.openxmlformats.org/officeDocument/2006/relationships/image" Target="../media/image10.wmf"/><Relationship Id="rId27" Type="http://schemas.openxmlformats.org/officeDocument/2006/relationships/oleObject" Target="../embeddings/oleObject13.bin"/><Relationship Id="rId43" Type="http://schemas.openxmlformats.org/officeDocument/2006/relationships/oleObject" Target="../embeddings/oleObject21.bin"/><Relationship Id="rId48" Type="http://schemas.openxmlformats.org/officeDocument/2006/relationships/image" Target="../media/image23.wmf"/><Relationship Id="rId64" Type="http://schemas.openxmlformats.org/officeDocument/2006/relationships/oleObject" Target="../embeddings/oleObject32.bin"/><Relationship Id="rId69" Type="http://schemas.openxmlformats.org/officeDocument/2006/relationships/image" Target="../media/image32.wmf"/><Relationship Id="rId80" Type="http://schemas.openxmlformats.org/officeDocument/2006/relationships/oleObject" Target="../embeddings/oleObject43.bin"/><Relationship Id="rId85" Type="http://schemas.openxmlformats.org/officeDocument/2006/relationships/image" Target="../media/image37.wmf"/><Relationship Id="rId3" Type="http://schemas.openxmlformats.org/officeDocument/2006/relationships/oleObject" Target="../embeddings/oleObject1.bin"/><Relationship Id="rId12" Type="http://schemas.openxmlformats.org/officeDocument/2006/relationships/image" Target="../media/image5.wmf"/><Relationship Id="rId17" Type="http://schemas.openxmlformats.org/officeDocument/2006/relationships/oleObject" Target="../embeddings/oleObject8.bin"/><Relationship Id="rId25" Type="http://schemas.openxmlformats.org/officeDocument/2006/relationships/oleObject" Target="../embeddings/oleObject12.bin"/><Relationship Id="rId33" Type="http://schemas.openxmlformats.org/officeDocument/2006/relationships/oleObject" Target="../embeddings/oleObject16.bin"/><Relationship Id="rId38" Type="http://schemas.openxmlformats.org/officeDocument/2006/relationships/image" Target="../media/image18.wmf"/><Relationship Id="rId46" Type="http://schemas.openxmlformats.org/officeDocument/2006/relationships/image" Target="../media/image22.wmf"/><Relationship Id="rId59" Type="http://schemas.openxmlformats.org/officeDocument/2006/relationships/image" Target="../media/image28.wmf"/><Relationship Id="rId67" Type="http://schemas.openxmlformats.org/officeDocument/2006/relationships/image" Target="../media/image31.wmf"/><Relationship Id="rId20" Type="http://schemas.openxmlformats.org/officeDocument/2006/relationships/image" Target="../media/image9.wmf"/><Relationship Id="rId41" Type="http://schemas.openxmlformats.org/officeDocument/2006/relationships/oleObject" Target="../embeddings/oleObject20.bin"/><Relationship Id="rId54" Type="http://schemas.openxmlformats.org/officeDocument/2006/relationships/oleObject" Target="../embeddings/oleObject27.bin"/><Relationship Id="rId62" Type="http://schemas.openxmlformats.org/officeDocument/2006/relationships/oleObject" Target="../embeddings/oleObject31.bin"/><Relationship Id="rId70" Type="http://schemas.openxmlformats.org/officeDocument/2006/relationships/oleObject" Target="../embeddings/oleObject36.bin"/><Relationship Id="rId75" Type="http://schemas.openxmlformats.org/officeDocument/2006/relationships/oleObject" Target="../embeddings/oleObject40.bin"/><Relationship Id="rId83" Type="http://schemas.openxmlformats.org/officeDocument/2006/relationships/oleObject" Target="../embeddings/oleObject45.bin"/><Relationship Id="rId88" Type="http://schemas.openxmlformats.org/officeDocument/2006/relationships/oleObject" Target="../embeddings/oleObject48.bin"/><Relationship Id="rId91" Type="http://schemas.openxmlformats.org/officeDocument/2006/relationships/image" Target="../media/image40.wmf"/><Relationship Id="rId96" Type="http://schemas.openxmlformats.org/officeDocument/2006/relationships/oleObject" Target="../embeddings/oleObject52.bin"/><Relationship Id="rId1" Type="http://schemas.openxmlformats.org/officeDocument/2006/relationships/drawing" Target="../drawings/drawing1.xml"/><Relationship Id="rId6" Type="http://schemas.openxmlformats.org/officeDocument/2006/relationships/image" Target="../media/image2.wmf"/><Relationship Id="rId15" Type="http://schemas.openxmlformats.org/officeDocument/2006/relationships/oleObject" Target="../embeddings/oleObject7.bin"/><Relationship Id="rId23" Type="http://schemas.openxmlformats.org/officeDocument/2006/relationships/oleObject" Target="../embeddings/oleObject11.bin"/><Relationship Id="rId28" Type="http://schemas.openxmlformats.org/officeDocument/2006/relationships/image" Target="../media/image13.wmf"/><Relationship Id="rId36" Type="http://schemas.openxmlformats.org/officeDocument/2006/relationships/image" Target="../media/image17.wmf"/><Relationship Id="rId49" Type="http://schemas.openxmlformats.org/officeDocument/2006/relationships/oleObject" Target="../embeddings/oleObject24.bin"/><Relationship Id="rId57" Type="http://schemas.openxmlformats.org/officeDocument/2006/relationships/image" Target="../media/image27.wmf"/><Relationship Id="rId10" Type="http://schemas.openxmlformats.org/officeDocument/2006/relationships/image" Target="../media/image4.wmf"/><Relationship Id="rId31" Type="http://schemas.openxmlformats.org/officeDocument/2006/relationships/oleObject" Target="../embeddings/oleObject15.bin"/><Relationship Id="rId44" Type="http://schemas.openxmlformats.org/officeDocument/2006/relationships/image" Target="../media/image21.wmf"/><Relationship Id="rId52" Type="http://schemas.openxmlformats.org/officeDocument/2006/relationships/oleObject" Target="../embeddings/oleObject26.bin"/><Relationship Id="rId60" Type="http://schemas.openxmlformats.org/officeDocument/2006/relationships/oleObject" Target="../embeddings/oleObject30.bin"/><Relationship Id="rId65" Type="http://schemas.openxmlformats.org/officeDocument/2006/relationships/oleObject" Target="../embeddings/oleObject33.bin"/><Relationship Id="rId73" Type="http://schemas.openxmlformats.org/officeDocument/2006/relationships/image" Target="../media/image33.wmf"/><Relationship Id="rId78" Type="http://schemas.openxmlformats.org/officeDocument/2006/relationships/oleObject" Target="../embeddings/oleObject42.bin"/><Relationship Id="rId81" Type="http://schemas.openxmlformats.org/officeDocument/2006/relationships/image" Target="../media/image36.wmf"/><Relationship Id="rId86" Type="http://schemas.openxmlformats.org/officeDocument/2006/relationships/oleObject" Target="../embeddings/oleObject47.bin"/><Relationship Id="rId94" Type="http://schemas.openxmlformats.org/officeDocument/2006/relationships/oleObject" Target="../embeddings/oleObject51.bin"/><Relationship Id="rId4" Type="http://schemas.openxmlformats.org/officeDocument/2006/relationships/image" Target="../media/image1.wmf"/><Relationship Id="rId9" Type="http://schemas.openxmlformats.org/officeDocument/2006/relationships/oleObject" Target="../embeddings/oleObject4.bin"/><Relationship Id="rId13" Type="http://schemas.openxmlformats.org/officeDocument/2006/relationships/oleObject" Target="../embeddings/oleObject6.bin"/><Relationship Id="rId18" Type="http://schemas.openxmlformats.org/officeDocument/2006/relationships/image" Target="../media/image8.wmf"/><Relationship Id="rId39" Type="http://schemas.openxmlformats.org/officeDocument/2006/relationships/oleObject" Target="../embeddings/oleObject19.bin"/><Relationship Id="rId34" Type="http://schemas.openxmlformats.org/officeDocument/2006/relationships/image" Target="../media/image16.wmf"/><Relationship Id="rId50" Type="http://schemas.openxmlformats.org/officeDocument/2006/relationships/image" Target="../media/image24.wmf"/><Relationship Id="rId55" Type="http://schemas.openxmlformats.org/officeDocument/2006/relationships/image" Target="../media/image26.wmf"/><Relationship Id="rId76" Type="http://schemas.openxmlformats.org/officeDocument/2006/relationships/oleObject" Target="../embeddings/oleObject41.bin"/><Relationship Id="rId97" Type="http://schemas.openxmlformats.org/officeDocument/2006/relationships/image" Target="../media/image43.wmf"/><Relationship Id="rId7" Type="http://schemas.openxmlformats.org/officeDocument/2006/relationships/oleObject" Target="../embeddings/oleObject3.bin"/><Relationship Id="rId71" Type="http://schemas.openxmlformats.org/officeDocument/2006/relationships/oleObject" Target="../embeddings/oleObject37.bin"/><Relationship Id="rId92" Type="http://schemas.openxmlformats.org/officeDocument/2006/relationships/oleObject" Target="../embeddings/oleObject50.bin"/><Relationship Id="rId2" Type="http://schemas.openxmlformats.org/officeDocument/2006/relationships/vmlDrawing" Target="../drawings/vmlDrawing1.vml"/><Relationship Id="rId29" Type="http://schemas.openxmlformats.org/officeDocument/2006/relationships/oleObject" Target="../embeddings/oleObject14.bin"/><Relationship Id="rId24" Type="http://schemas.openxmlformats.org/officeDocument/2006/relationships/image" Target="../media/image11.wmf"/><Relationship Id="rId40" Type="http://schemas.openxmlformats.org/officeDocument/2006/relationships/image" Target="../media/image19.wmf"/><Relationship Id="rId45" Type="http://schemas.openxmlformats.org/officeDocument/2006/relationships/oleObject" Target="../embeddings/oleObject22.bin"/><Relationship Id="rId66" Type="http://schemas.openxmlformats.org/officeDocument/2006/relationships/oleObject" Target="../embeddings/oleObject34.bin"/><Relationship Id="rId87" Type="http://schemas.openxmlformats.org/officeDocument/2006/relationships/image" Target="../media/image38.wmf"/><Relationship Id="rId61" Type="http://schemas.openxmlformats.org/officeDocument/2006/relationships/image" Target="../media/image29.wmf"/><Relationship Id="rId82" Type="http://schemas.openxmlformats.org/officeDocument/2006/relationships/oleObject" Target="../embeddings/oleObject44.bin"/><Relationship Id="rId19" Type="http://schemas.openxmlformats.org/officeDocument/2006/relationships/oleObject" Target="../embeddings/oleObject9.bin"/><Relationship Id="rId14" Type="http://schemas.openxmlformats.org/officeDocument/2006/relationships/image" Target="../media/image6.wmf"/><Relationship Id="rId30" Type="http://schemas.openxmlformats.org/officeDocument/2006/relationships/image" Target="../media/image14.wmf"/><Relationship Id="rId35" Type="http://schemas.openxmlformats.org/officeDocument/2006/relationships/oleObject" Target="../embeddings/oleObject17.bin"/><Relationship Id="rId56" Type="http://schemas.openxmlformats.org/officeDocument/2006/relationships/oleObject" Target="../embeddings/oleObject28.bin"/><Relationship Id="rId77" Type="http://schemas.openxmlformats.org/officeDocument/2006/relationships/image" Target="../media/image34.wmf"/><Relationship Id="rId8" Type="http://schemas.openxmlformats.org/officeDocument/2006/relationships/image" Target="../media/image3.wmf"/><Relationship Id="rId51" Type="http://schemas.openxmlformats.org/officeDocument/2006/relationships/oleObject" Target="../embeddings/oleObject25.bin"/><Relationship Id="rId72" Type="http://schemas.openxmlformats.org/officeDocument/2006/relationships/oleObject" Target="../embeddings/oleObject38.bin"/><Relationship Id="rId93" Type="http://schemas.openxmlformats.org/officeDocument/2006/relationships/image" Target="../media/image41.w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2:D52"/>
  <sheetViews>
    <sheetView tabSelected="1" zoomScale="90" zoomScaleNormal="90" workbookViewId="0">
      <pane ySplit="4" topLeftCell="A5" activePane="bottomLeft" state="frozen"/>
      <selection activeCell="A252" sqref="A252"/>
      <selection pane="bottomLeft"/>
    </sheetView>
  </sheetViews>
  <sheetFormatPr defaultRowHeight="12.75" x14ac:dyDescent="0.2"/>
  <cols>
    <col min="2" max="2" width="33.140625" customWidth="1"/>
    <col min="3" max="3" width="46.140625" customWidth="1"/>
    <col min="4" max="4" width="57.140625" customWidth="1"/>
    <col min="5" max="5" width="25" customWidth="1"/>
    <col min="6" max="6" width="13.140625" customWidth="1"/>
    <col min="11" max="11" width="12.140625" customWidth="1"/>
  </cols>
  <sheetData>
    <row r="2" spans="1:4" ht="15" x14ac:dyDescent="0.2">
      <c r="A2" s="763" t="s">
        <v>602</v>
      </c>
      <c r="B2" s="513"/>
      <c r="C2" s="513"/>
    </row>
    <row r="4" spans="1:4" x14ac:dyDescent="0.2">
      <c r="A4" s="719" t="s">
        <v>584</v>
      </c>
      <c r="B4" s="720" t="s">
        <v>585</v>
      </c>
      <c r="C4" s="720" t="s">
        <v>603</v>
      </c>
      <c r="D4" s="720" t="s">
        <v>586</v>
      </c>
    </row>
    <row r="5" spans="1:4" x14ac:dyDescent="0.2">
      <c r="A5" s="791"/>
      <c r="B5" s="792"/>
      <c r="C5" s="792"/>
      <c r="D5" s="792"/>
    </row>
    <row r="6" spans="1:4" x14ac:dyDescent="0.2">
      <c r="A6" s="721">
        <v>1</v>
      </c>
      <c r="B6" s="722" t="s">
        <v>619</v>
      </c>
      <c r="C6" s="764" t="s">
        <v>406</v>
      </c>
      <c r="D6" t="s">
        <v>746</v>
      </c>
    </row>
    <row r="7" spans="1:4" x14ac:dyDescent="0.2">
      <c r="A7" s="723"/>
      <c r="C7" s="764"/>
    </row>
    <row r="8" spans="1:4" x14ac:dyDescent="0.2">
      <c r="A8" s="721">
        <f>A6+1</f>
        <v>2</v>
      </c>
      <c r="B8" s="722" t="s">
        <v>608</v>
      </c>
      <c r="C8" s="764" t="s">
        <v>609</v>
      </c>
      <c r="D8" t="s">
        <v>746</v>
      </c>
    </row>
    <row r="9" spans="1:4" x14ac:dyDescent="0.2">
      <c r="A9" s="723"/>
      <c r="C9" s="764"/>
    </row>
    <row r="10" spans="1:4" x14ac:dyDescent="0.2">
      <c r="A10" s="721">
        <f>A8+1</f>
        <v>3</v>
      </c>
      <c r="B10" s="722" t="s">
        <v>610</v>
      </c>
      <c r="C10" s="764" t="s">
        <v>611</v>
      </c>
      <c r="D10" t="s">
        <v>747</v>
      </c>
    </row>
    <row r="11" spans="1:4" x14ac:dyDescent="0.2">
      <c r="C11" s="764"/>
    </row>
    <row r="12" spans="1:4" x14ac:dyDescent="0.2">
      <c r="A12" s="721">
        <f>A10+1</f>
        <v>4</v>
      </c>
      <c r="B12" s="722" t="s">
        <v>612</v>
      </c>
      <c r="C12" s="764" t="s">
        <v>725</v>
      </c>
      <c r="D12" t="s">
        <v>620</v>
      </c>
    </row>
    <row r="13" spans="1:4" x14ac:dyDescent="0.2">
      <c r="A13" s="723"/>
      <c r="C13" s="764"/>
    </row>
    <row r="14" spans="1:4" x14ac:dyDescent="0.2">
      <c r="A14" s="721">
        <f>A12+1</f>
        <v>5</v>
      </c>
      <c r="B14" s="722" t="s">
        <v>613</v>
      </c>
      <c r="C14" s="764" t="s">
        <v>726</v>
      </c>
      <c r="D14" t="s">
        <v>620</v>
      </c>
    </row>
    <row r="15" spans="1:4" x14ac:dyDescent="0.2">
      <c r="A15" s="723"/>
      <c r="C15" s="764"/>
    </row>
    <row r="16" spans="1:4" x14ac:dyDescent="0.2">
      <c r="A16" s="721">
        <f>A14+1</f>
        <v>6</v>
      </c>
      <c r="B16" s="722" t="s">
        <v>615</v>
      </c>
      <c r="C16" s="764" t="s">
        <v>727</v>
      </c>
      <c r="D16" s="766" t="s">
        <v>621</v>
      </c>
    </row>
    <row r="17" spans="1:4" x14ac:dyDescent="0.2">
      <c r="A17" s="723"/>
      <c r="C17" s="764"/>
    </row>
    <row r="18" spans="1:4" x14ac:dyDescent="0.2">
      <c r="A18" s="721">
        <f>A16+1</f>
        <v>7</v>
      </c>
      <c r="B18" s="722" t="s">
        <v>614</v>
      </c>
      <c r="C18" s="764" t="s">
        <v>728</v>
      </c>
      <c r="D18" t="s">
        <v>745</v>
      </c>
    </row>
    <row r="19" spans="1:4" x14ac:dyDescent="0.2">
      <c r="A19" s="723"/>
    </row>
    <row r="20" spans="1:4" x14ac:dyDescent="0.2">
      <c r="A20" s="721">
        <f>A18+1</f>
        <v>8</v>
      </c>
      <c r="B20" t="s">
        <v>743</v>
      </c>
      <c r="C20" s="764" t="s">
        <v>109</v>
      </c>
      <c r="D20" t="s">
        <v>738</v>
      </c>
    </row>
    <row r="21" spans="1:4" x14ac:dyDescent="0.2">
      <c r="A21" s="723"/>
    </row>
    <row r="22" spans="1:4" x14ac:dyDescent="0.2">
      <c r="A22" s="721">
        <f>A20+1</f>
        <v>9</v>
      </c>
      <c r="B22" t="s">
        <v>718</v>
      </c>
      <c r="C22" t="s">
        <v>622</v>
      </c>
      <c r="D22" t="s">
        <v>623</v>
      </c>
    </row>
    <row r="23" spans="1:4" x14ac:dyDescent="0.2">
      <c r="A23" s="723"/>
    </row>
    <row r="24" spans="1:4" x14ac:dyDescent="0.2">
      <c r="A24" s="721">
        <f>A22+1</f>
        <v>10</v>
      </c>
      <c r="B24" t="s">
        <v>719</v>
      </c>
      <c r="C24" t="s">
        <v>720</v>
      </c>
      <c r="D24" t="s">
        <v>721</v>
      </c>
    </row>
    <row r="25" spans="1:4" x14ac:dyDescent="0.2">
      <c r="A25" s="723"/>
    </row>
    <row r="26" spans="1:4" x14ac:dyDescent="0.2">
      <c r="A26" s="721">
        <f>A24+1</f>
        <v>11</v>
      </c>
      <c r="B26" s="722" t="s">
        <v>739</v>
      </c>
      <c r="C26" t="s">
        <v>720</v>
      </c>
      <c r="D26" t="s">
        <v>738</v>
      </c>
    </row>
    <row r="27" spans="1:4" x14ac:dyDescent="0.2">
      <c r="A27" s="723"/>
    </row>
    <row r="28" spans="1:4" x14ac:dyDescent="0.2">
      <c r="A28" s="721">
        <f>A26+1</f>
        <v>12</v>
      </c>
      <c r="B28" s="722" t="s">
        <v>740</v>
      </c>
      <c r="C28" t="s">
        <v>300</v>
      </c>
      <c r="D28" t="s">
        <v>738</v>
      </c>
    </row>
    <row r="29" spans="1:4" x14ac:dyDescent="0.2">
      <c r="A29" s="723"/>
    </row>
    <row r="30" spans="1:4" x14ac:dyDescent="0.2">
      <c r="A30" s="721">
        <f>A28+1</f>
        <v>13</v>
      </c>
      <c r="B30" s="722" t="s">
        <v>741</v>
      </c>
      <c r="C30" t="s">
        <v>331</v>
      </c>
      <c r="D30" t="s">
        <v>738</v>
      </c>
    </row>
    <row r="31" spans="1:4" x14ac:dyDescent="0.2">
      <c r="A31" s="723"/>
    </row>
    <row r="32" spans="1:4" x14ac:dyDescent="0.2">
      <c r="A32" s="721">
        <f>A30+1</f>
        <v>14</v>
      </c>
      <c r="B32" s="722" t="s">
        <v>624</v>
      </c>
      <c r="C32" t="s">
        <v>625</v>
      </c>
      <c r="D32" t="s">
        <v>742</v>
      </c>
    </row>
    <row r="33" spans="1:4" x14ac:dyDescent="0.2">
      <c r="A33" s="723"/>
      <c r="D33" s="726"/>
    </row>
    <row r="34" spans="1:4" ht="15" x14ac:dyDescent="0.2">
      <c r="A34" s="721">
        <f>A32+1</f>
        <v>15</v>
      </c>
      <c r="B34" s="718" t="s">
        <v>604</v>
      </c>
      <c r="D34" s="726" t="s">
        <v>605</v>
      </c>
    </row>
    <row r="35" spans="1:4" x14ac:dyDescent="0.2">
      <c r="A35" s="721"/>
      <c r="B35" t="s">
        <v>722</v>
      </c>
      <c r="C35" t="s">
        <v>723</v>
      </c>
      <c r="D35" s="726"/>
    </row>
    <row r="36" spans="1:4" x14ac:dyDescent="0.2">
      <c r="A36" s="721"/>
      <c r="B36" s="722" t="s">
        <v>724</v>
      </c>
      <c r="C36" t="s">
        <v>729</v>
      </c>
      <c r="D36" s="726"/>
    </row>
    <row r="37" spans="1:4" x14ac:dyDescent="0.2">
      <c r="A37" s="721"/>
      <c r="B37" s="722"/>
      <c r="D37" s="726"/>
    </row>
    <row r="38" spans="1:4" x14ac:dyDescent="0.2">
      <c r="A38" s="723"/>
      <c r="B38" t="s">
        <v>616</v>
      </c>
      <c r="C38" t="s">
        <v>730</v>
      </c>
    </row>
    <row r="39" spans="1:4" x14ac:dyDescent="0.2">
      <c r="A39" s="721"/>
      <c r="B39" s="722" t="s">
        <v>617</v>
      </c>
      <c r="C39" t="s">
        <v>731</v>
      </c>
    </row>
    <row r="40" spans="1:4" x14ac:dyDescent="0.2">
      <c r="A40" s="723"/>
      <c r="B40" t="s">
        <v>618</v>
      </c>
      <c r="C40" t="s">
        <v>732</v>
      </c>
    </row>
    <row r="41" spans="1:4" x14ac:dyDescent="0.2">
      <c r="A41" s="721"/>
      <c r="B41" s="722"/>
    </row>
    <row r="42" spans="1:4" x14ac:dyDescent="0.2">
      <c r="A42" s="723"/>
      <c r="B42" s="766" t="s">
        <v>713</v>
      </c>
      <c r="C42" s="766" t="s">
        <v>733</v>
      </c>
    </row>
    <row r="43" spans="1:4" x14ac:dyDescent="0.2">
      <c r="A43" s="721"/>
      <c r="B43" s="765" t="s">
        <v>714</v>
      </c>
      <c r="C43" s="766" t="s">
        <v>734</v>
      </c>
    </row>
    <row r="44" spans="1:4" x14ac:dyDescent="0.2">
      <c r="A44" s="723"/>
      <c r="B44" s="766" t="s">
        <v>715</v>
      </c>
      <c r="C44" s="766" t="s">
        <v>735</v>
      </c>
    </row>
    <row r="45" spans="1:4" x14ac:dyDescent="0.2">
      <c r="A45" s="721"/>
      <c r="B45" s="765"/>
      <c r="C45" s="766"/>
    </row>
    <row r="46" spans="1:4" x14ac:dyDescent="0.2">
      <c r="A46" s="723"/>
      <c r="B46" s="766" t="s">
        <v>716</v>
      </c>
      <c r="C46" s="766" t="s">
        <v>736</v>
      </c>
    </row>
    <row r="47" spans="1:4" x14ac:dyDescent="0.2">
      <c r="A47" s="721"/>
      <c r="B47" s="765" t="s">
        <v>626</v>
      </c>
      <c r="C47" s="766" t="s">
        <v>296</v>
      </c>
    </row>
    <row r="48" spans="1:4" x14ac:dyDescent="0.2">
      <c r="A48" s="723"/>
      <c r="B48" s="765" t="s">
        <v>627</v>
      </c>
      <c r="C48" s="766" t="s">
        <v>606</v>
      </c>
    </row>
    <row r="49" spans="1:3" x14ac:dyDescent="0.2">
      <c r="A49" s="721"/>
      <c r="B49" s="765"/>
      <c r="C49" s="766"/>
    </row>
    <row r="50" spans="1:3" x14ac:dyDescent="0.2">
      <c r="A50" s="721"/>
      <c r="B50" s="766" t="s">
        <v>717</v>
      </c>
      <c r="C50" s="766" t="s">
        <v>737</v>
      </c>
    </row>
    <row r="51" spans="1:3" x14ac:dyDescent="0.2">
      <c r="A51" s="721"/>
      <c r="B51" s="765" t="s">
        <v>628</v>
      </c>
      <c r="C51" s="766" t="s">
        <v>335</v>
      </c>
    </row>
    <row r="52" spans="1:3" x14ac:dyDescent="0.2">
      <c r="B52" s="765" t="s">
        <v>629</v>
      </c>
      <c r="C52" s="766" t="s">
        <v>607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239"/>
  <sheetViews>
    <sheetView zoomScaleNormal="100" workbookViewId="0"/>
  </sheetViews>
  <sheetFormatPr defaultRowHeight="12.75" x14ac:dyDescent="0.2"/>
  <cols>
    <col min="1" max="1" width="5.85546875" style="169" customWidth="1"/>
    <col min="2" max="2" width="9.140625" style="169" customWidth="1"/>
    <col min="3" max="7" width="9.140625" style="169"/>
    <col min="8" max="8" width="44.5703125" style="169" customWidth="1"/>
    <col min="9" max="16384" width="9.140625" style="169"/>
  </cols>
  <sheetData>
    <row r="2" spans="2:8" ht="15.75" x14ac:dyDescent="0.2">
      <c r="B2" s="105" t="s">
        <v>216</v>
      </c>
      <c r="G2" s="516"/>
    </row>
    <row r="3" spans="2:8" ht="15.75" x14ac:dyDescent="0.2">
      <c r="B3" s="1" t="s">
        <v>0</v>
      </c>
    </row>
    <row r="4" spans="2:8" ht="36" customHeight="1" x14ac:dyDescent="0.2">
      <c r="B4" s="2" t="s">
        <v>388</v>
      </c>
      <c r="H4" s="3" t="s">
        <v>1</v>
      </c>
    </row>
    <row r="5" spans="2:8" ht="30" customHeight="1" x14ac:dyDescent="0.2">
      <c r="B5" s="2" t="s">
        <v>389</v>
      </c>
      <c r="H5" s="3" t="s">
        <v>2</v>
      </c>
    </row>
    <row r="6" spans="2:8" ht="24" customHeight="1" x14ac:dyDescent="0.2">
      <c r="B6" s="2" t="s">
        <v>390</v>
      </c>
      <c r="H6" s="3" t="s">
        <v>3</v>
      </c>
    </row>
    <row r="7" spans="2:8" ht="27" customHeight="1" x14ac:dyDescent="0.2">
      <c r="B7" s="2" t="s">
        <v>391</v>
      </c>
      <c r="H7" s="3" t="s">
        <v>4</v>
      </c>
    </row>
    <row r="9" spans="2:8" ht="14.25" x14ac:dyDescent="0.2">
      <c r="B9" s="4" t="s">
        <v>5</v>
      </c>
    </row>
    <row r="10" spans="2:8" ht="14.25" x14ac:dyDescent="0.2">
      <c r="C10" s="4" t="s">
        <v>6</v>
      </c>
    </row>
    <row r="11" spans="2:8" ht="14.25" x14ac:dyDescent="0.2">
      <c r="D11" s="4" t="s">
        <v>7</v>
      </c>
    </row>
    <row r="12" spans="2:8" ht="14.25" x14ac:dyDescent="0.2">
      <c r="D12" s="4" t="s">
        <v>8</v>
      </c>
    </row>
    <row r="13" spans="2:8" ht="14.25" x14ac:dyDescent="0.2">
      <c r="B13" s="4" t="s">
        <v>9</v>
      </c>
      <c r="C13" s="4" t="s">
        <v>10</v>
      </c>
    </row>
    <row r="14" spans="2:8" ht="14.25" x14ac:dyDescent="0.2">
      <c r="B14" s="4" t="s">
        <v>9</v>
      </c>
      <c r="D14" s="4" t="s">
        <v>11</v>
      </c>
    </row>
    <row r="15" spans="2:8" ht="14.25" x14ac:dyDescent="0.2">
      <c r="D15" s="4" t="s">
        <v>12</v>
      </c>
    </row>
    <row r="16" spans="2:8" ht="14.25" x14ac:dyDescent="0.2">
      <c r="B16" s="3" t="s">
        <v>392</v>
      </c>
    </row>
    <row r="17" spans="2:4" ht="14.25" x14ac:dyDescent="0.2">
      <c r="D17" s="4" t="s">
        <v>12</v>
      </c>
    </row>
    <row r="18" spans="2:4" ht="14.25" x14ac:dyDescent="0.2">
      <c r="B18" s="3" t="s">
        <v>393</v>
      </c>
    </row>
    <row r="19" spans="2:4" x14ac:dyDescent="0.2">
      <c r="B19"/>
    </row>
    <row r="20" spans="2:4" ht="14.25" x14ac:dyDescent="0.2">
      <c r="B20" s="5" t="s">
        <v>13</v>
      </c>
    </row>
    <row r="21" spans="2:4" ht="14.25" x14ac:dyDescent="0.2">
      <c r="C21" s="5" t="s">
        <v>365</v>
      </c>
    </row>
    <row r="22" spans="2:4" ht="14.25" x14ac:dyDescent="0.2">
      <c r="C22" s="7" t="s">
        <v>464</v>
      </c>
    </row>
    <row r="23" spans="2:4" x14ac:dyDescent="0.2">
      <c r="C23"/>
    </row>
    <row r="24" spans="2:4" ht="14.25" x14ac:dyDescent="0.2">
      <c r="C24" s="5"/>
    </row>
    <row r="25" spans="2:4" ht="14.25" x14ac:dyDescent="0.2">
      <c r="B25" s="3" t="s">
        <v>394</v>
      </c>
    </row>
    <row r="26" spans="2:4" ht="14.25" x14ac:dyDescent="0.2">
      <c r="B26" s="3" t="s">
        <v>395</v>
      </c>
    </row>
    <row r="27" spans="2:4" x14ac:dyDescent="0.2">
      <c r="C27" s="626" t="s">
        <v>465</v>
      </c>
    </row>
    <row r="28" spans="2:4" ht="14.25" x14ac:dyDescent="0.2">
      <c r="B28" s="4" t="s">
        <v>9</v>
      </c>
      <c r="C28" s="626" t="s">
        <v>466</v>
      </c>
    </row>
    <row r="29" spans="2:4" x14ac:dyDescent="0.2">
      <c r="C29" s="626" t="s">
        <v>467</v>
      </c>
    </row>
    <row r="30" spans="2:4" ht="14.25" x14ac:dyDescent="0.2">
      <c r="B30" s="7" t="s">
        <v>14</v>
      </c>
    </row>
    <row r="31" spans="2:4" ht="14.25" x14ac:dyDescent="0.2">
      <c r="B31" s="7" t="s">
        <v>15</v>
      </c>
    </row>
    <row r="32" spans="2:4" ht="14.25" x14ac:dyDescent="0.2">
      <c r="B32" s="7" t="s">
        <v>16</v>
      </c>
    </row>
    <row r="33" spans="2:3" ht="14.25" x14ac:dyDescent="0.2">
      <c r="B33" s="7" t="s">
        <v>17</v>
      </c>
    </row>
    <row r="34" spans="2:3" ht="14.25" x14ac:dyDescent="0.2">
      <c r="B34" s="4" t="s">
        <v>18</v>
      </c>
    </row>
    <row r="35" spans="2:3" ht="14.25" x14ac:dyDescent="0.2">
      <c r="B35" s="290" t="s">
        <v>9</v>
      </c>
      <c r="C35" s="4" t="s">
        <v>19</v>
      </c>
    </row>
    <row r="36" spans="2:3" ht="14.25" x14ac:dyDescent="0.2">
      <c r="B36" s="4"/>
      <c r="C36" s="4"/>
    </row>
    <row r="37" spans="2:3" ht="14.25" x14ac:dyDescent="0.2">
      <c r="B37" s="4"/>
      <c r="C37" s="4"/>
    </row>
    <row r="38" spans="2:3" ht="14.25" x14ac:dyDescent="0.2">
      <c r="B38" s="627" t="s">
        <v>468</v>
      </c>
      <c r="C38" s="628" t="s">
        <v>31</v>
      </c>
    </row>
    <row r="39" spans="2:3" ht="15.75" x14ac:dyDescent="0.2">
      <c r="B39" s="627" t="s">
        <v>469</v>
      </c>
      <c r="C39" s="628" t="s">
        <v>470</v>
      </c>
    </row>
    <row r="40" spans="2:3" ht="14.25" x14ac:dyDescent="0.2">
      <c r="B40" s="629" t="s">
        <v>471</v>
      </c>
      <c r="C40" s="626" t="s">
        <v>472</v>
      </c>
    </row>
    <row r="41" spans="2:3" ht="14.25" x14ac:dyDescent="0.2">
      <c r="B41" s="4"/>
      <c r="C41" s="4"/>
    </row>
    <row r="42" spans="2:3" ht="14.25" x14ac:dyDescent="0.2">
      <c r="B42" s="4"/>
      <c r="C42" s="4"/>
    </row>
    <row r="43" spans="2:3" ht="14.25" x14ac:dyDescent="0.2">
      <c r="B43" s="4"/>
      <c r="C43" s="4"/>
    </row>
    <row r="44" spans="2:3" ht="15.75" x14ac:dyDescent="0.2">
      <c r="B44" s="1" t="s">
        <v>473</v>
      </c>
    </row>
    <row r="45" spans="2:3" ht="15.75" x14ac:dyDescent="0.2">
      <c r="B45" s="1"/>
    </row>
    <row r="46" spans="2:3" ht="15.75" x14ac:dyDescent="0.2">
      <c r="B46" s="1"/>
    </row>
    <row r="47" spans="2:3" ht="15.75" x14ac:dyDescent="0.2">
      <c r="B47" s="1"/>
    </row>
    <row r="48" spans="2:3" ht="15.75" x14ac:dyDescent="0.2">
      <c r="B48" s="1"/>
    </row>
    <row r="50" spans="2:4" ht="14.25" x14ac:dyDescent="0.2">
      <c r="C50" s="4" t="s">
        <v>20</v>
      </c>
    </row>
    <row r="51" spans="2:4" ht="14.25" x14ac:dyDescent="0.2">
      <c r="D51" s="6" t="s">
        <v>21</v>
      </c>
    </row>
    <row r="52" spans="2:4" ht="14.25" x14ac:dyDescent="0.2">
      <c r="C52" s="6" t="s">
        <v>22</v>
      </c>
    </row>
    <row r="53" spans="2:4" ht="14.25" x14ac:dyDescent="0.2">
      <c r="D53" s="6" t="s">
        <v>23</v>
      </c>
    </row>
    <row r="54" spans="2:4" x14ac:dyDescent="0.2">
      <c r="C54" s="169" t="s">
        <v>24</v>
      </c>
    </row>
    <row r="55" spans="2:4" ht="14.25" x14ac:dyDescent="0.2">
      <c r="C55" s="7" t="s">
        <v>474</v>
      </c>
    </row>
    <row r="56" spans="2:4" ht="14.25" x14ac:dyDescent="0.2">
      <c r="C56" s="7" t="s">
        <v>15</v>
      </c>
    </row>
    <row r="57" spans="2:4" ht="14.25" x14ac:dyDescent="0.2">
      <c r="C57" s="7" t="s">
        <v>16</v>
      </c>
    </row>
    <row r="58" spans="2:4" ht="14.25" x14ac:dyDescent="0.2">
      <c r="C58" s="7" t="s">
        <v>17</v>
      </c>
    </row>
    <row r="59" spans="2:4" ht="14.25" x14ac:dyDescent="0.2">
      <c r="B59" s="4" t="s">
        <v>18</v>
      </c>
    </row>
    <row r="60" spans="2:4" ht="14.25" x14ac:dyDescent="0.2">
      <c r="D60" s="6" t="s">
        <v>25</v>
      </c>
    </row>
    <row r="61" spans="2:4" ht="14.25" x14ac:dyDescent="0.2">
      <c r="B61" s="4" t="s">
        <v>9</v>
      </c>
      <c r="C61" s="169" t="s">
        <v>26</v>
      </c>
    </row>
    <row r="62" spans="2:4" ht="14.25" x14ac:dyDescent="0.2">
      <c r="D62" s="4" t="s">
        <v>27</v>
      </c>
    </row>
    <row r="63" spans="2:4" ht="14.25" x14ac:dyDescent="0.2">
      <c r="D63" s="4" t="s">
        <v>28</v>
      </c>
    </row>
    <row r="64" spans="2:4" ht="14.25" x14ac:dyDescent="0.2">
      <c r="D64" s="4" t="s">
        <v>29</v>
      </c>
    </row>
    <row r="65" spans="2:4" ht="14.25" x14ac:dyDescent="0.2">
      <c r="B65" s="3" t="s">
        <v>393</v>
      </c>
    </row>
    <row r="66" spans="2:4" x14ac:dyDescent="0.2">
      <c r="B66"/>
    </row>
    <row r="67" spans="2:4" ht="14.25" x14ac:dyDescent="0.2">
      <c r="B67" s="5" t="s">
        <v>13</v>
      </c>
    </row>
    <row r="68" spans="2:4" ht="14.25" x14ac:dyDescent="0.2">
      <c r="B68" s="5" t="s">
        <v>366</v>
      </c>
    </row>
    <row r="69" spans="2:4" ht="14.25" x14ac:dyDescent="0.2">
      <c r="B69" s="436" t="s">
        <v>9</v>
      </c>
      <c r="C69" s="7" t="s">
        <v>475</v>
      </c>
    </row>
    <row r="70" spans="2:4" ht="14.25" x14ac:dyDescent="0.2">
      <c r="C70" s="5"/>
    </row>
    <row r="71" spans="2:4" ht="14.25" x14ac:dyDescent="0.2">
      <c r="C71" s="5"/>
    </row>
    <row r="72" spans="2:4" ht="14.25" x14ac:dyDescent="0.2">
      <c r="B72" s="7" t="s">
        <v>476</v>
      </c>
      <c r="C72" s="5"/>
      <c r="D72"/>
    </row>
    <row r="73" spans="2:4" ht="14.25" x14ac:dyDescent="0.2">
      <c r="B73" s="7" t="s">
        <v>477</v>
      </c>
    </row>
    <row r="74" spans="2:4" ht="14.25" x14ac:dyDescent="0.2">
      <c r="B74" s="3" t="s">
        <v>395</v>
      </c>
    </row>
    <row r="75" spans="2:4" ht="14.25" x14ac:dyDescent="0.2">
      <c r="B75" s="4" t="s">
        <v>30</v>
      </c>
    </row>
    <row r="77" spans="2:4" ht="14.25" x14ac:dyDescent="0.2">
      <c r="B77" s="630" t="s">
        <v>478</v>
      </c>
      <c r="C77" s="628" t="s">
        <v>479</v>
      </c>
    </row>
    <row r="78" spans="2:4" ht="14.25" x14ac:dyDescent="0.2">
      <c r="B78" s="630" t="s">
        <v>480</v>
      </c>
      <c r="C78" s="628" t="s">
        <v>32</v>
      </c>
    </row>
    <row r="81" spans="2:11" x14ac:dyDescent="0.2">
      <c r="B81" s="8"/>
    </row>
    <row r="83" spans="2:11" ht="15.75" x14ac:dyDescent="0.2">
      <c r="H83" s="1" t="s">
        <v>481</v>
      </c>
      <c r="I83" s="1" t="s">
        <v>482</v>
      </c>
      <c r="J83"/>
      <c r="K83"/>
    </row>
    <row r="84" spans="2:11" x14ac:dyDescent="0.2">
      <c r="H84" s="851"/>
      <c r="I84" s="10" t="s">
        <v>33</v>
      </c>
      <c r="J84" s="10" t="s">
        <v>483</v>
      </c>
      <c r="K84" s="10" t="s">
        <v>35</v>
      </c>
    </row>
    <row r="85" spans="2:11" x14ac:dyDescent="0.2">
      <c r="H85" s="851"/>
      <c r="I85" s="10" t="s">
        <v>34</v>
      </c>
      <c r="J85" s="10" t="s">
        <v>484</v>
      </c>
      <c r="K85" s="10" t="s">
        <v>36</v>
      </c>
    </row>
    <row r="86" spans="2:11" x14ac:dyDescent="0.2">
      <c r="H86" s="11" t="s">
        <v>37</v>
      </c>
      <c r="I86" s="12" t="s">
        <v>38</v>
      </c>
      <c r="J86" s="12" t="s">
        <v>485</v>
      </c>
      <c r="K86" s="12" t="s">
        <v>486</v>
      </c>
    </row>
    <row r="87" spans="2:11" x14ac:dyDescent="0.2">
      <c r="H87" s="13" t="s">
        <v>39</v>
      </c>
      <c r="I87" s="14" t="s">
        <v>40</v>
      </c>
      <c r="J87" s="14" t="s">
        <v>487</v>
      </c>
      <c r="K87" s="14" t="s">
        <v>488</v>
      </c>
    </row>
    <row r="88" spans="2:11" x14ac:dyDescent="0.2">
      <c r="H88" s="15" t="s">
        <v>489</v>
      </c>
      <c r="I88" s="16" t="s">
        <v>490</v>
      </c>
      <c r="J88" s="16" t="s">
        <v>491</v>
      </c>
      <c r="K88" s="16" t="s">
        <v>41</v>
      </c>
    </row>
    <row r="89" spans="2:11" x14ac:dyDescent="0.2">
      <c r="H89" s="17" t="s">
        <v>492</v>
      </c>
      <c r="I89" s="18" t="s">
        <v>42</v>
      </c>
      <c r="J89" s="18">
        <v>10</v>
      </c>
      <c r="K89" s="18">
        <v>14</v>
      </c>
    </row>
    <row r="90" spans="2:11" x14ac:dyDescent="0.2">
      <c r="H90" s="15" t="s">
        <v>493</v>
      </c>
      <c r="I90" s="16">
        <v>1013</v>
      </c>
      <c r="J90" s="16">
        <v>0</v>
      </c>
      <c r="K90" s="16">
        <v>0</v>
      </c>
    </row>
    <row r="91" spans="2:11" x14ac:dyDescent="0.2">
      <c r="H91" s="17" t="s">
        <v>494</v>
      </c>
      <c r="I91" s="18" t="s">
        <v>495</v>
      </c>
      <c r="J91" s="18">
        <v>24</v>
      </c>
      <c r="K91" s="18">
        <v>22</v>
      </c>
    </row>
    <row r="92" spans="2:11" x14ac:dyDescent="0.2">
      <c r="H92" s="19" t="s">
        <v>43</v>
      </c>
      <c r="I92" s="20">
        <v>25</v>
      </c>
      <c r="J92" s="20">
        <v>24</v>
      </c>
      <c r="K92" s="20">
        <v>22</v>
      </c>
    </row>
    <row r="93" spans="2:11" x14ac:dyDescent="0.2">
      <c r="H93" s="21" t="s">
        <v>44</v>
      </c>
      <c r="I93" s="22">
        <v>1824</v>
      </c>
      <c r="J93" s="22">
        <v>0</v>
      </c>
      <c r="K93" s="22">
        <v>0</v>
      </c>
    </row>
    <row r="94" spans="2:11" x14ac:dyDescent="0.2">
      <c r="H94" s="25"/>
      <c r="I94" s="16"/>
      <c r="J94" s="16"/>
      <c r="K94" s="16"/>
    </row>
    <row r="95" spans="2:11" ht="22.5" x14ac:dyDescent="0.2">
      <c r="H95" s="13" t="s">
        <v>45</v>
      </c>
      <c r="I95" s="14">
        <v>3740</v>
      </c>
      <c r="J95" s="14" t="s">
        <v>496</v>
      </c>
      <c r="K95" s="14" t="s">
        <v>497</v>
      </c>
    </row>
    <row r="96" spans="2:11" x14ac:dyDescent="0.2">
      <c r="H96" s="25"/>
      <c r="I96" s="16"/>
      <c r="J96" s="16"/>
      <c r="K96" s="16"/>
    </row>
    <row r="97" spans="7:11" x14ac:dyDescent="0.2">
      <c r="H97" s="625" t="s">
        <v>46</v>
      </c>
      <c r="I97" s="631"/>
      <c r="J97" s="631"/>
      <c r="K97" s="631"/>
    </row>
    <row r="98" spans="7:11" x14ac:dyDescent="0.2">
      <c r="H98" s="25" t="s">
        <v>498</v>
      </c>
      <c r="I98" s="26">
        <v>0.05</v>
      </c>
      <c r="J98" s="26">
        <v>5.5E-2</v>
      </c>
      <c r="K98" s="26">
        <v>0.06</v>
      </c>
    </row>
    <row r="99" spans="7:11" x14ac:dyDescent="0.2">
      <c r="H99" s="23" t="s">
        <v>47</v>
      </c>
      <c r="I99" s="18">
        <v>1737</v>
      </c>
      <c r="J99" s="18" t="s">
        <v>499</v>
      </c>
      <c r="K99" s="18">
        <v>4778</v>
      </c>
    </row>
    <row r="100" spans="7:11" x14ac:dyDescent="0.2">
      <c r="H100" s="25" t="s">
        <v>500</v>
      </c>
      <c r="I100" s="16">
        <v>87</v>
      </c>
      <c r="J100" s="16">
        <v>311</v>
      </c>
      <c r="K100" s="16">
        <v>287</v>
      </c>
    </row>
    <row r="101" spans="7:11" x14ac:dyDescent="0.2">
      <c r="H101" s="23" t="s">
        <v>48</v>
      </c>
      <c r="I101" s="18">
        <v>3740</v>
      </c>
      <c r="J101" s="18" t="s">
        <v>496</v>
      </c>
      <c r="K101" s="18" t="s">
        <v>497</v>
      </c>
    </row>
    <row r="102" spans="7:11" x14ac:dyDescent="0.2">
      <c r="H102" s="25" t="s">
        <v>501</v>
      </c>
      <c r="I102" s="16">
        <v>92</v>
      </c>
      <c r="J102" s="16" t="s">
        <v>502</v>
      </c>
      <c r="K102" s="16" t="s">
        <v>503</v>
      </c>
    </row>
    <row r="103" spans="7:11" ht="13.5" thickBot="1" x14ac:dyDescent="0.25">
      <c r="H103" s="30" t="s">
        <v>49</v>
      </c>
      <c r="I103" s="31">
        <v>5656</v>
      </c>
      <c r="J103" s="31">
        <v>4778</v>
      </c>
      <c r="K103" s="31" t="s">
        <v>504</v>
      </c>
    </row>
    <row r="104" spans="7:11" x14ac:dyDescent="0.2">
      <c r="G104" s="29" t="s">
        <v>51</v>
      </c>
      <c r="H104" s="169" t="s">
        <v>505</v>
      </c>
      <c r="J104"/>
      <c r="K104"/>
    </row>
    <row r="105" spans="7:11" x14ac:dyDescent="0.2">
      <c r="G105"/>
      <c r="H105" s="169" t="s">
        <v>506</v>
      </c>
      <c r="J105"/>
      <c r="K105"/>
    </row>
    <row r="106" spans="7:11" x14ac:dyDescent="0.2">
      <c r="G106"/>
      <c r="H106" s="169" t="s">
        <v>507</v>
      </c>
      <c r="J106"/>
      <c r="K106"/>
    </row>
    <row r="107" spans="7:11" x14ac:dyDescent="0.2">
      <c r="G107"/>
      <c r="H107" s="626" t="s">
        <v>508</v>
      </c>
      <c r="J107"/>
      <c r="K107"/>
    </row>
    <row r="113" spans="8:11" ht="15.75" x14ac:dyDescent="0.2">
      <c r="H113" s="1" t="s">
        <v>509</v>
      </c>
      <c r="I113" s="1" t="s">
        <v>510</v>
      </c>
      <c r="J113"/>
      <c r="K113"/>
    </row>
    <row r="114" spans="8:11" x14ac:dyDescent="0.2">
      <c r="H114" s="851"/>
      <c r="I114" s="10" t="s">
        <v>33</v>
      </c>
      <c r="J114" s="10" t="s">
        <v>483</v>
      </c>
      <c r="K114" s="10" t="s">
        <v>35</v>
      </c>
    </row>
    <row r="115" spans="8:11" x14ac:dyDescent="0.2">
      <c r="H115" s="851"/>
      <c r="I115" s="10" t="s">
        <v>34</v>
      </c>
      <c r="J115" s="10" t="s">
        <v>484</v>
      </c>
      <c r="K115" s="10" t="s">
        <v>36</v>
      </c>
    </row>
    <row r="116" spans="8:11" ht="22.5" x14ac:dyDescent="0.2">
      <c r="H116" s="11" t="s">
        <v>52</v>
      </c>
      <c r="I116" s="12" t="s">
        <v>53</v>
      </c>
      <c r="J116" s="12" t="s">
        <v>511</v>
      </c>
      <c r="K116" s="12" t="s">
        <v>512</v>
      </c>
    </row>
    <row r="117" spans="8:11" x14ac:dyDescent="0.2">
      <c r="H117" s="13" t="s">
        <v>54</v>
      </c>
      <c r="I117" s="14" t="s">
        <v>513</v>
      </c>
      <c r="J117" s="14" t="s">
        <v>514</v>
      </c>
      <c r="K117" s="14" t="s">
        <v>515</v>
      </c>
    </row>
    <row r="118" spans="8:11" x14ac:dyDescent="0.2">
      <c r="H118" s="15" t="s">
        <v>55</v>
      </c>
      <c r="I118" s="16" t="s">
        <v>516</v>
      </c>
      <c r="J118" s="16" t="s">
        <v>517</v>
      </c>
      <c r="K118" s="16" t="s">
        <v>56</v>
      </c>
    </row>
    <row r="119" spans="8:11" x14ac:dyDescent="0.2">
      <c r="H119" s="17" t="s">
        <v>518</v>
      </c>
      <c r="I119" s="18">
        <v>572</v>
      </c>
      <c r="J119" s="18">
        <v>734</v>
      </c>
      <c r="K119" s="18">
        <v>800</v>
      </c>
    </row>
    <row r="120" spans="8:11" x14ac:dyDescent="0.2">
      <c r="H120" s="15" t="s">
        <v>57</v>
      </c>
      <c r="I120" s="16">
        <v>121</v>
      </c>
      <c r="J120" s="16">
        <v>67</v>
      </c>
      <c r="K120" s="16">
        <v>400</v>
      </c>
    </row>
    <row r="121" spans="8:11" x14ac:dyDescent="0.2">
      <c r="H121" s="23"/>
      <c r="I121" s="18"/>
      <c r="J121" s="18"/>
      <c r="K121" s="18"/>
    </row>
    <row r="122" spans="8:11" ht="22.5" x14ac:dyDescent="0.2">
      <c r="H122" s="11" t="s">
        <v>45</v>
      </c>
      <c r="I122" s="12">
        <v>5712</v>
      </c>
      <c r="J122" s="12" t="s">
        <v>519</v>
      </c>
      <c r="K122" s="12" t="s">
        <v>520</v>
      </c>
    </row>
    <row r="123" spans="8:11" x14ac:dyDescent="0.2">
      <c r="H123" s="23"/>
      <c r="I123" s="18"/>
      <c r="J123" s="18"/>
      <c r="K123" s="18"/>
    </row>
    <row r="124" spans="8:11" x14ac:dyDescent="0.2">
      <c r="H124" s="624" t="s">
        <v>58</v>
      </c>
      <c r="I124" s="632"/>
      <c r="J124" s="632"/>
      <c r="K124" s="632"/>
    </row>
    <row r="125" spans="8:11" x14ac:dyDescent="0.2">
      <c r="H125" s="23" t="s">
        <v>521</v>
      </c>
      <c r="I125" s="24">
        <v>0.05</v>
      </c>
      <c r="J125" s="24">
        <v>5.5E-2</v>
      </c>
      <c r="K125" s="24">
        <v>0.06</v>
      </c>
    </row>
    <row r="126" spans="8:11" x14ac:dyDescent="0.2">
      <c r="H126" s="25" t="s">
        <v>47</v>
      </c>
      <c r="I126" s="16">
        <v>167</v>
      </c>
      <c r="J126" s="16" t="s">
        <v>522</v>
      </c>
      <c r="K126" s="16">
        <v>2467</v>
      </c>
    </row>
    <row r="127" spans="8:11" x14ac:dyDescent="0.2">
      <c r="H127" s="23" t="s">
        <v>500</v>
      </c>
      <c r="I127" s="18">
        <v>8</v>
      </c>
      <c r="J127" s="18">
        <v>332</v>
      </c>
      <c r="K127" s="18">
        <v>148</v>
      </c>
    </row>
    <row r="128" spans="8:11" x14ac:dyDescent="0.2">
      <c r="H128" s="25" t="s">
        <v>48</v>
      </c>
      <c r="I128" s="16">
        <v>5712</v>
      </c>
      <c r="J128" s="16" t="s">
        <v>519</v>
      </c>
      <c r="K128" s="16" t="s">
        <v>520</v>
      </c>
    </row>
    <row r="129" spans="7:11" x14ac:dyDescent="0.2">
      <c r="H129" s="23" t="s">
        <v>501</v>
      </c>
      <c r="I129" s="18">
        <v>141</v>
      </c>
      <c r="J129" s="18" t="s">
        <v>523</v>
      </c>
      <c r="K129" s="18" t="s">
        <v>524</v>
      </c>
    </row>
    <row r="130" spans="7:11" ht="13.5" thickBot="1" x14ac:dyDescent="0.25">
      <c r="H130" s="27" t="s">
        <v>49</v>
      </c>
      <c r="I130" s="28">
        <v>6028</v>
      </c>
      <c r="J130" s="28">
        <v>2467</v>
      </c>
      <c r="K130" s="28" t="s">
        <v>50</v>
      </c>
    </row>
    <row r="131" spans="7:11" x14ac:dyDescent="0.2">
      <c r="G131" s="29" t="s">
        <v>51</v>
      </c>
      <c r="H131" s="169" t="s">
        <v>525</v>
      </c>
      <c r="J131"/>
      <c r="K131"/>
    </row>
    <row r="132" spans="7:11" x14ac:dyDescent="0.2">
      <c r="H132" s="169" t="s">
        <v>526</v>
      </c>
      <c r="J132"/>
      <c r="K132"/>
    </row>
    <row r="133" spans="7:11" x14ac:dyDescent="0.2">
      <c r="H133" s="626" t="s">
        <v>527</v>
      </c>
      <c r="J133"/>
      <c r="K133"/>
    </row>
    <row r="139" spans="7:11" ht="15.75" x14ac:dyDescent="0.2">
      <c r="H139" s="1" t="s">
        <v>528</v>
      </c>
      <c r="I139"/>
      <c r="J139"/>
      <c r="K139"/>
    </row>
    <row r="140" spans="7:11" x14ac:dyDescent="0.2">
      <c r="H140" s="851"/>
      <c r="I140" s="10" t="s">
        <v>33</v>
      </c>
      <c r="J140" s="10" t="s">
        <v>483</v>
      </c>
      <c r="K140" s="10" t="s">
        <v>35</v>
      </c>
    </row>
    <row r="141" spans="7:11" x14ac:dyDescent="0.2">
      <c r="H141" s="851"/>
      <c r="I141" s="10" t="s">
        <v>34</v>
      </c>
      <c r="J141" s="10" t="s">
        <v>484</v>
      </c>
      <c r="K141" s="10" t="s">
        <v>36</v>
      </c>
    </row>
    <row r="142" spans="7:11" x14ac:dyDescent="0.2">
      <c r="H142" s="11" t="s">
        <v>59</v>
      </c>
      <c r="I142" s="12" t="s">
        <v>60</v>
      </c>
      <c r="J142" s="12" t="s">
        <v>529</v>
      </c>
      <c r="K142" s="12" t="s">
        <v>530</v>
      </c>
    </row>
    <row r="143" spans="7:11" ht="22.5" x14ac:dyDescent="0.2">
      <c r="H143" s="13" t="s">
        <v>61</v>
      </c>
      <c r="I143" s="14" t="s">
        <v>531</v>
      </c>
      <c r="J143" s="14" t="s">
        <v>532</v>
      </c>
      <c r="K143" s="14" t="s">
        <v>533</v>
      </c>
    </row>
    <row r="144" spans="7:11" x14ac:dyDescent="0.2">
      <c r="H144" s="15" t="s">
        <v>62</v>
      </c>
      <c r="I144" s="16" t="s">
        <v>63</v>
      </c>
      <c r="J144" s="16" t="s">
        <v>64</v>
      </c>
      <c r="K144" s="16" t="s">
        <v>534</v>
      </c>
    </row>
    <row r="145" spans="7:11" x14ac:dyDescent="0.2">
      <c r="H145" s="17" t="s">
        <v>65</v>
      </c>
      <c r="I145" s="18" t="s">
        <v>66</v>
      </c>
      <c r="J145" s="18">
        <v>7005</v>
      </c>
      <c r="K145" s="18" t="s">
        <v>535</v>
      </c>
    </row>
    <row r="146" spans="7:11" x14ac:dyDescent="0.2">
      <c r="H146" s="25"/>
      <c r="I146" s="16"/>
      <c r="J146" s="16"/>
      <c r="K146" s="16"/>
    </row>
    <row r="147" spans="7:11" ht="22.5" x14ac:dyDescent="0.2">
      <c r="H147" s="13" t="s">
        <v>45</v>
      </c>
      <c r="I147" s="14" t="s">
        <v>536</v>
      </c>
      <c r="J147" s="14">
        <v>2162</v>
      </c>
      <c r="K147" s="14" t="s">
        <v>537</v>
      </c>
    </row>
    <row r="148" spans="7:11" x14ac:dyDescent="0.2">
      <c r="H148" s="25"/>
      <c r="I148" s="16"/>
      <c r="J148" s="16"/>
      <c r="K148" s="16"/>
    </row>
    <row r="149" spans="7:11" ht="21" x14ac:dyDescent="0.2">
      <c r="H149" s="625" t="s">
        <v>67</v>
      </c>
      <c r="I149" s="631"/>
      <c r="J149" s="631"/>
      <c r="K149" s="631"/>
    </row>
    <row r="150" spans="7:11" x14ac:dyDescent="0.2">
      <c r="H150" s="25" t="s">
        <v>521</v>
      </c>
      <c r="I150" s="26">
        <v>0.05</v>
      </c>
      <c r="J150" s="26">
        <v>5.5E-2</v>
      </c>
      <c r="K150" s="26">
        <v>0.06</v>
      </c>
    </row>
    <row r="151" spans="7:11" x14ac:dyDescent="0.2">
      <c r="H151" s="23" t="s">
        <v>47</v>
      </c>
      <c r="I151" s="18" t="s">
        <v>538</v>
      </c>
      <c r="J151" s="18" t="s">
        <v>539</v>
      </c>
      <c r="K151" s="18">
        <v>1628</v>
      </c>
    </row>
    <row r="152" spans="7:11" x14ac:dyDescent="0.2">
      <c r="H152" s="25" t="s">
        <v>500</v>
      </c>
      <c r="I152" s="16" t="s">
        <v>540</v>
      </c>
      <c r="J152" s="16" t="s">
        <v>502</v>
      </c>
      <c r="K152" s="16">
        <v>98</v>
      </c>
    </row>
    <row r="153" spans="7:11" x14ac:dyDescent="0.2">
      <c r="H153" s="23" t="s">
        <v>48</v>
      </c>
      <c r="I153" s="18" t="s">
        <v>536</v>
      </c>
      <c r="J153" s="18">
        <v>2162</v>
      </c>
      <c r="K153" s="18" t="s">
        <v>537</v>
      </c>
    </row>
    <row r="154" spans="7:11" x14ac:dyDescent="0.2">
      <c r="H154" s="25" t="s">
        <v>501</v>
      </c>
      <c r="I154" s="16" t="s">
        <v>42</v>
      </c>
      <c r="J154" s="16">
        <v>59</v>
      </c>
      <c r="K154" s="16" t="s">
        <v>541</v>
      </c>
    </row>
    <row r="155" spans="7:11" ht="13.5" thickBot="1" x14ac:dyDescent="0.25">
      <c r="H155" s="30" t="s">
        <v>49</v>
      </c>
      <c r="I155" s="31" t="s">
        <v>542</v>
      </c>
      <c r="J155" s="31">
        <v>1628</v>
      </c>
      <c r="K155" s="31" t="s">
        <v>50</v>
      </c>
    </row>
    <row r="156" spans="7:11" x14ac:dyDescent="0.2">
      <c r="G156" s="29" t="s">
        <v>51</v>
      </c>
      <c r="H156" s="169" t="s">
        <v>543</v>
      </c>
      <c r="J156"/>
      <c r="K156"/>
    </row>
    <row r="157" spans="7:11" x14ac:dyDescent="0.2">
      <c r="H157" s="169" t="s">
        <v>526</v>
      </c>
      <c r="J157"/>
      <c r="K157"/>
    </row>
    <row r="158" spans="7:11" x14ac:dyDescent="0.2">
      <c r="H158" s="626" t="s">
        <v>544</v>
      </c>
      <c r="J158"/>
      <c r="K158"/>
    </row>
    <row r="166" spans="1:8" ht="15.75" x14ac:dyDescent="0.2">
      <c r="B166" s="105" t="s">
        <v>349</v>
      </c>
    </row>
    <row r="167" spans="1:8" ht="15.75" x14ac:dyDescent="0.2">
      <c r="B167" s="1" t="s">
        <v>350</v>
      </c>
      <c r="C167" s="1" t="s">
        <v>351</v>
      </c>
    </row>
    <row r="168" spans="1:8" ht="41.25" customHeight="1" x14ac:dyDescent="0.2">
      <c r="A168" s="2" t="s">
        <v>388</v>
      </c>
      <c r="B168" s="1"/>
      <c r="C168" s="1"/>
      <c r="H168" s="3" t="s">
        <v>1</v>
      </c>
    </row>
    <row r="170" spans="1:8" ht="27.75" customHeight="1" x14ac:dyDescent="0.2">
      <c r="A170" s="2" t="s">
        <v>389</v>
      </c>
      <c r="H170" s="3" t="s">
        <v>2</v>
      </c>
    </row>
    <row r="172" spans="1:8" ht="27" customHeight="1" x14ac:dyDescent="0.2">
      <c r="A172" s="2" t="s">
        <v>390</v>
      </c>
      <c r="H172" s="3" t="s">
        <v>2</v>
      </c>
    </row>
    <row r="175" spans="1:8" ht="14.25" x14ac:dyDescent="0.2">
      <c r="B175" s="6" t="s">
        <v>5</v>
      </c>
    </row>
    <row r="176" spans="1:8" ht="14.25" x14ac:dyDescent="0.2">
      <c r="B176" s="4" t="s">
        <v>9</v>
      </c>
      <c r="C176" s="4" t="s">
        <v>352</v>
      </c>
    </row>
    <row r="177" spans="2:5" ht="25.5" customHeight="1" x14ac:dyDescent="0.2">
      <c r="E177" s="4" t="s">
        <v>353</v>
      </c>
    </row>
    <row r="178" spans="2:5" ht="24.75" customHeight="1" x14ac:dyDescent="0.2">
      <c r="E178" s="4" t="s">
        <v>354</v>
      </c>
    </row>
    <row r="179" spans="2:5" ht="18" customHeight="1" x14ac:dyDescent="0.2">
      <c r="D179" s="4" t="s">
        <v>355</v>
      </c>
    </row>
    <row r="180" spans="2:5" ht="21.75" customHeight="1" x14ac:dyDescent="0.2">
      <c r="D180" s="4" t="s">
        <v>356</v>
      </c>
    </row>
    <row r="181" spans="2:5" ht="18" customHeight="1" x14ac:dyDescent="0.2">
      <c r="E181" s="4" t="s">
        <v>357</v>
      </c>
    </row>
    <row r="182" spans="2:5" ht="16.5" customHeight="1" x14ac:dyDescent="0.2">
      <c r="E182" s="4" t="s">
        <v>545</v>
      </c>
    </row>
    <row r="184" spans="2:5" ht="22.5" customHeight="1" x14ac:dyDescent="0.2">
      <c r="D184" s="4" t="s">
        <v>358</v>
      </c>
    </row>
    <row r="185" spans="2:5" ht="19.5" customHeight="1" x14ac:dyDescent="0.2">
      <c r="B185" s="4" t="s">
        <v>9</v>
      </c>
      <c r="C185" s="626" t="s">
        <v>546</v>
      </c>
    </row>
    <row r="186" spans="2:5" ht="14.25" x14ac:dyDescent="0.2">
      <c r="B186" s="4" t="s">
        <v>14</v>
      </c>
    </row>
    <row r="187" spans="2:5" ht="14.25" x14ac:dyDescent="0.2">
      <c r="B187" s="4" t="s">
        <v>15</v>
      </c>
    </row>
    <row r="188" spans="2:5" ht="14.25" x14ac:dyDescent="0.2">
      <c r="B188" s="4" t="s">
        <v>16</v>
      </c>
    </row>
    <row r="189" spans="2:5" ht="14.25" x14ac:dyDescent="0.2">
      <c r="B189" s="4" t="s">
        <v>17</v>
      </c>
    </row>
    <row r="190" spans="2:5" ht="14.25" x14ac:dyDescent="0.2">
      <c r="B190" s="4" t="s">
        <v>18</v>
      </c>
    </row>
    <row r="191" spans="2:5" ht="14.25" x14ac:dyDescent="0.2">
      <c r="B191" s="4" t="s">
        <v>9</v>
      </c>
      <c r="D191" s="4" t="s">
        <v>359</v>
      </c>
    </row>
    <row r="193" spans="2:5" x14ac:dyDescent="0.2">
      <c r="B193" s="8"/>
    </row>
    <row r="194" spans="2:5" ht="14.25" x14ac:dyDescent="0.2">
      <c r="B194" s="633" t="s">
        <v>547</v>
      </c>
      <c r="C194" s="626" t="s">
        <v>472</v>
      </c>
    </row>
    <row r="199" spans="2:5" ht="15.75" x14ac:dyDescent="0.2">
      <c r="B199" s="1" t="s">
        <v>360</v>
      </c>
    </row>
    <row r="201" spans="2:5" ht="14.25" x14ac:dyDescent="0.2">
      <c r="B201" s="4" t="s">
        <v>13</v>
      </c>
    </row>
    <row r="202" spans="2:5" ht="14.25" x14ac:dyDescent="0.2">
      <c r="E202" s="4" t="s">
        <v>361</v>
      </c>
    </row>
    <row r="203" spans="2:5" ht="14.25" x14ac:dyDescent="0.2">
      <c r="D203" s="4" t="s">
        <v>362</v>
      </c>
    </row>
    <row r="204" spans="2:5" ht="14.25" x14ac:dyDescent="0.2">
      <c r="B204" s="4" t="s">
        <v>9</v>
      </c>
      <c r="C204" s="626" t="s">
        <v>548</v>
      </c>
    </row>
    <row r="205" spans="2:5" ht="14.25" x14ac:dyDescent="0.2">
      <c r="B205" s="4" t="s">
        <v>549</v>
      </c>
    </row>
    <row r="206" spans="2:5" ht="14.25" x14ac:dyDescent="0.2">
      <c r="B206" s="4" t="s">
        <v>15</v>
      </c>
    </row>
    <row r="207" spans="2:5" ht="14.25" x14ac:dyDescent="0.2">
      <c r="B207" s="4" t="s">
        <v>16</v>
      </c>
    </row>
    <row r="208" spans="2:5" ht="14.25" x14ac:dyDescent="0.2">
      <c r="B208" s="4" t="s">
        <v>17</v>
      </c>
    </row>
    <row r="209" spans="2:11" ht="14.25" x14ac:dyDescent="0.2">
      <c r="B209" s="4" t="s">
        <v>18</v>
      </c>
    </row>
    <row r="210" spans="2:11" ht="14.25" x14ac:dyDescent="0.2">
      <c r="B210" s="4" t="s">
        <v>9</v>
      </c>
      <c r="D210" s="4" t="s">
        <v>359</v>
      </c>
    </row>
    <row r="211" spans="2:11" ht="14.25" x14ac:dyDescent="0.2">
      <c r="E211" s="4" t="s">
        <v>363</v>
      </c>
    </row>
    <row r="212" spans="2:11" ht="14.25" x14ac:dyDescent="0.2">
      <c r="E212" s="4" t="s">
        <v>550</v>
      </c>
    </row>
    <row r="213" spans="2:11" ht="14.25" x14ac:dyDescent="0.2">
      <c r="B213" s="4" t="s">
        <v>364</v>
      </c>
    </row>
    <row r="215" spans="2:11" ht="14.25" x14ac:dyDescent="0.2">
      <c r="B215" s="630" t="s">
        <v>551</v>
      </c>
      <c r="C215" s="628" t="s">
        <v>32</v>
      </c>
    </row>
    <row r="216" spans="2:11" x14ac:dyDescent="0.2">
      <c r="C216" s="9"/>
    </row>
    <row r="220" spans="2:11" ht="15.75" x14ac:dyDescent="0.2">
      <c r="H220" s="1" t="s">
        <v>552</v>
      </c>
      <c r="I220" s="1" t="s">
        <v>553</v>
      </c>
      <c r="J220"/>
      <c r="K220"/>
    </row>
    <row r="221" spans="2:11" x14ac:dyDescent="0.2">
      <c r="H221" s="851"/>
      <c r="I221" s="10" t="s">
        <v>33</v>
      </c>
      <c r="J221" s="10" t="s">
        <v>483</v>
      </c>
      <c r="K221" s="10" t="s">
        <v>35</v>
      </c>
    </row>
    <row r="222" spans="2:11" x14ac:dyDescent="0.2">
      <c r="H222" s="851"/>
      <c r="I222" s="10" t="s">
        <v>34</v>
      </c>
      <c r="J222" s="10" t="s">
        <v>484</v>
      </c>
      <c r="K222" s="10" t="s">
        <v>36</v>
      </c>
    </row>
    <row r="223" spans="2:11" x14ac:dyDescent="0.2">
      <c r="H223" s="11" t="s">
        <v>367</v>
      </c>
      <c r="I223" s="12" t="s">
        <v>554</v>
      </c>
      <c r="J223" s="12" t="s">
        <v>555</v>
      </c>
      <c r="K223" s="12" t="s">
        <v>556</v>
      </c>
    </row>
    <row r="224" spans="2:11" x14ac:dyDescent="0.2">
      <c r="H224" s="13" t="s">
        <v>368</v>
      </c>
      <c r="I224" s="14" t="s">
        <v>557</v>
      </c>
      <c r="J224" s="14" t="s">
        <v>558</v>
      </c>
      <c r="K224" s="14" t="s">
        <v>559</v>
      </c>
    </row>
    <row r="225" spans="7:11" x14ac:dyDescent="0.2">
      <c r="H225" s="15" t="s">
        <v>560</v>
      </c>
      <c r="I225" s="16" t="s">
        <v>561</v>
      </c>
      <c r="J225" s="16" t="s">
        <v>562</v>
      </c>
      <c r="K225" s="16" t="s">
        <v>563</v>
      </c>
    </row>
    <row r="226" spans="7:11" ht="22.5" x14ac:dyDescent="0.2">
      <c r="H226" s="17" t="s">
        <v>564</v>
      </c>
      <c r="I226" s="18" t="s">
        <v>369</v>
      </c>
      <c r="J226" s="18">
        <v>10</v>
      </c>
      <c r="K226" s="18">
        <v>14</v>
      </c>
    </row>
    <row r="227" spans="7:11" x14ac:dyDescent="0.2">
      <c r="H227" s="25"/>
      <c r="I227" s="16"/>
      <c r="J227" s="16"/>
      <c r="K227" s="16"/>
    </row>
    <row r="228" spans="7:11" ht="22.5" x14ac:dyDescent="0.2">
      <c r="H228" s="13" t="s">
        <v>45</v>
      </c>
      <c r="I228" s="14" t="s">
        <v>565</v>
      </c>
      <c r="J228" s="14" t="s">
        <v>566</v>
      </c>
      <c r="K228" s="14" t="s">
        <v>567</v>
      </c>
    </row>
    <row r="229" spans="7:11" x14ac:dyDescent="0.2">
      <c r="H229" s="25"/>
      <c r="I229" s="16"/>
      <c r="J229" s="16"/>
      <c r="K229" s="16"/>
    </row>
    <row r="230" spans="7:11" x14ac:dyDescent="0.2">
      <c r="H230" s="625" t="s">
        <v>370</v>
      </c>
      <c r="I230" s="631"/>
      <c r="J230" s="631"/>
      <c r="K230" s="631"/>
    </row>
    <row r="231" spans="7:11" x14ac:dyDescent="0.2">
      <c r="H231" s="25" t="s">
        <v>498</v>
      </c>
      <c r="I231" s="26">
        <v>0.05</v>
      </c>
      <c r="J231" s="26">
        <v>5.5E-2</v>
      </c>
      <c r="K231" s="26">
        <v>0.06</v>
      </c>
    </row>
    <row r="232" spans="7:11" x14ac:dyDescent="0.2">
      <c r="H232" s="23" t="s">
        <v>47</v>
      </c>
      <c r="I232" s="18" t="s">
        <v>541</v>
      </c>
      <c r="J232" s="18" t="s">
        <v>568</v>
      </c>
      <c r="K232" s="18" t="s">
        <v>569</v>
      </c>
    </row>
    <row r="233" spans="7:11" x14ac:dyDescent="0.2">
      <c r="H233" s="25" t="s">
        <v>500</v>
      </c>
      <c r="I233" s="16" t="s">
        <v>540</v>
      </c>
      <c r="J233" s="16">
        <v>58</v>
      </c>
      <c r="K233" s="16">
        <v>65</v>
      </c>
    </row>
    <row r="234" spans="7:11" x14ac:dyDescent="0.2">
      <c r="H234" s="23" t="s">
        <v>48</v>
      </c>
      <c r="I234" s="18" t="s">
        <v>565</v>
      </c>
      <c r="J234" s="18" t="s">
        <v>566</v>
      </c>
      <c r="K234" s="18" t="s">
        <v>570</v>
      </c>
    </row>
    <row r="235" spans="7:11" x14ac:dyDescent="0.2">
      <c r="H235" s="25" t="s">
        <v>501</v>
      </c>
      <c r="I235" s="16">
        <v>27</v>
      </c>
      <c r="J235" s="16" t="s">
        <v>571</v>
      </c>
      <c r="K235" s="16" t="s">
        <v>566</v>
      </c>
    </row>
    <row r="236" spans="7:11" ht="13.5" thickBot="1" x14ac:dyDescent="0.25">
      <c r="H236" s="30" t="s">
        <v>49</v>
      </c>
      <c r="I236" s="31" t="s">
        <v>572</v>
      </c>
      <c r="J236" s="31" t="s">
        <v>569</v>
      </c>
      <c r="K236" s="31" t="s">
        <v>50</v>
      </c>
    </row>
    <row r="237" spans="7:11" x14ac:dyDescent="0.2">
      <c r="G237" s="29" t="s">
        <v>51</v>
      </c>
      <c r="H237" s="169" t="s">
        <v>573</v>
      </c>
      <c r="J237"/>
      <c r="K237"/>
    </row>
    <row r="238" spans="7:11" x14ac:dyDescent="0.2">
      <c r="H238" s="169" t="s">
        <v>526</v>
      </c>
      <c r="J238"/>
      <c r="K238"/>
    </row>
    <row r="239" spans="7:11" x14ac:dyDescent="0.2">
      <c r="H239" s="626" t="s">
        <v>574</v>
      </c>
      <c r="J239"/>
      <c r="K239"/>
    </row>
  </sheetData>
  <mergeCells count="4">
    <mergeCell ref="H84:H85"/>
    <mergeCell ref="H114:H115"/>
    <mergeCell ref="H140:H141"/>
    <mergeCell ref="H221:H222"/>
  </mergeCells>
  <pageMargins left="0.7" right="0.7" top="0.75" bottom="0.75" header="0.3" footer="0.3"/>
  <drawing r:id="rId1"/>
  <legacyDrawing r:id="rId2"/>
  <oleObjects>
    <mc:AlternateContent xmlns:mc="http://schemas.openxmlformats.org/markup-compatibility/2006">
      <mc:Choice Requires="x14">
        <oleObject progId="Equation.3" shapeId="1078" r:id="rId3">
          <objectPr defaultSize="0" autoPict="0" r:id="rId4">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3"/>
      </mc:Fallback>
    </mc:AlternateContent>
    <mc:AlternateContent xmlns:mc="http://schemas.openxmlformats.org/markup-compatibility/2006">
      <mc:Choice Requires="x14">
        <oleObject progId="Equation.3" shapeId="1079" r:id="rId5">
          <objectPr defaultSize="0" autoPict="0" r:id="rId6">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5"/>
      </mc:Fallback>
    </mc:AlternateContent>
    <mc:AlternateContent xmlns:mc="http://schemas.openxmlformats.org/markup-compatibility/2006">
      <mc:Choice Requires="x14">
        <oleObject progId="Equation.3" shapeId="1080" r:id="rId7">
          <objectPr defaultSize="0" autoPict="0" r:id="rId8">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7"/>
      </mc:Fallback>
    </mc:AlternateContent>
    <mc:AlternateContent xmlns:mc="http://schemas.openxmlformats.org/markup-compatibility/2006">
      <mc:Choice Requires="x14">
        <oleObject progId="Equation.3" shapeId="1081" r:id="rId9">
          <objectPr defaultSize="0" autoPict="0" r:id="rId10">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9"/>
      </mc:Fallback>
    </mc:AlternateContent>
    <mc:AlternateContent xmlns:mc="http://schemas.openxmlformats.org/markup-compatibility/2006">
      <mc:Choice Requires="x14">
        <oleObject progId="Equation.3" shapeId="1082" r:id="rId11">
          <objectPr defaultSize="0" autoPict="0" r:id="rId12">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1"/>
      </mc:Fallback>
    </mc:AlternateContent>
    <mc:AlternateContent xmlns:mc="http://schemas.openxmlformats.org/markup-compatibility/2006">
      <mc:Choice Requires="x14">
        <oleObject progId="Equation.3" shapeId="1083" r:id="rId13">
          <objectPr defaultSize="0" autoPict="0" r:id="rId14">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3"/>
      </mc:Fallback>
    </mc:AlternateContent>
    <mc:AlternateContent xmlns:mc="http://schemas.openxmlformats.org/markup-compatibility/2006">
      <mc:Choice Requires="x14">
        <oleObject progId="Equation.3" shapeId="1084" r:id="rId15">
          <objectPr defaultSize="0" autoPict="0" r:id="rId16">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5"/>
      </mc:Fallback>
    </mc:AlternateContent>
    <mc:AlternateContent xmlns:mc="http://schemas.openxmlformats.org/markup-compatibility/2006">
      <mc:Choice Requires="x14">
        <oleObject progId="Equation.3" shapeId="1085" r:id="rId17">
          <objectPr defaultSize="0" autoPict="0" r:id="rId18">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7"/>
      </mc:Fallback>
    </mc:AlternateContent>
    <mc:AlternateContent xmlns:mc="http://schemas.openxmlformats.org/markup-compatibility/2006">
      <mc:Choice Requires="x14">
        <oleObject progId="Equation.3" shapeId="1086" r:id="rId19">
          <objectPr defaultSize="0" autoPict="0" r:id="rId20">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19"/>
      </mc:Fallback>
    </mc:AlternateContent>
    <mc:AlternateContent xmlns:mc="http://schemas.openxmlformats.org/markup-compatibility/2006">
      <mc:Choice Requires="x14">
        <oleObject progId="Equation.3" shapeId="1087" r:id="rId21">
          <objectPr defaultSize="0" autoPict="0" r:id="rId22">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1"/>
      </mc:Fallback>
    </mc:AlternateContent>
    <mc:AlternateContent xmlns:mc="http://schemas.openxmlformats.org/markup-compatibility/2006">
      <mc:Choice Requires="x14">
        <oleObject progId="Equation.3" shapeId="1088" r:id="rId23">
          <objectPr defaultSize="0" autoPict="0" r:id="rId24">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3"/>
      </mc:Fallback>
    </mc:AlternateContent>
    <mc:AlternateContent xmlns:mc="http://schemas.openxmlformats.org/markup-compatibility/2006">
      <mc:Choice Requires="x14">
        <oleObject progId="Equation.3" shapeId="1089" r:id="rId25">
          <objectPr defaultSize="0" autoPict="0" r:id="rId26">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5"/>
      </mc:Fallback>
    </mc:AlternateContent>
    <mc:AlternateContent xmlns:mc="http://schemas.openxmlformats.org/markup-compatibility/2006">
      <mc:Choice Requires="x14">
        <oleObject progId="Equation.3" shapeId="1090" r:id="rId27">
          <objectPr defaultSize="0" autoPict="0" r:id="rId28">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7"/>
      </mc:Fallback>
    </mc:AlternateContent>
    <mc:AlternateContent xmlns:mc="http://schemas.openxmlformats.org/markup-compatibility/2006">
      <mc:Choice Requires="x14">
        <oleObject progId="Equation.3" shapeId="1091" r:id="rId29">
          <objectPr defaultSize="0" autoPict="0" r:id="rId30">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29"/>
      </mc:Fallback>
    </mc:AlternateContent>
    <mc:AlternateContent xmlns:mc="http://schemas.openxmlformats.org/markup-compatibility/2006">
      <mc:Choice Requires="x14">
        <oleObject progId="Equation.3" shapeId="1092" r:id="rId31">
          <objectPr defaultSize="0" autoPict="0" r:id="rId32">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1"/>
      </mc:Fallback>
    </mc:AlternateContent>
    <mc:AlternateContent xmlns:mc="http://schemas.openxmlformats.org/markup-compatibility/2006">
      <mc:Choice Requires="x14">
        <oleObject progId="Equation.3" shapeId="1093" r:id="rId33">
          <objectPr defaultSize="0" autoPict="0" r:id="rId34">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3"/>
      </mc:Fallback>
    </mc:AlternateContent>
    <mc:AlternateContent xmlns:mc="http://schemas.openxmlformats.org/markup-compatibility/2006">
      <mc:Choice Requires="x14">
        <oleObject progId="Equation.3" shapeId="1094" r:id="rId35">
          <objectPr defaultSize="0" autoPict="0" r:id="rId36">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5"/>
      </mc:Fallback>
    </mc:AlternateContent>
    <mc:AlternateContent xmlns:mc="http://schemas.openxmlformats.org/markup-compatibility/2006">
      <mc:Choice Requires="x14">
        <oleObject progId="Equation.3" shapeId="1095" r:id="rId37">
          <objectPr defaultSize="0" autoPict="0" r:id="rId38">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7"/>
      </mc:Fallback>
    </mc:AlternateContent>
    <mc:AlternateContent xmlns:mc="http://schemas.openxmlformats.org/markup-compatibility/2006">
      <mc:Choice Requires="x14">
        <oleObject progId="Equation.3" shapeId="1096" r:id="rId39">
          <objectPr defaultSize="0" autoPict="0" r:id="rId40">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39"/>
      </mc:Fallback>
    </mc:AlternateContent>
    <mc:AlternateContent xmlns:mc="http://schemas.openxmlformats.org/markup-compatibility/2006">
      <mc:Choice Requires="x14">
        <oleObject progId="Equation.3" shapeId="1097" r:id="rId41">
          <objectPr defaultSize="0" autoPict="0" r:id="rId42">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1"/>
      </mc:Fallback>
    </mc:AlternateContent>
    <mc:AlternateContent xmlns:mc="http://schemas.openxmlformats.org/markup-compatibility/2006">
      <mc:Choice Requires="x14">
        <oleObject progId="Equation.3" shapeId="1098" r:id="rId43">
          <objectPr defaultSize="0" autoPict="0" r:id="rId44">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3"/>
      </mc:Fallback>
    </mc:AlternateContent>
    <mc:AlternateContent xmlns:mc="http://schemas.openxmlformats.org/markup-compatibility/2006">
      <mc:Choice Requires="x14">
        <oleObject progId="Equation.3" shapeId="1099" r:id="rId45">
          <objectPr defaultSize="0" autoPict="0" r:id="rId46">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5"/>
      </mc:Fallback>
    </mc:AlternateContent>
    <mc:AlternateContent xmlns:mc="http://schemas.openxmlformats.org/markup-compatibility/2006">
      <mc:Choice Requires="x14">
        <oleObject progId="Equation.3" shapeId="1100" r:id="rId47">
          <objectPr defaultSize="0" autoPict="0" r:id="rId48">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7"/>
      </mc:Fallback>
    </mc:AlternateContent>
    <mc:AlternateContent xmlns:mc="http://schemas.openxmlformats.org/markup-compatibility/2006">
      <mc:Choice Requires="x14">
        <oleObject progId="Equation.3" shapeId="1101" r:id="rId49">
          <objectPr defaultSize="0" autoPict="0" r:id="rId50">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49"/>
      </mc:Fallback>
    </mc:AlternateContent>
    <mc:AlternateContent xmlns:mc="http://schemas.openxmlformats.org/markup-compatibility/2006">
      <mc:Choice Requires="x14">
        <oleObject progId="Equation.3" shapeId="1102" r:id="rId51">
          <objectPr defaultSize="0" autoPict="0" r:id="rId24">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1"/>
      </mc:Fallback>
    </mc:AlternateContent>
    <mc:AlternateContent xmlns:mc="http://schemas.openxmlformats.org/markup-compatibility/2006">
      <mc:Choice Requires="x14">
        <oleObject progId="Equation.3" shapeId="1103" r:id="rId52">
          <objectPr defaultSize="0" autoPict="0" r:id="rId53">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2"/>
      </mc:Fallback>
    </mc:AlternateContent>
    <mc:AlternateContent xmlns:mc="http://schemas.openxmlformats.org/markup-compatibility/2006">
      <mc:Choice Requires="x14">
        <oleObject progId="Equation.3" shapeId="1104" r:id="rId54">
          <objectPr defaultSize="0" autoPict="0" r:id="rId55">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4"/>
      </mc:Fallback>
    </mc:AlternateContent>
    <mc:AlternateContent xmlns:mc="http://schemas.openxmlformats.org/markup-compatibility/2006">
      <mc:Choice Requires="x14">
        <oleObject progId="Equation.3" shapeId="1105" r:id="rId56">
          <objectPr defaultSize="0" autoPict="0" r:id="rId57">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6"/>
      </mc:Fallback>
    </mc:AlternateContent>
    <mc:AlternateContent xmlns:mc="http://schemas.openxmlformats.org/markup-compatibility/2006">
      <mc:Choice Requires="x14">
        <oleObject progId="Equation.3" shapeId="1106" r:id="rId58">
          <objectPr defaultSize="0" autoPict="0" r:id="rId59">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8"/>
      </mc:Fallback>
    </mc:AlternateContent>
    <mc:AlternateContent xmlns:mc="http://schemas.openxmlformats.org/markup-compatibility/2006">
      <mc:Choice Requires="x14">
        <oleObject progId="Equation.3" shapeId="1107" r:id="rId60">
          <objectPr defaultSize="0" autoPict="0" r:id="rId61">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0"/>
      </mc:Fallback>
    </mc:AlternateContent>
    <mc:AlternateContent xmlns:mc="http://schemas.openxmlformats.org/markup-compatibility/2006">
      <mc:Choice Requires="x14">
        <oleObject progId="Equation.3" shapeId="1108" r:id="rId62">
          <objectPr defaultSize="0" autoPict="0" r:id="rId63">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2"/>
      </mc:Fallback>
    </mc:AlternateContent>
    <mc:AlternateContent xmlns:mc="http://schemas.openxmlformats.org/markup-compatibility/2006">
      <mc:Choice Requires="x14">
        <oleObject progId="Equation.3" shapeId="1109" r:id="rId64">
          <objectPr defaultSize="0" autoPict="0" r:id="rId12">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4"/>
      </mc:Fallback>
    </mc:AlternateContent>
    <mc:AlternateContent xmlns:mc="http://schemas.openxmlformats.org/markup-compatibility/2006">
      <mc:Choice Requires="x14">
        <oleObject progId="Equation.3" shapeId="1110" r:id="rId65">
          <objectPr defaultSize="0" autoPict="0" r:id="rId14">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5"/>
      </mc:Fallback>
    </mc:AlternateContent>
    <mc:AlternateContent xmlns:mc="http://schemas.openxmlformats.org/markup-compatibility/2006">
      <mc:Choice Requires="x14">
        <oleObject progId="Equation.3" shapeId="1111" r:id="rId66">
          <objectPr defaultSize="0" autoPict="0" r:id="rId67">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6"/>
      </mc:Fallback>
    </mc:AlternateContent>
    <mc:AlternateContent xmlns:mc="http://schemas.openxmlformats.org/markup-compatibility/2006">
      <mc:Choice Requires="x14">
        <oleObject progId="Equation.3" shapeId="1112" r:id="rId68">
          <objectPr defaultSize="0" autoPict="0" r:id="rId69">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8"/>
      </mc:Fallback>
    </mc:AlternateContent>
    <mc:AlternateContent xmlns:mc="http://schemas.openxmlformats.org/markup-compatibility/2006">
      <mc:Choice Requires="x14">
        <oleObject progId="Equation.3" shapeId="1113" r:id="rId70">
          <objectPr defaultSize="0" autoPict="0" r:id="rId20">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0"/>
      </mc:Fallback>
    </mc:AlternateContent>
    <mc:AlternateContent xmlns:mc="http://schemas.openxmlformats.org/markup-compatibility/2006">
      <mc:Choice Requires="x14">
        <oleObject progId="Equation.3" shapeId="1114" r:id="rId71">
          <objectPr defaultSize="0" autoPict="0" r:id="rId22">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1"/>
      </mc:Fallback>
    </mc:AlternateContent>
    <mc:AlternateContent xmlns:mc="http://schemas.openxmlformats.org/markup-compatibility/2006">
      <mc:Choice Requires="x14">
        <oleObject progId="Equation.3" shapeId="1115" r:id="rId72">
          <objectPr defaultSize="0" autoPict="0" r:id="rId73">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2"/>
      </mc:Fallback>
    </mc:AlternateContent>
    <mc:AlternateContent xmlns:mc="http://schemas.openxmlformats.org/markup-compatibility/2006">
      <mc:Choice Requires="x14">
        <oleObject progId="Equation.3" shapeId="1116" r:id="rId74">
          <objectPr defaultSize="0" autoPict="0" r:id="rId30">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4"/>
      </mc:Fallback>
    </mc:AlternateContent>
    <mc:AlternateContent xmlns:mc="http://schemas.openxmlformats.org/markup-compatibility/2006">
      <mc:Choice Requires="x14">
        <oleObject progId="Equation.3" shapeId="1117" r:id="rId75">
          <objectPr defaultSize="0" autoPict="0" r:id="rId55">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5"/>
      </mc:Fallback>
    </mc:AlternateContent>
    <mc:AlternateContent xmlns:mc="http://schemas.openxmlformats.org/markup-compatibility/2006">
      <mc:Choice Requires="x14">
        <oleObject progId="Equation.3" shapeId="1118" r:id="rId76">
          <objectPr defaultSize="0" autoPict="0" r:id="rId77">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6"/>
      </mc:Fallback>
    </mc:AlternateContent>
    <mc:AlternateContent xmlns:mc="http://schemas.openxmlformats.org/markup-compatibility/2006">
      <mc:Choice Requires="x14">
        <oleObject progId="Equation.3" shapeId="1119" r:id="rId78">
          <objectPr defaultSize="0" autoPict="0" r:id="rId79">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8"/>
      </mc:Fallback>
    </mc:AlternateContent>
    <mc:AlternateContent xmlns:mc="http://schemas.openxmlformats.org/markup-compatibility/2006">
      <mc:Choice Requires="x14">
        <oleObject progId="Equation.3" shapeId="1120" r:id="rId80">
          <objectPr defaultSize="0" autoPict="0" r:id="rId81">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0"/>
      </mc:Fallback>
    </mc:AlternateContent>
    <mc:AlternateContent xmlns:mc="http://schemas.openxmlformats.org/markup-compatibility/2006">
      <mc:Choice Requires="x14">
        <oleObject progId="Equation.3" shapeId="1121" r:id="rId82">
          <objectPr defaultSize="0" autoPict="0" r:id="rId30">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2"/>
      </mc:Fallback>
    </mc:AlternateContent>
    <mc:AlternateContent xmlns:mc="http://schemas.openxmlformats.org/markup-compatibility/2006">
      <mc:Choice Requires="x14">
        <oleObject progId="Equation.3" shapeId="1122" r:id="rId83">
          <objectPr defaultSize="0" autoPict="0" r:id="rId55">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3"/>
      </mc:Fallback>
    </mc:AlternateContent>
    <mc:AlternateContent xmlns:mc="http://schemas.openxmlformats.org/markup-compatibility/2006">
      <mc:Choice Requires="x14">
        <oleObject progId="Equation.3" shapeId="1123" r:id="rId84">
          <objectPr defaultSize="0" autoPict="0" r:id="rId85">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4"/>
      </mc:Fallback>
    </mc:AlternateContent>
    <mc:AlternateContent xmlns:mc="http://schemas.openxmlformats.org/markup-compatibility/2006">
      <mc:Choice Requires="x14">
        <oleObject progId="Equation.3" shapeId="1124" r:id="rId86">
          <objectPr defaultSize="0" autoPict="0" r:id="rId87">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6"/>
      </mc:Fallback>
    </mc:AlternateContent>
    <mc:AlternateContent xmlns:mc="http://schemas.openxmlformats.org/markup-compatibility/2006">
      <mc:Choice Requires="x14">
        <oleObject progId="Equation.3" shapeId="1125" r:id="rId88">
          <objectPr defaultSize="0" autoPict="0" r:id="rId89">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8"/>
      </mc:Fallback>
    </mc:AlternateContent>
    <mc:AlternateContent xmlns:mc="http://schemas.openxmlformats.org/markup-compatibility/2006">
      <mc:Choice Requires="x14">
        <oleObject progId="Equation.3" shapeId="1126" r:id="rId90">
          <objectPr defaultSize="0" autoPict="0" r:id="rId91">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0"/>
      </mc:Fallback>
    </mc:AlternateContent>
    <mc:AlternateContent xmlns:mc="http://schemas.openxmlformats.org/markup-compatibility/2006">
      <mc:Choice Requires="x14">
        <oleObject progId="Equation.3" shapeId="1127" r:id="rId92">
          <objectPr defaultSize="0" autoPict="0" r:id="rId93">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2"/>
      </mc:Fallback>
    </mc:AlternateContent>
    <mc:AlternateContent xmlns:mc="http://schemas.openxmlformats.org/markup-compatibility/2006">
      <mc:Choice Requires="x14">
        <oleObject progId="Equation.3" shapeId="1128" r:id="rId94">
          <objectPr defaultSize="0" autoPict="0" r:id="rId95">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4"/>
      </mc:Fallback>
    </mc:AlternateContent>
    <mc:AlternateContent xmlns:mc="http://schemas.openxmlformats.org/markup-compatibility/2006">
      <mc:Choice Requires="x14">
        <oleObject progId="Equation.3" shapeId="1129" r:id="rId96">
          <objectPr defaultSize="0" autoPict="0" r:id="rId97">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S293"/>
  <sheetViews>
    <sheetView showGridLines="0" zoomScaleNormal="100" workbookViewId="0"/>
  </sheetViews>
  <sheetFormatPr defaultRowHeight="12.75" x14ac:dyDescent="0.2"/>
  <cols>
    <col min="1" max="1" width="30.28515625" style="292" customWidth="1"/>
    <col min="2" max="2" width="14.28515625" style="292" customWidth="1"/>
    <col min="3" max="3" width="12.85546875" style="292" customWidth="1"/>
    <col min="4" max="8" width="13.5703125" style="292" customWidth="1"/>
    <col min="9" max="9" width="12" style="292" bestFit="1" customWidth="1"/>
    <col min="10" max="10" width="9.7109375" style="292" customWidth="1"/>
    <col min="11" max="11" width="9.140625" style="292"/>
    <col min="12" max="13" width="7.7109375" style="292" customWidth="1"/>
    <col min="14" max="16384" width="9.140625" style="292"/>
  </cols>
  <sheetData>
    <row r="1" spans="1:10" x14ac:dyDescent="0.2">
      <c r="A1" s="291"/>
    </row>
    <row r="2" spans="1:10" x14ac:dyDescent="0.2">
      <c r="A2" s="291"/>
      <c r="G2" s="515"/>
    </row>
    <row r="3" spans="1:10" x14ac:dyDescent="0.2">
      <c r="A3" s="293" t="s">
        <v>68</v>
      </c>
      <c r="C3" s="294" t="str">
        <f>A58</f>
        <v>United Energy</v>
      </c>
    </row>
    <row r="5" spans="1:10" x14ac:dyDescent="0.2">
      <c r="A5" s="292" t="s">
        <v>69</v>
      </c>
      <c r="C5" s="295">
        <v>2019</v>
      </c>
    </row>
    <row r="7" spans="1:10" x14ac:dyDescent="0.2">
      <c r="A7" s="292" t="s">
        <v>70</v>
      </c>
      <c r="B7" s="292" t="s">
        <v>71</v>
      </c>
      <c r="C7" s="292">
        <f>C5</f>
        <v>2019</v>
      </c>
    </row>
    <row r="8" spans="1:10" x14ac:dyDescent="0.2">
      <c r="A8" s="292" t="s">
        <v>72</v>
      </c>
      <c r="B8" s="292" t="s">
        <v>71</v>
      </c>
      <c r="C8" s="292">
        <f t="shared" ref="C8:C11" si="0">C7-1</f>
        <v>2018</v>
      </c>
    </row>
    <row r="9" spans="1:10" x14ac:dyDescent="0.2">
      <c r="A9" s="292" t="s">
        <v>73</v>
      </c>
      <c r="B9" s="292" t="s">
        <v>71</v>
      </c>
      <c r="C9" s="292">
        <f t="shared" si="0"/>
        <v>2017</v>
      </c>
    </row>
    <row r="10" spans="1:10" x14ac:dyDescent="0.2">
      <c r="A10" s="292" t="s">
        <v>74</v>
      </c>
      <c r="B10" s="292" t="s">
        <v>71</v>
      </c>
      <c r="C10" s="292">
        <f t="shared" si="0"/>
        <v>2016</v>
      </c>
    </row>
    <row r="11" spans="1:10" x14ac:dyDescent="0.2">
      <c r="A11" s="292" t="s">
        <v>127</v>
      </c>
      <c r="B11" s="292" t="s">
        <v>71</v>
      </c>
      <c r="C11" s="292">
        <f t="shared" si="0"/>
        <v>2015</v>
      </c>
    </row>
    <row r="13" spans="1:10" x14ac:dyDescent="0.2">
      <c r="A13" s="292" t="s">
        <v>75</v>
      </c>
    </row>
    <row r="14" spans="1:10" ht="13.5" thickBot="1" x14ac:dyDescent="0.25"/>
    <row r="15" spans="1:10" ht="24" customHeight="1" x14ac:dyDescent="0.2">
      <c r="A15" s="233" t="s">
        <v>76</v>
      </c>
      <c r="B15" s="240" t="s">
        <v>77</v>
      </c>
      <c r="C15" s="240"/>
      <c r="D15" s="240"/>
      <c r="E15" s="240"/>
      <c r="F15" s="240"/>
      <c r="G15" s="234"/>
    </row>
    <row r="16" spans="1:10" x14ac:dyDescent="0.2">
      <c r="A16" s="296" t="s">
        <v>78</v>
      </c>
      <c r="B16" s="297"/>
      <c r="C16" s="298">
        <v>99.8</v>
      </c>
      <c r="D16" s="241"/>
      <c r="G16" s="237"/>
      <c r="J16" s="299"/>
    </row>
    <row r="17" spans="1:10" x14ac:dyDescent="0.2">
      <c r="A17" s="300" t="s">
        <v>79</v>
      </c>
      <c r="B17" s="241"/>
      <c r="C17" s="301">
        <v>101.8</v>
      </c>
      <c r="E17" s="302" t="s">
        <v>222</v>
      </c>
      <c r="F17" s="303">
        <f>C17/C16-1</f>
        <v>2.0040080160320661E-2</v>
      </c>
      <c r="G17" s="237"/>
      <c r="J17" s="165"/>
    </row>
    <row r="18" spans="1:10" x14ac:dyDescent="0.2">
      <c r="A18" s="300" t="s">
        <v>80</v>
      </c>
      <c r="B18" s="241"/>
      <c r="C18" s="304">
        <v>104</v>
      </c>
      <c r="E18" s="305" t="s">
        <v>223</v>
      </c>
      <c r="F18" s="306">
        <f>C18/C17-1</f>
        <v>2.16110019646365E-2</v>
      </c>
      <c r="G18" s="237"/>
      <c r="J18" s="299"/>
    </row>
    <row r="19" spans="1:10" x14ac:dyDescent="0.2">
      <c r="A19" s="300" t="s">
        <v>81</v>
      </c>
      <c r="B19" s="307"/>
      <c r="C19" s="304">
        <v>106.4</v>
      </c>
      <c r="E19" s="305" t="s">
        <v>224</v>
      </c>
      <c r="F19" s="306">
        <f>C19/C18-1</f>
        <v>2.3076923076923217E-2</v>
      </c>
      <c r="G19" s="237"/>
    </row>
    <row r="20" spans="1:10" x14ac:dyDescent="0.2">
      <c r="A20" s="300" t="s">
        <v>101</v>
      </c>
      <c r="B20" s="307"/>
      <c r="C20" s="304">
        <v>108</v>
      </c>
      <c r="E20" s="305" t="s">
        <v>225</v>
      </c>
      <c r="F20" s="306">
        <f>C20/C19-1</f>
        <v>1.5037593984962294E-2</v>
      </c>
      <c r="G20" s="237"/>
    </row>
    <row r="21" spans="1:10" x14ac:dyDescent="0.2">
      <c r="A21" s="300" t="s">
        <v>221</v>
      </c>
      <c r="B21" s="307"/>
      <c r="C21" s="308">
        <v>107.5</v>
      </c>
      <c r="E21" s="305"/>
      <c r="F21" s="309"/>
      <c r="G21" s="237"/>
    </row>
    <row r="22" spans="1:10" x14ac:dyDescent="0.2">
      <c r="A22" s="300" t="s">
        <v>220</v>
      </c>
      <c r="B22" s="307"/>
      <c r="C22" s="304">
        <v>108.6</v>
      </c>
      <c r="E22" s="305" t="s">
        <v>226</v>
      </c>
      <c r="F22" s="306">
        <f>IF(OR(C21="",C22=""),0,C22/C21-1)</f>
        <v>1.0232558139534831E-2</v>
      </c>
      <c r="G22" s="237"/>
    </row>
    <row r="23" spans="1:10" x14ac:dyDescent="0.2">
      <c r="A23" s="300" t="s">
        <v>219</v>
      </c>
      <c r="B23" s="307"/>
      <c r="C23" s="304">
        <v>110.7</v>
      </c>
      <c r="E23" s="305" t="s">
        <v>227</v>
      </c>
      <c r="F23" s="306">
        <f t="shared" ref="F23:F25" si="1">IF(OR(C22="",C23=""),0,C23/C22-1)</f>
        <v>1.9337016574585641E-2</v>
      </c>
      <c r="G23" s="237"/>
    </row>
    <row r="24" spans="1:10" x14ac:dyDescent="0.2">
      <c r="A24" s="300" t="s">
        <v>218</v>
      </c>
      <c r="B24" s="307"/>
      <c r="C24" s="304">
        <v>113</v>
      </c>
      <c r="E24" s="305" t="s">
        <v>228</v>
      </c>
      <c r="F24" s="306">
        <f t="shared" si="1"/>
        <v>2.0776874435411097E-2</v>
      </c>
      <c r="G24" s="237"/>
    </row>
    <row r="25" spans="1:10" x14ac:dyDescent="0.2">
      <c r="A25" s="310" t="s">
        <v>217</v>
      </c>
      <c r="B25" s="311"/>
      <c r="C25" s="304"/>
      <c r="E25" s="312" t="s">
        <v>229</v>
      </c>
      <c r="F25" s="313">
        <f t="shared" si="1"/>
        <v>0</v>
      </c>
      <c r="G25" s="237"/>
    </row>
    <row r="26" spans="1:10" x14ac:dyDescent="0.2">
      <c r="A26" s="236"/>
      <c r="B26" s="241"/>
      <c r="C26" s="314"/>
      <c r="D26" s="241"/>
      <c r="G26" s="237"/>
    </row>
    <row r="27" spans="1:10" x14ac:dyDescent="0.2">
      <c r="A27" s="236"/>
      <c r="B27" s="241"/>
      <c r="C27" s="314"/>
      <c r="D27" s="241"/>
      <c r="G27" s="237"/>
    </row>
    <row r="28" spans="1:10" x14ac:dyDescent="0.2">
      <c r="A28" s="236" t="str">
        <f>"CPI " &amp;$C$9</f>
        <v>CPI 2017</v>
      </c>
      <c r="B28" s="241"/>
      <c r="C28" s="315">
        <f>VLOOKUP(A28,E$17:F$25,2,FALSE)</f>
        <v>1.0232558139534831E-2</v>
      </c>
      <c r="D28" s="337" t="s">
        <v>372</v>
      </c>
      <c r="G28" s="237"/>
    </row>
    <row r="29" spans="1:10" x14ac:dyDescent="0.2">
      <c r="A29" s="236" t="str">
        <f>"CPI " &amp;$C$8</f>
        <v>CPI 2018</v>
      </c>
      <c r="B29" s="241"/>
      <c r="C29" s="315">
        <f t="shared" ref="C29:C30" si="2">VLOOKUP(A29,E$17:F$25,2,FALSE)</f>
        <v>1.9337016574585641E-2</v>
      </c>
      <c r="D29" s="337" t="s">
        <v>371</v>
      </c>
      <c r="G29" s="237"/>
    </row>
    <row r="30" spans="1:10" x14ac:dyDescent="0.2">
      <c r="A30" s="236" t="str">
        <f>"CPI " &amp;$C$5</f>
        <v>CPI 2019</v>
      </c>
      <c r="B30" s="241"/>
      <c r="C30" s="315">
        <f t="shared" si="2"/>
        <v>2.0776874435411097E-2</v>
      </c>
      <c r="D30" s="438" t="s">
        <v>400</v>
      </c>
      <c r="G30" s="237"/>
    </row>
    <row r="31" spans="1:10" ht="13.5" thickBot="1" x14ac:dyDescent="0.25">
      <c r="A31" s="238"/>
      <c r="B31" s="247"/>
      <c r="C31" s="247"/>
      <c r="D31" s="247"/>
      <c r="E31" s="247"/>
      <c r="F31" s="247"/>
      <c r="G31" s="239"/>
    </row>
    <row r="35" spans="1:9" x14ac:dyDescent="0.2">
      <c r="A35" s="316" t="s">
        <v>406</v>
      </c>
      <c r="B35" s="317"/>
      <c r="C35" s="299"/>
      <c r="D35" s="318"/>
      <c r="E35" s="318"/>
      <c r="F35" s="318"/>
      <c r="G35" s="319"/>
      <c r="H35" s="318"/>
    </row>
    <row r="36" spans="1:9" x14ac:dyDescent="0.2">
      <c r="A36" s="320" t="str">
        <f>"rvw for "&amp;C$5</f>
        <v>rvw for 2019</v>
      </c>
      <c r="B36" s="321"/>
      <c r="C36" s="208"/>
      <c r="D36" s="322" t="s">
        <v>401</v>
      </c>
      <c r="E36" s="322" t="s">
        <v>402</v>
      </c>
      <c r="F36" s="322" t="s">
        <v>403</v>
      </c>
      <c r="G36" s="323" t="s">
        <v>404</v>
      </c>
      <c r="H36" s="322" t="s">
        <v>405</v>
      </c>
    </row>
    <row r="37" spans="1:9" x14ac:dyDescent="0.2">
      <c r="A37" s="324" t="str">
        <f>$A$54</f>
        <v>Jemena</v>
      </c>
      <c r="B37" s="325">
        <f>HLOOKUP($A$36,$D$36:$H$41,2,FALSE)</f>
        <v>3.7669116070430331E-2</v>
      </c>
      <c r="C37" s="299"/>
      <c r="D37" s="326">
        <v>3.9328628706946173E-2</v>
      </c>
      <c r="E37" s="724">
        <v>3.8730571453602453E-2</v>
      </c>
      <c r="F37" s="329">
        <v>3.8214665412155749E-2</v>
      </c>
      <c r="G37" s="328">
        <v>3.7669116070430331E-2</v>
      </c>
      <c r="H37" s="329">
        <v>3.7669116070430331E-2</v>
      </c>
    </row>
    <row r="38" spans="1:9" x14ac:dyDescent="0.2">
      <c r="A38" s="324" t="str">
        <f>$A$55</f>
        <v>CitiPower</v>
      </c>
      <c r="B38" s="325">
        <f>HLOOKUP($A$36,$D$36:$H$41,3,FALSE)</f>
        <v>3.5080474747029383E-2</v>
      </c>
      <c r="C38" s="299"/>
      <c r="D38" s="326">
        <v>3.6700024103140591E-2</v>
      </c>
      <c r="E38" s="724">
        <v>3.6127568814887212E-2</v>
      </c>
      <c r="F38" s="329">
        <v>3.5630478851561828E-2</v>
      </c>
      <c r="G38" s="328">
        <v>3.5080474747029383E-2</v>
      </c>
      <c r="H38" s="329">
        <v>3.5080474747029383E-2</v>
      </c>
    </row>
    <row r="39" spans="1:9" x14ac:dyDescent="0.2">
      <c r="A39" s="324" t="str">
        <f>$A$56</f>
        <v>Powercor</v>
      </c>
      <c r="B39" s="325">
        <f>HLOOKUP($A$36,$D$36:$H$41,4,FALSE)</f>
        <v>3.5080474747029383E-2</v>
      </c>
      <c r="C39" s="299"/>
      <c r="D39" s="326">
        <v>3.6700024103140591E-2</v>
      </c>
      <c r="E39" s="724">
        <v>3.6127568814887212E-2</v>
      </c>
      <c r="F39" s="329">
        <v>3.5630478851561828E-2</v>
      </c>
      <c r="G39" s="328">
        <v>3.5080474747029383E-2</v>
      </c>
      <c r="H39" s="329">
        <v>3.5080474747029383E-2</v>
      </c>
    </row>
    <row r="40" spans="1:9" x14ac:dyDescent="0.2">
      <c r="A40" s="324" t="str">
        <f>$A$57</f>
        <v>AusNet Services</v>
      </c>
      <c r="B40" s="325">
        <f>HLOOKUP($A$36,$D$36:$H$41,5,FALSE)</f>
        <v>3.7427334064515393E-2</v>
      </c>
      <c r="C40" s="299"/>
      <c r="D40" s="326">
        <v>3.8716794887975373E-2</v>
      </c>
      <c r="E40" s="724">
        <v>3.8262336193053012E-2</v>
      </c>
      <c r="F40" s="329">
        <v>3.8013284689562575E-2</v>
      </c>
      <c r="G40" s="328">
        <v>3.7427334064515393E-2</v>
      </c>
      <c r="H40" s="329">
        <v>3.7427334064515393E-2</v>
      </c>
      <c r="I40" s="831"/>
    </row>
    <row r="41" spans="1:9" x14ac:dyDescent="0.2">
      <c r="A41" s="324" t="str">
        <f>$A$58</f>
        <v>United Energy</v>
      </c>
      <c r="B41" s="325">
        <f>HLOOKUP($A$36,$D$36:$H$41,6,FALSE)</f>
        <v>3.7516149645275165E-2</v>
      </c>
      <c r="C41" s="299"/>
      <c r="D41" s="326">
        <v>3.9330190400643471E-2</v>
      </c>
      <c r="E41" s="724">
        <v>3.869503168791262E-2</v>
      </c>
      <c r="F41" s="329">
        <v>3.8123822021083775E-2</v>
      </c>
      <c r="G41" s="328">
        <v>3.7516149645275165E-2</v>
      </c>
      <c r="H41" s="329">
        <v>3.7516149645275165E-2</v>
      </c>
    </row>
    <row r="42" spans="1:9" x14ac:dyDescent="0.2">
      <c r="A42" s="324"/>
      <c r="B42" s="325"/>
      <c r="C42" s="299"/>
      <c r="D42" s="326"/>
      <c r="E42" s="327"/>
      <c r="F42" s="326"/>
      <c r="G42" s="327"/>
      <c r="H42" s="326"/>
    </row>
    <row r="43" spans="1:9" ht="13.5" thickBot="1" x14ac:dyDescent="0.25">
      <c r="A43" s="330" t="str">
        <f>"rvw (t) "&amp;C$5</f>
        <v>rvw (t) 2019</v>
      </c>
      <c r="B43" s="331">
        <f>VLOOKUP(C$3,A37:B41,2,FALSE)</f>
        <v>3.7516149645275165E-2</v>
      </c>
      <c r="C43" s="438" t="s">
        <v>400</v>
      </c>
      <c r="D43" s="332">
        <f>VLOOKUP($C$3,$A$37:$H$41,4,FALSE)</f>
        <v>3.9330190400643471E-2</v>
      </c>
      <c r="E43" s="333">
        <f>VLOOKUP($C$3,$A37:$H$41,5,FALSE)</f>
        <v>3.869503168791262E-2</v>
      </c>
      <c r="F43" s="332">
        <f>VLOOKUP($C$3,$A$37:$H$41,6,FALSE)</f>
        <v>3.8123822021083775E-2</v>
      </c>
      <c r="G43" s="333">
        <f>VLOOKUP($C$3,$A$37:$H$41,7,FALSE)</f>
        <v>3.7516149645275165E-2</v>
      </c>
      <c r="H43" s="332">
        <f>VLOOKUP($C$3,$A$37:$H$41,8,FALSE)</f>
        <v>3.7516149645275165E-2</v>
      </c>
    </row>
    <row r="44" spans="1:9" x14ac:dyDescent="0.2">
      <c r="B44" s="334"/>
    </row>
    <row r="45" spans="1:9" x14ac:dyDescent="0.2">
      <c r="A45" s="335" t="str">
        <f>"rvw for "&amp;C$5-1</f>
        <v>rvw for 2018</v>
      </c>
      <c r="B45" s="336">
        <f>IF(C$5=2016,F$183,HLOOKUP($A45,D$36:H$43,8,FALSE))</f>
        <v>3.8123822021083775E-2</v>
      </c>
      <c r="C45" s="337" t="s">
        <v>371</v>
      </c>
    </row>
    <row r="46" spans="1:9" x14ac:dyDescent="0.2">
      <c r="A46" s="324"/>
      <c r="B46" s="338"/>
    </row>
    <row r="47" spans="1:9" ht="13.5" thickBot="1" x14ac:dyDescent="0.25">
      <c r="A47" s="339" t="str">
        <f>"rvw for "&amp;C$5-2</f>
        <v>rvw for 2017</v>
      </c>
      <c r="B47" s="340">
        <f>IF(OR(C$5=2016,C$5=2017),F$183,HLOOKUP($A47,D$36:H$43,8,FALSE))</f>
        <v>3.869503168791262E-2</v>
      </c>
      <c r="C47" s="337" t="s">
        <v>372</v>
      </c>
    </row>
    <row r="52" spans="1:12" ht="13.5" thickBot="1" x14ac:dyDescent="0.25">
      <c r="A52" s="341" t="s">
        <v>348</v>
      </c>
    </row>
    <row r="53" spans="1:12" x14ac:dyDescent="0.2">
      <c r="A53" s="342" t="str">
        <f>"Xt for "&amp;C$5</f>
        <v>Xt for 2019</v>
      </c>
      <c r="B53" s="334"/>
      <c r="D53" s="343" t="s">
        <v>103</v>
      </c>
      <c r="E53" s="344" t="s">
        <v>97</v>
      </c>
      <c r="F53" s="318" t="s">
        <v>98</v>
      </c>
      <c r="G53" s="318" t="s">
        <v>99</v>
      </c>
      <c r="H53" s="344" t="s">
        <v>100</v>
      </c>
    </row>
    <row r="54" spans="1:12" x14ac:dyDescent="0.2">
      <c r="A54" s="324" t="s">
        <v>82</v>
      </c>
      <c r="B54" s="345">
        <f>IF(C$5=2016,"n/a",HLOOKUP($A$53,$E$53:$H$58,2,FALSE))</f>
        <v>-1.1948008629939944E-2</v>
      </c>
      <c r="D54" s="346">
        <v>238498758</v>
      </c>
      <c r="E54" s="725">
        <v>-3.2500000000000001E-2</v>
      </c>
      <c r="F54" s="832">
        <v>2.7000000000000001E-3</v>
      </c>
      <c r="G54" s="329">
        <v>-1.1948008629939944E-2</v>
      </c>
      <c r="H54" s="347">
        <v>-2.3862451569061083E-2</v>
      </c>
      <c r="J54" s="833"/>
    </row>
    <row r="55" spans="1:12" x14ac:dyDescent="0.2">
      <c r="A55" s="617" t="s">
        <v>83</v>
      </c>
      <c r="B55" s="345">
        <f>IF(C$5=2016,"n/a",HLOOKUP($A$53,$E$53:$H$58,3,FALSE))</f>
        <v>-1.2324590345473526E-3</v>
      </c>
      <c r="D55" s="616">
        <v>282881283</v>
      </c>
      <c r="E55" s="725">
        <v>4.0000000000000001E-3</v>
      </c>
      <c r="F55" s="832">
        <v>-5.0000000000000001E-4</v>
      </c>
      <c r="G55" s="329">
        <v>-1.2324590345473526E-3</v>
      </c>
      <c r="H55" s="347">
        <v>-2.9476372686176595E-2</v>
      </c>
      <c r="J55" s="833"/>
    </row>
    <row r="56" spans="1:12" x14ac:dyDescent="0.2">
      <c r="A56" s="324" t="s">
        <v>84</v>
      </c>
      <c r="B56" s="345">
        <f>IF(C$5=2016,"n/a",HLOOKUP($A$53,$E$53:$H$58,4,FALSE))</f>
        <v>-3.0211641246695703E-2</v>
      </c>
      <c r="D56" s="346">
        <v>621773294</v>
      </c>
      <c r="E56" s="725">
        <v>4.6800000000000001E-2</v>
      </c>
      <c r="F56" s="832">
        <v>-8.0999999999999996E-3</v>
      </c>
      <c r="G56" s="329">
        <v>-3.0211641246695703E-2</v>
      </c>
      <c r="H56" s="347">
        <v>-3.390125882779764E-2</v>
      </c>
      <c r="J56" s="834"/>
      <c r="L56" s="835"/>
    </row>
    <row r="57" spans="1:12" x14ac:dyDescent="0.2">
      <c r="A57" s="324" t="s">
        <v>106</v>
      </c>
      <c r="B57" s="345">
        <f>IF(C$5=2016,"n/a",HLOOKUP($A$53,$E$53:$H$58,5,FALSE))</f>
        <v>-3.0132176370631356E-2</v>
      </c>
      <c r="D57" s="346">
        <v>586045137</v>
      </c>
      <c r="E57" s="725">
        <v>3.0000000000000001E-3</v>
      </c>
      <c r="F57" s="832">
        <v>-1.84E-2</v>
      </c>
      <c r="G57" s="329">
        <v>-3.0132176370631356E-2</v>
      </c>
      <c r="H57" s="347">
        <v>-3.0132176370631356E-2</v>
      </c>
      <c r="I57" s="831"/>
      <c r="J57" s="354"/>
      <c r="K57" s="836"/>
      <c r="L57" s="837"/>
    </row>
    <row r="58" spans="1:12" x14ac:dyDescent="0.2">
      <c r="A58" s="324" t="s">
        <v>85</v>
      </c>
      <c r="B58" s="345">
        <f>IF(C$5=2016,"n/a",HLOOKUP($A$53,$E$53:$H$58,6,FALSE))</f>
        <v>-2.6112020009605556E-2</v>
      </c>
      <c r="D58" s="346">
        <v>375069867</v>
      </c>
      <c r="E58" s="725">
        <v>-3.8300000000000001E-2</v>
      </c>
      <c r="F58" s="832">
        <v>-3.1600000000000003E-2</v>
      </c>
      <c r="G58" s="329">
        <v>-2.6112020009605556E-2</v>
      </c>
      <c r="H58" s="347">
        <v>-3.9571175264950659E-3</v>
      </c>
    </row>
    <row r="59" spans="1:12" x14ac:dyDescent="0.2">
      <c r="A59" s="324"/>
      <c r="B59" s="325"/>
      <c r="D59" s="348"/>
      <c r="E59" s="349"/>
      <c r="F59" s="350"/>
      <c r="G59" s="350"/>
      <c r="H59" s="349"/>
    </row>
    <row r="60" spans="1:12" ht="13.5" thickBot="1" x14ac:dyDescent="0.25">
      <c r="A60" s="351" t="str">
        <f>"Xt for"&amp;C$5</f>
        <v>Xt for2019</v>
      </c>
      <c r="B60" s="352">
        <f>VLOOKUP(C$3,A54:B58,2,FALSE)</f>
        <v>-2.6112020009605556E-2</v>
      </c>
      <c r="D60" s="353">
        <f>VLOOKUP($C$3,$A$54:$H$58,4,FALSE)</f>
        <v>375069867</v>
      </c>
      <c r="E60" s="333">
        <f>VLOOKUP($C$3,$A$54:$H$58,5,FALSE)</f>
        <v>-3.8300000000000001E-2</v>
      </c>
      <c r="F60" s="332">
        <f>VLOOKUP($C$3,$A$54:$H$58,6,FALSE)</f>
        <v>-3.1600000000000003E-2</v>
      </c>
      <c r="G60" s="333">
        <f>VLOOKUP($C$3,$A$54:$H$58,7,FALSE)</f>
        <v>-2.6112020009605556E-2</v>
      </c>
      <c r="H60" s="332">
        <f>VLOOKUP($C$3,$A$54:$H$58,8,FALSE)</f>
        <v>-3.9571175264950659E-3</v>
      </c>
    </row>
    <row r="64" spans="1:12" ht="13.5" thickBot="1" x14ac:dyDescent="0.25">
      <c r="A64" s="341" t="s">
        <v>349</v>
      </c>
    </row>
    <row r="65" spans="1:12" x14ac:dyDescent="0.2">
      <c r="A65" s="342" t="str">
        <f>"Xt for "&amp;C$5</f>
        <v>Xt for 2019</v>
      </c>
      <c r="B65" s="334"/>
      <c r="D65" s="343" t="s">
        <v>103</v>
      </c>
      <c r="E65" s="344" t="s">
        <v>97</v>
      </c>
      <c r="F65" s="318" t="s">
        <v>98</v>
      </c>
      <c r="G65" s="318" t="s">
        <v>99</v>
      </c>
      <c r="H65" s="344" t="s">
        <v>100</v>
      </c>
    </row>
    <row r="66" spans="1:12" x14ac:dyDescent="0.2">
      <c r="A66" s="324" t="s">
        <v>82</v>
      </c>
      <c r="B66" s="345">
        <f>IF(C$5=2016,"n/a",HLOOKUP($A$65,$E$65:$H$70,2,FALSE))</f>
        <v>-1.1818442457176899E-2</v>
      </c>
      <c r="D66" s="346">
        <v>44212949.016624629</v>
      </c>
      <c r="E66" s="725">
        <v>0.3473</v>
      </c>
      <c r="F66" s="832">
        <v>-1.3599999999999999E-2</v>
      </c>
      <c r="G66" s="329">
        <v>-1.1818442457176899E-2</v>
      </c>
      <c r="H66" s="347">
        <v>-1.4999999999999999E-2</v>
      </c>
      <c r="J66" s="833"/>
    </row>
    <row r="67" spans="1:12" x14ac:dyDescent="0.2">
      <c r="A67" s="324" t="s">
        <v>83</v>
      </c>
      <c r="B67" s="345">
        <f>IF(C$5=2016,"n/a",HLOOKUP($A$65,$E$65:$H$70,3,FALSE))</f>
        <v>7.9367999046920018E-2</v>
      </c>
      <c r="D67" s="346">
        <v>32973195.03847561</v>
      </c>
      <c r="E67" s="725">
        <v>0.14019999999999999</v>
      </c>
      <c r="F67" s="832">
        <v>7.6700000000000004E-2</v>
      </c>
      <c r="G67" s="329">
        <v>7.9367999046920018E-2</v>
      </c>
      <c r="H67" s="347">
        <v>7.4999999999999997E-2</v>
      </c>
      <c r="J67" s="838"/>
    </row>
    <row r="68" spans="1:12" x14ac:dyDescent="0.2">
      <c r="A68" s="324" t="s">
        <v>84</v>
      </c>
      <c r="B68" s="345">
        <f>IF(C$5=2016,"n/a",HLOOKUP($A$65,$E$65:$H$70,4,FALSE))</f>
        <v>8.490086085041551E-2</v>
      </c>
      <c r="D68" s="346">
        <v>79145313.202280506</v>
      </c>
      <c r="E68" s="725">
        <v>0.1096</v>
      </c>
      <c r="F68" s="832">
        <v>8.1900000000000001E-2</v>
      </c>
      <c r="G68" s="329">
        <v>8.490086085041551E-2</v>
      </c>
      <c r="H68" s="347">
        <v>0.08</v>
      </c>
      <c r="J68" s="839"/>
    </row>
    <row r="69" spans="1:12" x14ac:dyDescent="0.2">
      <c r="A69" s="617" t="s">
        <v>106</v>
      </c>
      <c r="B69" s="345">
        <f>IF(C$5=2016,"n/a",HLOOKUP($A$65,$E$65:$H$70,5,FALSE))</f>
        <v>0.16934859267057342</v>
      </c>
      <c r="D69" s="616">
        <v>92754610.443801105</v>
      </c>
      <c r="E69" s="725">
        <v>2.3099999999999999E-2</v>
      </c>
      <c r="F69" s="832">
        <v>0.1658</v>
      </c>
      <c r="G69" s="329">
        <v>0.16934859267057342</v>
      </c>
      <c r="H69" s="347">
        <v>0.16500000000000001</v>
      </c>
      <c r="I69" s="831"/>
      <c r="J69" s="833"/>
      <c r="L69" s="833"/>
    </row>
    <row r="70" spans="1:12" x14ac:dyDescent="0.2">
      <c r="A70" s="324" t="s">
        <v>85</v>
      </c>
      <c r="B70" s="345">
        <f>IF(C$5=2016,"n/a",HLOOKUP($A$65,$E$65:$H$70,6,FALSE))</f>
        <v>5.9542008892518941E-2</v>
      </c>
      <c r="D70" s="346">
        <v>62733316.946996652</v>
      </c>
      <c r="E70" s="725">
        <v>0.30809999999999998</v>
      </c>
      <c r="F70" s="832">
        <v>5.7000000000000002E-2</v>
      </c>
      <c r="G70" s="329">
        <v>5.9542008892518941E-2</v>
      </c>
      <c r="H70" s="347">
        <v>5.5E-2</v>
      </c>
      <c r="I70" s="833"/>
      <c r="L70" s="833"/>
    </row>
    <row r="71" spans="1:12" x14ac:dyDescent="0.2">
      <c r="A71" s="324"/>
      <c r="B71" s="325"/>
      <c r="D71" s="348"/>
      <c r="E71" s="349"/>
      <c r="F71" s="350"/>
      <c r="G71" s="350"/>
      <c r="H71" s="349"/>
    </row>
    <row r="72" spans="1:12" ht="13.5" thickBot="1" x14ac:dyDescent="0.25">
      <c r="A72" s="351" t="str">
        <f>"Xt for"&amp;C$5</f>
        <v>Xt for2019</v>
      </c>
      <c r="B72" s="352">
        <f>VLOOKUP(C$3,A66:B70,2,FALSE)</f>
        <v>5.9542008892518941E-2</v>
      </c>
      <c r="D72" s="353">
        <f>VLOOKUP($C$3,$A$66:$H$70,4,FALSE)</f>
        <v>62733316.946996652</v>
      </c>
      <c r="E72" s="333">
        <f>VLOOKUP($C$3,$A$66:$H$70,5,FALSE)</f>
        <v>0.30809999999999998</v>
      </c>
      <c r="F72" s="332">
        <f>VLOOKUP($C$3,$A$66:$H$70,6,FALSE)</f>
        <v>5.7000000000000002E-2</v>
      </c>
      <c r="G72" s="333">
        <f>VLOOKUP($C$3,$A$66:$H$70,7,FALSE)</f>
        <v>5.9542008892518941E-2</v>
      </c>
      <c r="H72" s="332">
        <f>VLOOKUP($C$3,$A$66:$H$70,8,FALSE)</f>
        <v>5.5E-2</v>
      </c>
    </row>
    <row r="76" spans="1:12" x14ac:dyDescent="0.2">
      <c r="A76" s="341" t="s">
        <v>348</v>
      </c>
      <c r="D76" s="354"/>
    </row>
    <row r="77" spans="1:12" x14ac:dyDescent="0.2">
      <c r="A77" s="316" t="s">
        <v>326</v>
      </c>
      <c r="B77" s="317"/>
      <c r="C77" s="299"/>
      <c r="D77" s="318"/>
      <c r="E77" s="318"/>
      <c r="F77" s="318"/>
      <c r="G77" s="319"/>
      <c r="H77" s="318"/>
    </row>
    <row r="78" spans="1:12" x14ac:dyDescent="0.2">
      <c r="A78" s="320" t="str">
        <f>"rptw for "&amp;C$5</f>
        <v>rptw for 2019</v>
      </c>
      <c r="B78" s="321"/>
      <c r="C78" s="208"/>
      <c r="D78" s="322" t="s">
        <v>321</v>
      </c>
      <c r="E78" s="322" t="s">
        <v>322</v>
      </c>
      <c r="F78" s="322" t="s">
        <v>323</v>
      </c>
      <c r="G78" s="323" t="s">
        <v>324</v>
      </c>
      <c r="H78" s="322" t="s">
        <v>325</v>
      </c>
    </row>
    <row r="79" spans="1:12" x14ac:dyDescent="0.2">
      <c r="A79" s="324" t="str">
        <f>$A$54</f>
        <v>Jemena</v>
      </c>
      <c r="B79" s="325">
        <f>HLOOKUP($A$78,$D$78:$H$83,2,FALSE)</f>
        <v>4.5303932925675694E-2</v>
      </c>
      <c r="C79" s="299"/>
      <c r="D79" s="326">
        <v>4.7233747078506916E-2</v>
      </c>
      <c r="E79" s="724">
        <v>4.6635535420744167E-2</v>
      </c>
      <c r="F79" s="840">
        <v>4.6119496184403141E-2</v>
      </c>
      <c r="G79" s="666">
        <v>4.5303932925675694E-2</v>
      </c>
      <c r="H79" s="665"/>
    </row>
    <row r="80" spans="1:12" x14ac:dyDescent="0.2">
      <c r="A80" s="324" t="str">
        <f>$A$55</f>
        <v>CitiPower</v>
      </c>
      <c r="B80" s="325">
        <f>HLOOKUP($A$78,$D$78:$H$83,3,FALSE)</f>
        <v>4.2579429629849841E-2</v>
      </c>
      <c r="C80" s="299"/>
      <c r="D80" s="326">
        <v>4.6963445562191453E-2</v>
      </c>
      <c r="E80" s="724">
        <v>4.6365388308847733E-2</v>
      </c>
      <c r="F80" s="329">
        <v>4.5849482267400932E-2</v>
      </c>
      <c r="G80" s="666">
        <v>4.2579429629849841E-2</v>
      </c>
      <c r="H80" s="665"/>
    </row>
    <row r="81" spans="1:10" x14ac:dyDescent="0.2">
      <c r="A81" s="324" t="str">
        <f>$A$56</f>
        <v>Powercor</v>
      </c>
      <c r="B81" s="325">
        <f>HLOOKUP($A$78,$D$78:$H$83,4,FALSE)</f>
        <v>4.1582008638181511E-2</v>
      </c>
      <c r="C81" s="299"/>
      <c r="D81" s="326">
        <v>4.3470888279073527E-2</v>
      </c>
      <c r="E81" s="724">
        <v>4.2898285196230956E-2</v>
      </c>
      <c r="F81" s="329">
        <v>4.240106689588341E-2</v>
      </c>
      <c r="G81" s="666">
        <v>4.1582008638181511E-2</v>
      </c>
      <c r="H81" s="665"/>
    </row>
    <row r="82" spans="1:10" x14ac:dyDescent="0.2">
      <c r="A82" s="324" t="str">
        <f>$A$57</f>
        <v>AusNet Services</v>
      </c>
      <c r="B82" s="325">
        <f>HLOOKUP($A$78,$D$78:$H$83,5,FALSE)</f>
        <v>4.3779497233430886E-2</v>
      </c>
      <c r="C82" s="299"/>
      <c r="D82" s="326">
        <v>4.5338770460766176E-2</v>
      </c>
      <c r="E82" s="724">
        <v>4.4884194435220071E-2</v>
      </c>
      <c r="F82" s="329">
        <v>4.4635078632446534E-2</v>
      </c>
      <c r="G82" s="841">
        <v>4.3779497233430886E-2</v>
      </c>
      <c r="H82" s="665"/>
      <c r="I82" s="831"/>
    </row>
    <row r="83" spans="1:10" x14ac:dyDescent="0.2">
      <c r="A83" s="324" t="str">
        <f>$A$58</f>
        <v>United Energy</v>
      </c>
      <c r="B83" s="325">
        <f>HLOOKUP($A$78,$D$78:$H$83,6,FALSE)</f>
        <v>4.6107228153634994E-2</v>
      </c>
      <c r="C83" s="299"/>
      <c r="D83" s="326">
        <v>4.8191817712942786E-2</v>
      </c>
      <c r="E83" s="724">
        <v>4.7556495017062606E-2</v>
      </c>
      <c r="F83" s="329">
        <v>4.6985137877234795E-2</v>
      </c>
      <c r="G83" s="666">
        <v>4.6107228153634994E-2</v>
      </c>
      <c r="H83" s="665"/>
    </row>
    <row r="84" spans="1:10" x14ac:dyDescent="0.2">
      <c r="A84" s="324"/>
      <c r="B84" s="325"/>
      <c r="C84" s="299"/>
      <c r="D84" s="326"/>
      <c r="E84" s="327"/>
      <c r="F84" s="326"/>
      <c r="G84" s="327"/>
      <c r="H84" s="326"/>
    </row>
    <row r="85" spans="1:10" ht="13.5" thickBot="1" x14ac:dyDescent="0.25">
      <c r="A85" s="330" t="str">
        <f>"rptw (t) "&amp;C$5</f>
        <v>rptw (t) 2019</v>
      </c>
      <c r="B85" s="331">
        <f>VLOOKUP(C$3,A79:B83,2,FALSE)</f>
        <v>4.6107228153634994E-2</v>
      </c>
      <c r="C85" s="438" t="s">
        <v>400</v>
      </c>
      <c r="D85" s="332">
        <f>VLOOKUP($C$3,$A$79:$H$83,4,FALSE)</f>
        <v>4.8191817712942786E-2</v>
      </c>
      <c r="E85" s="333">
        <f>VLOOKUP($C$3,$A79:$H$83,5,FALSE)</f>
        <v>4.7556495017062606E-2</v>
      </c>
      <c r="F85" s="332">
        <f>VLOOKUP($C$3,$A$79:$H$83,6,FALSE)</f>
        <v>4.6985137877234795E-2</v>
      </c>
      <c r="G85" s="333">
        <f>VLOOKUP($C$3,$A$79:$H$83,7,FALSE)</f>
        <v>4.6107228153634994E-2</v>
      </c>
      <c r="H85" s="332">
        <f>VLOOKUP($C$3,$A$79:$H$83,8,FALSE)</f>
        <v>0</v>
      </c>
    </row>
    <row r="86" spans="1:10" x14ac:dyDescent="0.2">
      <c r="A86" s="355"/>
      <c r="B86" s="334"/>
      <c r="D86" s="354"/>
    </row>
    <row r="87" spans="1:10" x14ac:dyDescent="0.2">
      <c r="A87" s="335" t="str">
        <f>"rptw for "&amp;C$5-1</f>
        <v>rptw for 2018</v>
      </c>
      <c r="B87" s="356">
        <f>IF(C$5=2016,B$183,HLOOKUP($A87,D$78:H$85,8,FALSE))</f>
        <v>4.6985137877234795E-2</v>
      </c>
      <c r="C87" s="337" t="s">
        <v>371</v>
      </c>
      <c r="D87" s="354"/>
    </row>
    <row r="88" spans="1:10" x14ac:dyDescent="0.2">
      <c r="A88" s="324"/>
      <c r="B88" s="338"/>
      <c r="D88" s="354"/>
    </row>
    <row r="89" spans="1:10" ht="13.5" thickBot="1" x14ac:dyDescent="0.25">
      <c r="A89" s="339" t="str">
        <f>"rptw for "&amp;C$5-2</f>
        <v>rptw for 2017</v>
      </c>
      <c r="B89" s="357">
        <f>IF(OR(C$5=2016,C$5=2017),B$183,HLOOKUP($A89,D$78:H$85,8,FALSE))</f>
        <v>4.7556495017062606E-2</v>
      </c>
      <c r="C89" s="337" t="s">
        <v>372</v>
      </c>
      <c r="D89" s="354"/>
    </row>
    <row r="90" spans="1:10" x14ac:dyDescent="0.2">
      <c r="D90" s="354"/>
    </row>
    <row r="91" spans="1:10" x14ac:dyDescent="0.2">
      <c r="D91" s="354"/>
    </row>
    <row r="92" spans="1:10" ht="13.5" thickBot="1" x14ac:dyDescent="0.25">
      <c r="D92" s="354"/>
    </row>
    <row r="93" spans="1:10" x14ac:dyDescent="0.2">
      <c r="A93" s="358" t="s">
        <v>90</v>
      </c>
      <c r="B93" s="359">
        <f>$C$5</f>
        <v>2019</v>
      </c>
      <c r="C93" s="334"/>
      <c r="D93" s="360">
        <v>2016</v>
      </c>
      <c r="E93" s="361">
        <f>+D93+1</f>
        <v>2017</v>
      </c>
      <c r="F93" s="361">
        <f t="shared" ref="F93:H93" si="3">+E93+1</f>
        <v>2018</v>
      </c>
      <c r="G93" s="361">
        <f t="shared" si="3"/>
        <v>2019</v>
      </c>
      <c r="H93" s="361">
        <f t="shared" si="3"/>
        <v>2020</v>
      </c>
      <c r="I93" s="299"/>
      <c r="J93" s="299"/>
    </row>
    <row r="94" spans="1:10" x14ac:dyDescent="0.2">
      <c r="A94" s="324" t="str">
        <f>$A$54</f>
        <v>Jemena</v>
      </c>
      <c r="B94" s="362">
        <f>HLOOKUP($B$93,$D$93:$H$98,2,FALSE)</f>
        <v>117300</v>
      </c>
      <c r="C94" s="363"/>
      <c r="D94" s="364">
        <v>-680000</v>
      </c>
      <c r="E94" s="365">
        <v>70000</v>
      </c>
      <c r="F94" s="365">
        <v>655000</v>
      </c>
      <c r="G94" s="788">
        <v>117300</v>
      </c>
      <c r="H94" s="365"/>
      <c r="I94" s="299"/>
      <c r="J94" s="299"/>
    </row>
    <row r="95" spans="1:10" x14ac:dyDescent="0.2">
      <c r="A95" s="324" t="str">
        <f>$A$55</f>
        <v>CitiPower</v>
      </c>
      <c r="B95" s="362">
        <f>HLOOKUP($B$93,$D$93:$H$98,3,FALSE)</f>
        <v>43200</v>
      </c>
      <c r="C95" s="363"/>
      <c r="D95" s="364">
        <v>-15000</v>
      </c>
      <c r="E95" s="365">
        <v>410000</v>
      </c>
      <c r="F95" s="365">
        <v>140000</v>
      </c>
      <c r="G95" s="788">
        <v>43200</v>
      </c>
      <c r="H95" s="365"/>
      <c r="I95" s="299"/>
      <c r="J95" s="299"/>
    </row>
    <row r="96" spans="1:10" x14ac:dyDescent="0.2">
      <c r="A96" s="324" t="str">
        <f>$A$56</f>
        <v>Powercor</v>
      </c>
      <c r="B96" s="362">
        <f>HLOOKUP($B$93,$D$93:$H$98,4,FALSE)</f>
        <v>4639200</v>
      </c>
      <c r="C96" s="363"/>
      <c r="D96" s="364">
        <v>-1530000</v>
      </c>
      <c r="E96" s="365">
        <v>1420000</v>
      </c>
      <c r="F96" s="365">
        <v>1755000</v>
      </c>
      <c r="G96" s="788">
        <v>4639200</v>
      </c>
      <c r="H96" s="365"/>
      <c r="I96" s="299"/>
      <c r="J96" s="299"/>
    </row>
    <row r="97" spans="1:11" x14ac:dyDescent="0.2">
      <c r="A97" s="324" t="str">
        <f>$A$57</f>
        <v>AusNet Services</v>
      </c>
      <c r="B97" s="362">
        <f>HLOOKUP($B$93,$D$93:$H$98,5,FALSE)</f>
        <v>1485000</v>
      </c>
      <c r="C97" s="363"/>
      <c r="D97" s="364">
        <v>1870000</v>
      </c>
      <c r="E97" s="365">
        <v>3420000</v>
      </c>
      <c r="F97" s="365">
        <v>750000</v>
      </c>
      <c r="G97" s="788">
        <v>1485000</v>
      </c>
      <c r="H97" s="365"/>
      <c r="I97" s="299"/>
      <c r="J97" s="299"/>
    </row>
    <row r="98" spans="1:11" x14ac:dyDescent="0.2">
      <c r="A98" s="324" t="str">
        <f>$A$58</f>
        <v>United Energy</v>
      </c>
      <c r="B98" s="362">
        <f>HLOOKUP($B$93,$D$93:$H$98,6,FALSE)</f>
        <v>224400</v>
      </c>
      <c r="C98" s="363"/>
      <c r="D98" s="364">
        <v>-2245000</v>
      </c>
      <c r="E98" s="365">
        <v>555000</v>
      </c>
      <c r="F98" s="365">
        <v>1000000</v>
      </c>
      <c r="G98" s="788">
        <v>224400</v>
      </c>
      <c r="H98" s="365"/>
      <c r="I98" s="299"/>
      <c r="J98" s="299"/>
    </row>
    <row r="99" spans="1:11" x14ac:dyDescent="0.2">
      <c r="A99" s="324"/>
      <c r="B99" s="299"/>
      <c r="C99" s="363"/>
      <c r="D99" s="366"/>
      <c r="E99" s="325"/>
      <c r="F99" s="325"/>
      <c r="G99" s="325"/>
      <c r="H99" s="325"/>
      <c r="I99" s="299"/>
      <c r="J99" s="299"/>
    </row>
    <row r="100" spans="1:11" ht="13.5" thickBot="1" x14ac:dyDescent="0.25">
      <c r="A100" s="330" t="str">
        <f>"Ifactor (t) "&amp;C$5</f>
        <v>Ifactor (t) 2019</v>
      </c>
      <c r="B100" s="367">
        <f>VLOOKUP(C$3,A94:B98,2,FALSE)</f>
        <v>224400</v>
      </c>
      <c r="C100" s="368"/>
      <c r="D100" s="369">
        <f>VLOOKUP($C$3,$A$94:$H$98,4,FALSE)</f>
        <v>-2245000</v>
      </c>
      <c r="E100" s="370">
        <f>VLOOKUP($C$3,$A$94:$H$98,5,FALSE)</f>
        <v>555000</v>
      </c>
      <c r="F100" s="370">
        <f>VLOOKUP($C$3,$A$94:$H$98,6,FALSE)</f>
        <v>1000000</v>
      </c>
      <c r="G100" s="370">
        <f>VLOOKUP($C$3,$A$94:$H$98,7,FALSE)</f>
        <v>224400</v>
      </c>
      <c r="H100" s="370">
        <f>VLOOKUP($C$3,$A$94:$H$98,8,FALSE)</f>
        <v>0</v>
      </c>
      <c r="I100" s="299"/>
      <c r="J100" s="299"/>
    </row>
    <row r="101" spans="1:11" x14ac:dyDescent="0.2">
      <c r="D101" s="354"/>
    </row>
    <row r="102" spans="1:11" x14ac:dyDescent="0.2">
      <c r="D102" s="354"/>
    </row>
    <row r="103" spans="1:11" ht="13.5" thickBot="1" x14ac:dyDescent="0.25">
      <c r="D103" s="354"/>
    </row>
    <row r="104" spans="1:11" x14ac:dyDescent="0.2">
      <c r="A104" s="358" t="s">
        <v>462</v>
      </c>
      <c r="B104" s="359">
        <f>$C$5</f>
        <v>2019</v>
      </c>
      <c r="C104" s="334"/>
      <c r="D104" s="360">
        <v>2016</v>
      </c>
      <c r="E104" s="361">
        <f>+D104+1</f>
        <v>2017</v>
      </c>
      <c r="F104" s="361">
        <f t="shared" ref="F104:H104" si="4">+E104+1</f>
        <v>2018</v>
      </c>
      <c r="G104" s="361">
        <f t="shared" si="4"/>
        <v>2019</v>
      </c>
      <c r="H104" s="361">
        <f t="shared" si="4"/>
        <v>2020</v>
      </c>
      <c r="I104" s="299"/>
      <c r="J104" s="299"/>
    </row>
    <row r="105" spans="1:11" x14ac:dyDescent="0.2">
      <c r="A105" s="324" t="str">
        <f>$A$54</f>
        <v>Jemena</v>
      </c>
      <c r="B105" s="618">
        <f>HLOOKUP($B$104,$D$104:$H$109,2,FALSE)</f>
        <v>6.9506796510601099E-3</v>
      </c>
      <c r="C105" s="363"/>
      <c r="D105" s="619">
        <v>3.997406405685925E-2</v>
      </c>
      <c r="E105" s="620">
        <v>1.4883104689629834E-2</v>
      </c>
      <c r="F105" s="620">
        <v>-3.9711537226499671E-2</v>
      </c>
      <c r="G105" s="789">
        <v>6.9506796510601099E-3</v>
      </c>
      <c r="H105" s="620"/>
      <c r="I105" s="299"/>
      <c r="J105" s="299"/>
      <c r="K105" s="759"/>
    </row>
    <row r="106" spans="1:11" x14ac:dyDescent="0.2">
      <c r="A106" s="324" t="str">
        <f>$A$55</f>
        <v>CitiPower</v>
      </c>
      <c r="B106" s="618">
        <f>HLOOKUP($B$104,$D$104:$H$109,3,FALSE)</f>
        <v>3.8300221230480602E-3</v>
      </c>
      <c r="C106" s="363"/>
      <c r="D106" s="619">
        <v>-1.2687890034873129E-2</v>
      </c>
      <c r="E106" s="620">
        <v>4.0321456836540648E-3</v>
      </c>
      <c r="F106" s="620">
        <v>1.8570526636221274E-2</v>
      </c>
      <c r="G106" s="789">
        <v>3.8300221230480602E-3</v>
      </c>
      <c r="H106" s="620"/>
      <c r="I106" s="299"/>
      <c r="J106" s="299"/>
      <c r="K106" s="759"/>
    </row>
    <row r="107" spans="1:11" x14ac:dyDescent="0.2">
      <c r="A107" s="324" t="str">
        <f>$A$56</f>
        <v>Powercor</v>
      </c>
      <c r="B107" s="618">
        <f>HLOOKUP($B$104,$D$104:$H$109,4,FALSE)</f>
        <v>2.5212739324660394E-2</v>
      </c>
      <c r="C107" s="363"/>
      <c r="D107" s="619">
        <v>-1.184910821327374E-2</v>
      </c>
      <c r="E107" s="620">
        <v>5.1006485422781411E-2</v>
      </c>
      <c r="F107" s="620">
        <v>-1.3841682273256106E-2</v>
      </c>
      <c r="G107" s="789">
        <v>2.5212739324660394E-2</v>
      </c>
      <c r="H107" s="620"/>
      <c r="I107" s="299"/>
      <c r="J107" s="299"/>
      <c r="K107" s="759"/>
    </row>
    <row r="108" spans="1:11" x14ac:dyDescent="0.2">
      <c r="A108" s="324" t="str">
        <f>$A$57</f>
        <v>AusNet Services</v>
      </c>
      <c r="B108" s="618">
        <f>HLOOKUP($B$104,$D$104:$H$109,5,FALSE)</f>
        <v>3.0147907486967496E-2</v>
      </c>
      <c r="C108" s="363"/>
      <c r="D108" s="619">
        <v>3.3573974889361931E-2</v>
      </c>
      <c r="E108" s="620">
        <v>3.2178765868161374E-2</v>
      </c>
      <c r="F108" s="620">
        <v>-6.3433641222553572E-2</v>
      </c>
      <c r="G108" s="789">
        <v>3.0147907486967496E-2</v>
      </c>
      <c r="H108" s="620"/>
      <c r="I108" s="299"/>
      <c r="J108" s="299"/>
      <c r="K108" s="759"/>
    </row>
    <row r="109" spans="1:11" x14ac:dyDescent="0.2">
      <c r="A109" s="324" t="str">
        <f>$A$58</f>
        <v>United Energy</v>
      </c>
      <c r="B109" s="618">
        <f>HLOOKUP($B$104,$D$104:$H$109,6,FALSE)</f>
        <v>1.6824143991347684E-2</v>
      </c>
      <c r="C109" s="363"/>
      <c r="D109" s="619">
        <v>-2.9478704479005153E-2</v>
      </c>
      <c r="E109" s="620">
        <v>2.8366723271978866E-2</v>
      </c>
      <c r="F109" s="620">
        <v>2.2767038821999375E-2</v>
      </c>
      <c r="G109" s="789">
        <v>1.6824143991347684E-2</v>
      </c>
      <c r="H109" s="620"/>
      <c r="I109" s="299"/>
      <c r="J109" s="299"/>
      <c r="K109" s="759"/>
    </row>
    <row r="110" spans="1:11" x14ac:dyDescent="0.2">
      <c r="A110" s="324"/>
      <c r="B110" s="621"/>
      <c r="C110" s="363"/>
      <c r="D110" s="366"/>
      <c r="E110" s="325"/>
      <c r="F110" s="325"/>
      <c r="G110" s="325"/>
      <c r="H110" s="325"/>
      <c r="I110" s="299"/>
      <c r="J110" s="299"/>
      <c r="K110" s="621"/>
    </row>
    <row r="111" spans="1:11" ht="13.5" thickBot="1" x14ac:dyDescent="0.25">
      <c r="A111" s="330" t="str">
        <f>"S factor (t) "&amp;C$5</f>
        <v>S factor (t) 2019</v>
      </c>
      <c r="B111" s="622">
        <f>VLOOKUP(C$3,A105:B109,2,FALSE)</f>
        <v>1.6824143991347684E-2</v>
      </c>
      <c r="C111" s="368"/>
      <c r="D111" s="623">
        <f>VLOOKUP($C$3,$A$105:$H$109,4,FALSE)</f>
        <v>-2.9478704479005153E-2</v>
      </c>
      <c r="E111" s="357">
        <f>VLOOKUP($C$3,$A$105:$H$109,5,FALSE)</f>
        <v>2.8366723271978866E-2</v>
      </c>
      <c r="F111" s="357">
        <f>VLOOKUP($C$3,$A$105:$H$109,6,FALSE)</f>
        <v>2.2767038821999375E-2</v>
      </c>
      <c r="G111" s="357">
        <f>VLOOKUP($C$3,$A$105:$H$109,7,FALSE)</f>
        <v>1.6824143991347684E-2</v>
      </c>
      <c r="H111" s="357">
        <f>VLOOKUP($C$3,$A$105:$H$109,8,FALSE)</f>
        <v>0</v>
      </c>
      <c r="I111" s="299"/>
      <c r="J111" s="299"/>
      <c r="K111" s="621"/>
    </row>
    <row r="112" spans="1:11" x14ac:dyDescent="0.2">
      <c r="D112" s="354"/>
    </row>
    <row r="113" spans="1:8" x14ac:dyDescent="0.2">
      <c r="D113" s="354"/>
    </row>
    <row r="114" spans="1:8" ht="13.5" thickBot="1" x14ac:dyDescent="0.25">
      <c r="D114" s="354"/>
    </row>
    <row r="115" spans="1:8" x14ac:dyDescent="0.2">
      <c r="A115" s="358" t="s">
        <v>373</v>
      </c>
      <c r="B115" s="359">
        <f>$C$5</f>
        <v>2019</v>
      </c>
      <c r="C115" s="334"/>
      <c r="D115" s="360">
        <v>2016</v>
      </c>
      <c r="E115" s="361">
        <f>+D115+1</f>
        <v>2017</v>
      </c>
      <c r="F115" s="361">
        <f t="shared" ref="F115:H115" si="5">+E115+1</f>
        <v>2018</v>
      </c>
      <c r="G115" s="361">
        <f t="shared" si="5"/>
        <v>2019</v>
      </c>
      <c r="H115" s="361">
        <f t="shared" si="5"/>
        <v>2020</v>
      </c>
    </row>
    <row r="116" spans="1:8" x14ac:dyDescent="0.2">
      <c r="A116" s="324" t="str">
        <f>$A$54</f>
        <v>Jemena</v>
      </c>
      <c r="B116" s="362">
        <f>HLOOKUP($B$115,$D$115:$H$120,2,FALSE)</f>
        <v>0</v>
      </c>
      <c r="C116" s="363"/>
      <c r="D116" s="364">
        <v>0</v>
      </c>
      <c r="E116" s="365">
        <v>0</v>
      </c>
      <c r="F116" s="365">
        <v>0</v>
      </c>
      <c r="G116" s="788">
        <v>0</v>
      </c>
      <c r="H116" s="365"/>
    </row>
    <row r="117" spans="1:8" x14ac:dyDescent="0.2">
      <c r="A117" s="324" t="str">
        <f>$A$55</f>
        <v>CitiPower</v>
      </c>
      <c r="B117" s="362">
        <f>HLOOKUP($B$115,$D$115:$H$120,3,FALSE)</f>
        <v>0</v>
      </c>
      <c r="C117" s="363"/>
      <c r="D117" s="364">
        <v>0</v>
      </c>
      <c r="E117" s="365">
        <v>0</v>
      </c>
      <c r="F117" s="365">
        <v>0</v>
      </c>
      <c r="G117" s="788">
        <v>0</v>
      </c>
      <c r="H117" s="365"/>
    </row>
    <row r="118" spans="1:8" x14ac:dyDescent="0.2">
      <c r="A118" s="324" t="str">
        <f>$A$56</f>
        <v>Powercor</v>
      </c>
      <c r="B118" s="362">
        <f>HLOOKUP($B$115,$D$115:$H$120,4,FALSE)</f>
        <v>0</v>
      </c>
      <c r="C118" s="363"/>
      <c r="D118" s="364">
        <v>0</v>
      </c>
      <c r="E118" s="365">
        <v>0</v>
      </c>
      <c r="F118" s="365">
        <v>0</v>
      </c>
      <c r="G118" s="788">
        <v>0</v>
      </c>
      <c r="H118" s="365"/>
    </row>
    <row r="119" spans="1:8" x14ac:dyDescent="0.2">
      <c r="A119" s="617" t="str">
        <f>$A$57</f>
        <v>AusNet Services</v>
      </c>
      <c r="B119" s="362">
        <f>HLOOKUP($B$115,$D$115:$H$120,5,FALSE)</f>
        <v>0</v>
      </c>
      <c r="C119" s="363"/>
      <c r="D119" s="613">
        <f>-(5723000*(1+0.0975))</f>
        <v>-6280992.5</v>
      </c>
      <c r="E119" s="365">
        <v>0</v>
      </c>
      <c r="F119" s="365">
        <v>0</v>
      </c>
      <c r="G119" s="788">
        <v>0</v>
      </c>
      <c r="H119" s="365"/>
    </row>
    <row r="120" spans="1:8" x14ac:dyDescent="0.2">
      <c r="A120" s="324" t="str">
        <f>$A$58</f>
        <v>United Energy</v>
      </c>
      <c r="B120" s="362">
        <f>HLOOKUP($B$115,$D$115:$H$120,6,FALSE)</f>
        <v>0</v>
      </c>
      <c r="C120" s="363"/>
      <c r="D120" s="364">
        <v>0</v>
      </c>
      <c r="E120" s="365">
        <v>0</v>
      </c>
      <c r="F120" s="365">
        <v>0</v>
      </c>
      <c r="G120" s="788">
        <v>0</v>
      </c>
      <c r="H120" s="365"/>
    </row>
    <row r="121" spans="1:8" x14ac:dyDescent="0.2">
      <c r="A121" s="324"/>
      <c r="B121" s="299"/>
      <c r="C121" s="363"/>
      <c r="D121" s="366"/>
      <c r="E121" s="325"/>
      <c r="F121" s="325"/>
      <c r="G121" s="325"/>
      <c r="H121" s="325"/>
    </row>
    <row r="122" spans="1:8" ht="13.5" thickBot="1" x14ac:dyDescent="0.25">
      <c r="A122" s="351" t="str">
        <f>"Pass through amounts (t) "&amp;C$5</f>
        <v>Pass through amounts (t) 2019</v>
      </c>
      <c r="B122" s="367">
        <f>VLOOKUP(C$3,A116:B120,2,FALSE)</f>
        <v>0</v>
      </c>
      <c r="C122" s="368"/>
      <c r="D122" s="369">
        <f>VLOOKUP($C$3,$A$116:$H$120,4,FALSE)</f>
        <v>0</v>
      </c>
      <c r="E122" s="370">
        <f>VLOOKUP($C$3,$A$116:$H$120,5,FALSE)</f>
        <v>0</v>
      </c>
      <c r="F122" s="370">
        <f>VLOOKUP($C$3,$A$116:$H$120,6,FALSE)</f>
        <v>0</v>
      </c>
      <c r="G122" s="370">
        <f>VLOOKUP($C$3,$A$116:$H$120,7,FALSE)</f>
        <v>0</v>
      </c>
      <c r="H122" s="370">
        <f>VLOOKUP($C$3,$A$116:$H$120,8,FALSE)</f>
        <v>0</v>
      </c>
    </row>
    <row r="123" spans="1:8" x14ac:dyDescent="0.2">
      <c r="D123" s="354"/>
    </row>
    <row r="124" spans="1:8" x14ac:dyDescent="0.2">
      <c r="D124" s="354"/>
    </row>
    <row r="125" spans="1:8" ht="13.5" thickBot="1" x14ac:dyDescent="0.25">
      <c r="D125" s="354"/>
    </row>
    <row r="126" spans="1:8" x14ac:dyDescent="0.2">
      <c r="A126" s="358" t="s">
        <v>461</v>
      </c>
      <c r="B126" s="359">
        <f>$C$5</f>
        <v>2019</v>
      </c>
      <c r="C126" s="334"/>
      <c r="D126" s="360">
        <v>2016</v>
      </c>
      <c r="E126" s="361">
        <f>+D126+1</f>
        <v>2017</v>
      </c>
      <c r="F126" s="361">
        <f t="shared" ref="F126:H126" si="6">+E126+1</f>
        <v>2018</v>
      </c>
      <c r="G126" s="361">
        <f t="shared" si="6"/>
        <v>2019</v>
      </c>
      <c r="H126" s="361">
        <f t="shared" si="6"/>
        <v>2020</v>
      </c>
    </row>
    <row r="127" spans="1:8" x14ac:dyDescent="0.2">
      <c r="A127" s="324" t="str">
        <f>$A$54</f>
        <v>Jemena</v>
      </c>
      <c r="B127" s="362">
        <f>HLOOKUP($B$126,$D$126:$H$131,2,FALSE)</f>
        <v>77350</v>
      </c>
      <c r="C127" s="363"/>
      <c r="D127" s="364">
        <v>36033</v>
      </c>
      <c r="E127" s="365">
        <v>39516</v>
      </c>
      <c r="F127" s="365">
        <v>76545</v>
      </c>
      <c r="G127" s="365">
        <v>77350</v>
      </c>
      <c r="H127" s="365"/>
    </row>
    <row r="128" spans="1:8" x14ac:dyDescent="0.2">
      <c r="A128" s="324" t="str">
        <f>$A$55</f>
        <v>CitiPower</v>
      </c>
      <c r="B128" s="362">
        <f>HLOOKUP($B$126,$D$126:$H$131,3,FALSE)</f>
        <v>78912</v>
      </c>
      <c r="C128" s="363"/>
      <c r="D128" s="364">
        <v>36475</v>
      </c>
      <c r="E128" s="365">
        <v>40445</v>
      </c>
      <c r="F128" s="365">
        <v>78091</v>
      </c>
      <c r="G128" s="365">
        <v>78912</v>
      </c>
      <c r="H128" s="365"/>
    </row>
    <row r="129" spans="1:8" x14ac:dyDescent="0.2">
      <c r="A129" s="324" t="str">
        <f>$A$56</f>
        <v>Powercor</v>
      </c>
      <c r="B129" s="362">
        <f>HLOOKUP($B$126,$D$126:$H$131,4,FALSE)</f>
        <v>187026</v>
      </c>
      <c r="C129" s="363"/>
      <c r="D129" s="364">
        <v>85205</v>
      </c>
      <c r="E129" s="365">
        <v>94964</v>
      </c>
      <c r="F129" s="365">
        <v>185081</v>
      </c>
      <c r="G129" s="365">
        <v>187026</v>
      </c>
      <c r="H129" s="365"/>
    </row>
    <row r="130" spans="1:8" x14ac:dyDescent="0.2">
      <c r="A130" s="617" t="str">
        <f>$A$57</f>
        <v>AusNet Services</v>
      </c>
      <c r="B130" s="362">
        <f>HLOOKUP($B$126,$D$126:$H$131,5,FALSE)</f>
        <v>170003</v>
      </c>
      <c r="C130" s="363"/>
      <c r="D130" s="613">
        <v>74811</v>
      </c>
      <c r="E130" s="365">
        <v>85031</v>
      </c>
      <c r="F130" s="365">
        <v>168235</v>
      </c>
      <c r="G130" s="365">
        <v>170003</v>
      </c>
      <c r="H130" s="365"/>
    </row>
    <row r="131" spans="1:8" x14ac:dyDescent="0.2">
      <c r="A131" s="324" t="str">
        <f>$A$58</f>
        <v>United Energy</v>
      </c>
      <c r="B131" s="362">
        <f>HLOOKUP($B$126,$D$126:$H$131,6,FALSE)</f>
        <v>159925</v>
      </c>
      <c r="C131" s="363"/>
      <c r="D131" s="364">
        <v>74197</v>
      </c>
      <c r="E131" s="365">
        <v>81712</v>
      </c>
      <c r="F131" s="365">
        <v>158262</v>
      </c>
      <c r="G131" s="365">
        <v>159925</v>
      </c>
      <c r="H131" s="365"/>
    </row>
    <row r="132" spans="1:8" x14ac:dyDescent="0.2">
      <c r="A132" s="324"/>
      <c r="B132" s="299"/>
      <c r="C132" s="363"/>
      <c r="D132" s="366"/>
      <c r="E132" s="325"/>
      <c r="F132" s="325"/>
      <c r="G132" s="325"/>
      <c r="H132" s="325"/>
    </row>
    <row r="133" spans="1:8" ht="13.5" thickBot="1" x14ac:dyDescent="0.25">
      <c r="A133" s="351" t="str">
        <f>"Licence Fee (t-1) "&amp;TEXT(C$5-2,"####")&amp;"-"&amp;RIGHT(TEXT(C$5-1,"##"),2)</f>
        <v>Licence Fee (t-1) 2017-18</v>
      </c>
      <c r="B133" s="367">
        <f>VLOOKUP(C$3,A127:B131,2,FALSE)</f>
        <v>159925</v>
      </c>
      <c r="C133" s="368"/>
      <c r="D133" s="369">
        <f>VLOOKUP($C$3,$A$127:$H$131,4,FALSE)</f>
        <v>74197</v>
      </c>
      <c r="E133" s="370">
        <f>VLOOKUP($C$3,$A$127:$H$131,5,FALSE)</f>
        <v>81712</v>
      </c>
      <c r="F133" s="370">
        <f>VLOOKUP($C$3,$A$127:$H$131,6,FALSE)</f>
        <v>158262</v>
      </c>
      <c r="G133" s="370">
        <f>VLOOKUP($C$3,$A$127:$H$131,7,FALSE)</f>
        <v>159925</v>
      </c>
      <c r="H133" s="370">
        <f>VLOOKUP($C$3,$A$127:$H$131,8,FALSE)</f>
        <v>0</v>
      </c>
    </row>
    <row r="134" spans="1:8" x14ac:dyDescent="0.2">
      <c r="D134" s="354"/>
    </row>
    <row r="135" spans="1:8" x14ac:dyDescent="0.2">
      <c r="D135" s="354"/>
    </row>
    <row r="136" spans="1:8" ht="13.5" thickBot="1" x14ac:dyDescent="0.25">
      <c r="D136" s="354"/>
    </row>
    <row r="137" spans="1:8" x14ac:dyDescent="0.2">
      <c r="A137" s="358" t="s">
        <v>578</v>
      </c>
      <c r="B137" s="359">
        <f>$C$5</f>
        <v>2019</v>
      </c>
      <c r="C137" s="334"/>
      <c r="D137" s="360">
        <v>2016</v>
      </c>
      <c r="E137" s="361">
        <f>+D137+1</f>
        <v>2017</v>
      </c>
      <c r="F137" s="361">
        <f t="shared" ref="F137:H137" si="7">+E137+1</f>
        <v>2018</v>
      </c>
      <c r="G137" s="361">
        <f t="shared" si="7"/>
        <v>2019</v>
      </c>
      <c r="H137" s="361">
        <f t="shared" si="7"/>
        <v>2020</v>
      </c>
    </row>
    <row r="138" spans="1:8" x14ac:dyDescent="0.2">
      <c r="A138" s="324" t="str">
        <f>$A$54</f>
        <v>Jemena</v>
      </c>
      <c r="B138" s="362">
        <f>HLOOKUP($B$137,$D$137:$H$142,2,FALSE)</f>
        <v>0</v>
      </c>
      <c r="C138" s="363"/>
      <c r="D138" s="667"/>
      <c r="E138" s="668">
        <f>H154</f>
        <v>-91239.844462589012</v>
      </c>
      <c r="F138" s="669"/>
      <c r="G138" s="669"/>
      <c r="H138" s="669"/>
    </row>
    <row r="139" spans="1:8" x14ac:dyDescent="0.2">
      <c r="A139" s="324" t="str">
        <f>$A$55</f>
        <v>CitiPower</v>
      </c>
      <c r="B139" s="362">
        <f>HLOOKUP($B$137,$D$137:$H$142,3,FALSE)</f>
        <v>0</v>
      </c>
      <c r="C139" s="363"/>
      <c r="D139" s="667"/>
      <c r="E139" s="669"/>
      <c r="F139" s="669"/>
      <c r="G139" s="669"/>
      <c r="H139" s="669"/>
    </row>
    <row r="140" spans="1:8" x14ac:dyDescent="0.2">
      <c r="A140" s="324" t="str">
        <f>$A$56</f>
        <v>Powercor</v>
      </c>
      <c r="B140" s="362">
        <f>HLOOKUP($B$137,$D$137:$H$142,4,FALSE)</f>
        <v>0</v>
      </c>
      <c r="C140" s="363"/>
      <c r="D140" s="667"/>
      <c r="E140" s="669"/>
      <c r="F140" s="669"/>
      <c r="G140" s="669"/>
      <c r="H140" s="669"/>
    </row>
    <row r="141" spans="1:8" x14ac:dyDescent="0.2">
      <c r="A141" s="617" t="str">
        <f>$A$57</f>
        <v>AusNet Services</v>
      </c>
      <c r="B141" s="362">
        <f>HLOOKUP($B$137,$D$137:$H$142,5,FALSE)</f>
        <v>0</v>
      </c>
      <c r="C141" s="363"/>
      <c r="D141" s="667"/>
      <c r="E141" s="669"/>
      <c r="F141" s="669"/>
      <c r="G141" s="669"/>
      <c r="H141" s="669"/>
    </row>
    <row r="142" spans="1:8" x14ac:dyDescent="0.2">
      <c r="A142" s="324" t="str">
        <f>$A$58</f>
        <v>United Energy</v>
      </c>
      <c r="B142" s="362">
        <f>HLOOKUP($B$137,$D$137:$H$142,6,FALSE)</f>
        <v>0</v>
      </c>
      <c r="C142" s="363"/>
      <c r="D142" s="667"/>
      <c r="E142" s="365">
        <f>H163</f>
        <v>-479660.69376433094</v>
      </c>
      <c r="F142" s="669"/>
      <c r="G142" s="669"/>
      <c r="H142" s="669"/>
    </row>
    <row r="143" spans="1:8" x14ac:dyDescent="0.2">
      <c r="A143" s="324"/>
      <c r="B143" s="299"/>
      <c r="C143" s="363"/>
      <c r="D143" s="366"/>
      <c r="E143" s="325"/>
      <c r="F143" s="325"/>
      <c r="G143" s="325"/>
      <c r="H143" s="325"/>
    </row>
    <row r="144" spans="1:8" ht="13.5" thickBot="1" x14ac:dyDescent="0.25">
      <c r="A144" s="330" t="str">
        <f>"T factor (t) "&amp;C$5</f>
        <v>T factor (t) 2019</v>
      </c>
      <c r="B144" s="367">
        <f>VLOOKUP(C$3,A138:B142,2,FALSE)</f>
        <v>0</v>
      </c>
      <c r="C144" s="368"/>
      <c r="D144" s="369">
        <f>VLOOKUP($C$3,$A$138:$H$142,4,FALSE)</f>
        <v>0</v>
      </c>
      <c r="E144" s="370">
        <f>VLOOKUP($C$3,$A$138:$H$142,5,FALSE)</f>
        <v>-479660.69376433094</v>
      </c>
      <c r="F144" s="370">
        <f>VLOOKUP($C$3,$A$138:$H$142,6,FALSE)</f>
        <v>0</v>
      </c>
      <c r="G144" s="370">
        <f>VLOOKUP($C$3,$A$138:$H$142,7,FALSE)</f>
        <v>0</v>
      </c>
      <c r="H144" s="370">
        <f>VLOOKUP($C$3,$A$138:$H$142,8,FALSE)</f>
        <v>0</v>
      </c>
    </row>
    <row r="145" spans="1:13" x14ac:dyDescent="0.2">
      <c r="D145" s="354"/>
    </row>
    <row r="146" spans="1:13" x14ac:dyDescent="0.2">
      <c r="D146" s="354"/>
    </row>
    <row r="147" spans="1:13" ht="15" x14ac:dyDescent="0.25">
      <c r="A147" s="670" t="s">
        <v>578</v>
      </c>
      <c r="B147" s="299"/>
      <c r="C147" s="299"/>
      <c r="D147" s="431"/>
      <c r="E147" s="299"/>
      <c r="F147" s="299"/>
      <c r="G147" s="299"/>
      <c r="H147" s="299"/>
      <c r="I147" s="299"/>
      <c r="J147" s="299"/>
      <c r="K147" s="299"/>
      <c r="L147" s="299"/>
      <c r="M147" s="299"/>
    </row>
    <row r="148" spans="1:13" ht="15" x14ac:dyDescent="0.25">
      <c r="A148" s="671" t="s">
        <v>82</v>
      </c>
      <c r="B148" s="404"/>
      <c r="C148" s="672" t="s">
        <v>579</v>
      </c>
      <c r="D148" s="673">
        <v>2016</v>
      </c>
      <c r="E148" s="673">
        <v>2017</v>
      </c>
      <c r="F148" s="674"/>
      <c r="G148" s="674"/>
      <c r="H148" s="675"/>
      <c r="J148" s="299"/>
      <c r="K148" s="299"/>
      <c r="L148" s="299"/>
      <c r="M148" s="299"/>
    </row>
    <row r="149" spans="1:13" ht="15" x14ac:dyDescent="0.25">
      <c r="A149" s="676" t="s">
        <v>580</v>
      </c>
      <c r="B149" s="299"/>
      <c r="C149" s="677"/>
      <c r="D149" s="678">
        <v>2.3230798209937155E-2</v>
      </c>
      <c r="E149" s="678">
        <v>2.3230798209937155E-2</v>
      </c>
      <c r="F149" s="679"/>
      <c r="G149" s="679"/>
      <c r="H149" s="680"/>
      <c r="J149" s="299"/>
      <c r="K149" s="299"/>
      <c r="L149" s="299"/>
      <c r="M149" s="299"/>
    </row>
    <row r="150" spans="1:13" ht="15" x14ac:dyDescent="0.25">
      <c r="A150" s="681" t="s">
        <v>581</v>
      </c>
      <c r="B150" s="299"/>
      <c r="C150" s="678">
        <v>0.1033058647680111</v>
      </c>
      <c r="D150" s="682">
        <f>(1+D149)*(1+D37)-1</f>
        <v>6.3473062354247878E-2</v>
      </c>
      <c r="E150" s="682">
        <f>(1+E149)*(1+E37)-1</f>
        <v>6.2861111753533594E-2</v>
      </c>
      <c r="F150" s="679"/>
      <c r="G150" s="679"/>
      <c r="H150" s="680"/>
      <c r="J150" s="299"/>
      <c r="K150" s="299"/>
      <c r="L150" s="299"/>
      <c r="M150" s="299"/>
    </row>
    <row r="151" spans="1:13" x14ac:dyDescent="0.2">
      <c r="A151" s="681"/>
      <c r="B151" s="299"/>
      <c r="C151" s="679"/>
      <c r="D151" s="679"/>
      <c r="E151" s="679"/>
      <c r="F151" s="679"/>
      <c r="G151" s="679"/>
      <c r="H151" s="680"/>
      <c r="J151" s="299"/>
      <c r="K151" s="299"/>
      <c r="L151" s="299"/>
      <c r="M151" s="299"/>
    </row>
    <row r="152" spans="1:13" ht="15" x14ac:dyDescent="0.25">
      <c r="A152" s="681"/>
      <c r="B152" s="299"/>
      <c r="C152" s="673">
        <v>2011</v>
      </c>
      <c r="D152" s="673">
        <v>2012</v>
      </c>
      <c r="E152" s="673">
        <v>2013</v>
      </c>
      <c r="F152" s="673">
        <v>2014</v>
      </c>
      <c r="G152" s="673">
        <v>2015</v>
      </c>
      <c r="H152" s="683" t="s">
        <v>122</v>
      </c>
      <c r="J152" s="299"/>
      <c r="K152" s="299"/>
      <c r="L152" s="299"/>
      <c r="M152" s="299"/>
    </row>
    <row r="153" spans="1:13" ht="15" x14ac:dyDescent="0.25">
      <c r="A153" s="681" t="s">
        <v>582</v>
      </c>
      <c r="B153" s="299"/>
      <c r="C153" s="684">
        <v>-263938</v>
      </c>
      <c r="D153" s="684">
        <v>-16375.399999999965</v>
      </c>
      <c r="E153" s="684">
        <v>163676.67136000004</v>
      </c>
      <c r="F153" s="684">
        <v>153066.62606841602</v>
      </c>
      <c r="G153" s="684">
        <v>125690.58545944223</v>
      </c>
      <c r="H153" s="685">
        <f>SUM(C153:G153)</f>
        <v>162120.48288785832</v>
      </c>
      <c r="J153" s="299"/>
      <c r="K153" s="299"/>
      <c r="L153" s="299"/>
      <c r="M153" s="299"/>
    </row>
    <row r="154" spans="1:13" ht="15" x14ac:dyDescent="0.25">
      <c r="A154" s="681" t="s">
        <v>578</v>
      </c>
      <c r="B154" s="299"/>
      <c r="C154" s="686">
        <f>0-(C153/(1+$C150))*(1+$C150)^5*(1+$D150)*(1+$E150)</f>
        <v>442067.55283107725</v>
      </c>
      <c r="D154" s="686">
        <f>C154-(D153/(1+$C150))*(1+$C150)^4*(1+$D150)*(1+$E150)</f>
        <v>466926.49868923979</v>
      </c>
      <c r="E154" s="686">
        <f>D154-(E153/(1+$C150))*(1+$C150)^3*(1+$D150)*(1+$E150)</f>
        <v>241719.62134028116</v>
      </c>
      <c r="F154" s="686">
        <f>E154-(F153/(1+$C150))*(1+$C150)^2*(1+$D150)*(1+$E150)</f>
        <v>50831.261139433307</v>
      </c>
      <c r="G154" s="686">
        <f>F154-(G153/(1+$C150))*(1+$C150)^1*(1+$D150)*(1+$E150)</f>
        <v>-91239.844462589012</v>
      </c>
      <c r="H154" s="687">
        <f>G154</f>
        <v>-91239.844462589012</v>
      </c>
      <c r="J154" s="688"/>
      <c r="K154" s="299"/>
      <c r="L154" s="299"/>
      <c r="M154" s="299"/>
    </row>
    <row r="155" spans="1:13" ht="15" x14ac:dyDescent="0.25">
      <c r="A155" s="689"/>
      <c r="B155" s="423"/>
      <c r="C155" s="690"/>
      <c r="D155" s="691"/>
      <c r="E155" s="691"/>
      <c r="F155" s="691"/>
      <c r="G155" s="692"/>
      <c r="H155" s="693"/>
      <c r="J155" s="299"/>
      <c r="K155" s="299"/>
      <c r="L155" s="299"/>
      <c r="M155" s="299"/>
    </row>
    <row r="156" spans="1:13" x14ac:dyDescent="0.2">
      <c r="A156" s="681"/>
      <c r="B156" s="299"/>
      <c r="C156" s="431"/>
      <c r="D156" s="299"/>
      <c r="E156" s="299"/>
      <c r="F156" s="299"/>
      <c r="G156" s="299"/>
      <c r="H156" s="299"/>
      <c r="J156" s="299"/>
      <c r="K156" s="299"/>
      <c r="L156" s="299"/>
      <c r="M156" s="299"/>
    </row>
    <row r="157" spans="1:13" ht="15" x14ac:dyDescent="0.25">
      <c r="A157" s="671" t="s">
        <v>583</v>
      </c>
      <c r="B157" s="404"/>
      <c r="C157" s="672" t="s">
        <v>579</v>
      </c>
      <c r="D157" s="673">
        <v>2016</v>
      </c>
      <c r="E157" s="673">
        <v>2017</v>
      </c>
      <c r="F157" s="674"/>
      <c r="G157" s="674"/>
      <c r="H157" s="675"/>
      <c r="J157" s="299"/>
      <c r="K157" s="299"/>
      <c r="L157" s="299"/>
      <c r="M157" s="299"/>
    </row>
    <row r="158" spans="1:13" ht="15" x14ac:dyDescent="0.25">
      <c r="A158" s="676" t="s">
        <v>580</v>
      </c>
      <c r="B158" s="299"/>
      <c r="C158" s="677"/>
      <c r="D158" s="678">
        <v>2.3230798209937155E-2</v>
      </c>
      <c r="E158" s="678">
        <v>2.3230798209937155E-2</v>
      </c>
      <c r="F158" s="679"/>
      <c r="G158" s="679"/>
      <c r="H158" s="680"/>
      <c r="J158" s="299"/>
      <c r="K158" s="299"/>
      <c r="L158" s="299"/>
      <c r="M158" s="299"/>
    </row>
    <row r="159" spans="1:13" ht="15" x14ac:dyDescent="0.25">
      <c r="A159" s="681" t="s">
        <v>581</v>
      </c>
      <c r="B159" s="299"/>
      <c r="C159" s="678">
        <v>9.4897728819182986E-2</v>
      </c>
      <c r="D159" s="682">
        <f>(1+D158)*(1+D41)-1</f>
        <v>6.3474660327336396E-2</v>
      </c>
      <c r="E159" s="682">
        <f>(1+E158)*(1+E41)-1</f>
        <v>6.2824746370718776E-2</v>
      </c>
      <c r="F159" s="679"/>
      <c r="G159" s="679"/>
      <c r="H159" s="680"/>
      <c r="J159" s="299"/>
      <c r="K159" s="299"/>
      <c r="L159" s="299"/>
      <c r="M159" s="299"/>
    </row>
    <row r="160" spans="1:13" x14ac:dyDescent="0.2">
      <c r="A160" s="681"/>
      <c r="B160" s="299"/>
      <c r="C160" s="679"/>
      <c r="D160" s="679"/>
      <c r="E160" s="679"/>
      <c r="F160" s="679"/>
      <c r="G160" s="679"/>
      <c r="H160" s="680"/>
      <c r="J160" s="299"/>
      <c r="K160" s="299"/>
      <c r="L160" s="299"/>
      <c r="M160" s="299"/>
    </row>
    <row r="161" spans="1:13" ht="15" x14ac:dyDescent="0.25">
      <c r="A161" s="681"/>
      <c r="B161" s="299"/>
      <c r="C161" s="673">
        <v>2011</v>
      </c>
      <c r="D161" s="673">
        <v>2012</v>
      </c>
      <c r="E161" s="673">
        <v>2013</v>
      </c>
      <c r="F161" s="673">
        <v>2014</v>
      </c>
      <c r="G161" s="673">
        <v>2015</v>
      </c>
      <c r="H161" s="683" t="s">
        <v>122</v>
      </c>
      <c r="J161" s="299"/>
      <c r="K161" s="299"/>
      <c r="L161" s="299"/>
      <c r="M161" s="299"/>
    </row>
    <row r="162" spans="1:13" ht="15" x14ac:dyDescent="0.25">
      <c r="A162" s="681" t="s">
        <v>582</v>
      </c>
      <c r="B162" s="299"/>
      <c r="C162" s="684">
        <v>406960</v>
      </c>
      <c r="D162" s="684">
        <v>327739.20000000007</v>
      </c>
      <c r="E162" s="684">
        <v>91075.342720000073</v>
      </c>
      <c r="F162" s="684">
        <v>-227853.74786316796</v>
      </c>
      <c r="G162" s="684">
        <v>-450364.82908111555</v>
      </c>
      <c r="H162" s="685">
        <f>SUM(C162:G162)</f>
        <v>147555.96577571658</v>
      </c>
      <c r="J162" s="299"/>
      <c r="K162" s="299"/>
      <c r="L162" s="299"/>
      <c r="M162" s="299"/>
    </row>
    <row r="163" spans="1:13" ht="15" x14ac:dyDescent="0.25">
      <c r="A163" s="681" t="s">
        <v>578</v>
      </c>
      <c r="B163" s="299"/>
      <c r="C163" s="686">
        <f>0-(C162/(1+$C159))*(1+$C159)^5*(1+$D159)*(1+$E159)</f>
        <v>-661050.66784974851</v>
      </c>
      <c r="D163" s="686">
        <f>C163-(D162/(1+$C159))*(1+$C159)^4*(1+$D159)*(1+$E159)</f>
        <v>-1147276.3094659143</v>
      </c>
      <c r="E163" s="686">
        <f>D163-(E162/(1+$C159))*(1+$C159)^3*(1+$D159)*(1+$E159)</f>
        <v>-1270682.4380397256</v>
      </c>
      <c r="F163" s="686">
        <f>E163-(F162/(1+$C159))*(1+$C159)^2*(1+$D159)*(1+$E159)</f>
        <v>-988702.28916018433</v>
      </c>
      <c r="G163" s="686">
        <f>F163-(G162/(1+$C159))*(1+$C159)^1*(1+$D159)*(1+$E159)</f>
        <v>-479660.69376433094</v>
      </c>
      <c r="H163" s="687">
        <f>G163</f>
        <v>-479660.69376433094</v>
      </c>
      <c r="J163" s="688"/>
      <c r="K163" s="299"/>
      <c r="L163" s="299"/>
      <c r="M163" s="299"/>
    </row>
    <row r="164" spans="1:13" ht="15" x14ac:dyDescent="0.25">
      <c r="A164" s="689"/>
      <c r="B164" s="423"/>
      <c r="C164" s="423"/>
      <c r="D164" s="691"/>
      <c r="E164" s="691"/>
      <c r="F164" s="691"/>
      <c r="G164" s="691"/>
      <c r="H164" s="694"/>
      <c r="J164" s="299"/>
      <c r="K164" s="299"/>
      <c r="L164" s="299"/>
      <c r="M164" s="299"/>
    </row>
    <row r="165" spans="1:13" x14ac:dyDescent="0.2">
      <c r="D165" s="354"/>
    </row>
    <row r="166" spans="1:13" x14ac:dyDescent="0.2">
      <c r="D166" s="354"/>
    </row>
    <row r="167" spans="1:13" x14ac:dyDescent="0.2">
      <c r="D167" s="354"/>
    </row>
    <row r="168" spans="1:13" x14ac:dyDescent="0.2">
      <c r="D168" s="354"/>
    </row>
    <row r="169" spans="1:13" x14ac:dyDescent="0.2">
      <c r="D169" s="354"/>
    </row>
    <row r="170" spans="1:13" ht="13.5" thickBot="1" x14ac:dyDescent="0.25">
      <c r="D170" s="354"/>
      <c r="J170" s="299"/>
      <c r="K170" s="299"/>
    </row>
    <row r="171" spans="1:13" x14ac:dyDescent="0.2">
      <c r="A171" s="355"/>
      <c r="B171" s="381"/>
      <c r="C171" s="381"/>
      <c r="D171" s="382"/>
      <c r="E171" s="381"/>
      <c r="F171" s="381"/>
      <c r="G171" s="381"/>
      <c r="H171" s="381"/>
      <c r="I171" s="334"/>
      <c r="J171" s="299"/>
      <c r="K171" s="299"/>
    </row>
    <row r="172" spans="1:13" ht="18" x14ac:dyDescent="0.25">
      <c r="A172" s="435" t="s">
        <v>104</v>
      </c>
      <c r="B172" s="299"/>
      <c r="C172" s="299"/>
      <c r="D172" s="431"/>
      <c r="E172" s="299"/>
      <c r="F172" s="299"/>
      <c r="G172" s="299"/>
      <c r="H172" s="299"/>
      <c r="I172" s="363"/>
      <c r="J172" s="299"/>
      <c r="K172" s="299"/>
    </row>
    <row r="173" spans="1:13" x14ac:dyDescent="0.2">
      <c r="A173" s="324"/>
      <c r="B173" s="299"/>
      <c r="C173" s="299"/>
      <c r="D173" s="431"/>
      <c r="E173" s="299"/>
      <c r="F173" s="299"/>
      <c r="G173" s="299"/>
      <c r="H173" s="299"/>
      <c r="I173" s="363"/>
      <c r="J173" s="299"/>
      <c r="K173" s="299"/>
    </row>
    <row r="174" spans="1:13" ht="13.5" thickBot="1" x14ac:dyDescent="0.25">
      <c r="A174" s="432" t="s">
        <v>348</v>
      </c>
      <c r="B174" s="299"/>
      <c r="C174" s="299"/>
      <c r="D174" s="431"/>
      <c r="E174" s="299"/>
      <c r="F174" s="299"/>
      <c r="G174" s="299"/>
      <c r="H174" s="299"/>
      <c r="I174" s="363"/>
      <c r="J174" s="299"/>
      <c r="K174" s="299"/>
    </row>
    <row r="175" spans="1:13" s="374" customFormat="1" x14ac:dyDescent="0.2">
      <c r="A175" s="371" t="s">
        <v>408</v>
      </c>
      <c r="B175" s="372"/>
      <c r="C175" s="373"/>
      <c r="D175" s="453" t="s">
        <v>407</v>
      </c>
      <c r="E175" s="454"/>
      <c r="F175" s="455"/>
      <c r="G175" s="373"/>
      <c r="H175" s="373"/>
      <c r="I175" s="433"/>
      <c r="J175" s="373"/>
      <c r="K175" s="373"/>
    </row>
    <row r="176" spans="1:13" s="374" customFormat="1" x14ac:dyDescent="0.2">
      <c r="A176" s="375"/>
      <c r="B176" s="376"/>
      <c r="C176" s="377"/>
      <c r="D176" s="379"/>
      <c r="E176" s="373"/>
      <c r="F176" s="433"/>
      <c r="G176" s="373"/>
      <c r="H176" s="373"/>
      <c r="I176" s="433"/>
      <c r="J176" s="373"/>
      <c r="K176" s="373"/>
    </row>
    <row r="177" spans="1:12" s="374" customFormat="1" x14ac:dyDescent="0.2">
      <c r="A177" s="324" t="str">
        <f>$A$54</f>
        <v>Jemena</v>
      </c>
      <c r="B177" s="378">
        <v>8.6999999999999994E-2</v>
      </c>
      <c r="C177" s="299"/>
      <c r="D177" s="324" t="str">
        <f>$A$54</f>
        <v>Jemena</v>
      </c>
      <c r="E177" s="299"/>
      <c r="F177" s="378">
        <v>7.5600000000000001E-2</v>
      </c>
      <c r="G177" s="299"/>
      <c r="H177" s="373"/>
      <c r="I177" s="433"/>
      <c r="J177" s="373"/>
      <c r="K177" s="373"/>
    </row>
    <row r="178" spans="1:12" s="374" customFormat="1" x14ac:dyDescent="0.2">
      <c r="A178" s="324" t="str">
        <f>$A$55</f>
        <v>CitiPower</v>
      </c>
      <c r="B178" s="378">
        <v>7.8600000000000003E-2</v>
      </c>
      <c r="C178" s="373"/>
      <c r="D178" s="324" t="str">
        <f>$A$55</f>
        <v>CitiPower</v>
      </c>
      <c r="E178" s="373"/>
      <c r="F178" s="378">
        <v>6.7400000000000002E-2</v>
      </c>
      <c r="G178" s="373"/>
      <c r="H178" s="373"/>
      <c r="I178" s="433"/>
      <c r="J178" s="373"/>
      <c r="K178" s="373"/>
    </row>
    <row r="179" spans="1:12" s="374" customFormat="1" x14ac:dyDescent="0.2">
      <c r="A179" s="324" t="str">
        <f>$A$56</f>
        <v>Powercor</v>
      </c>
      <c r="B179" s="378">
        <v>7.7600000000000002E-2</v>
      </c>
      <c r="C179" s="373"/>
      <c r="D179" s="324" t="str">
        <f>$A$56</f>
        <v>Powercor</v>
      </c>
      <c r="E179" s="373"/>
      <c r="F179" s="378">
        <v>6.7400000000000002E-2</v>
      </c>
      <c r="G179" s="373"/>
      <c r="H179" s="373"/>
      <c r="I179" s="433"/>
      <c r="J179" s="373"/>
      <c r="K179" s="373"/>
    </row>
    <row r="180" spans="1:12" s="374" customFormat="1" x14ac:dyDescent="0.2">
      <c r="A180" s="324" t="str">
        <f>$A$57</f>
        <v>AusNet Services</v>
      </c>
      <c r="B180" s="378">
        <v>7.8E-2</v>
      </c>
      <c r="C180" s="373"/>
      <c r="D180" s="324" t="str">
        <f>$A$57</f>
        <v>AusNet Services</v>
      </c>
      <c r="E180" s="373"/>
      <c r="F180" s="378">
        <v>6.9900000000000004E-2</v>
      </c>
      <c r="G180" s="373"/>
      <c r="H180" s="373"/>
      <c r="I180" s="433"/>
      <c r="J180" s="373"/>
      <c r="K180" s="373"/>
    </row>
    <row r="181" spans="1:12" s="374" customFormat="1" x14ac:dyDescent="0.2">
      <c r="A181" s="324" t="str">
        <f>$A$58</f>
        <v>United Energy</v>
      </c>
      <c r="B181" s="378">
        <v>7.9100000000000004E-2</v>
      </c>
      <c r="C181" s="373"/>
      <c r="D181" s="324" t="str">
        <f>$A$58</f>
        <v>United Energy</v>
      </c>
      <c r="E181" s="373"/>
      <c r="F181" s="378">
        <v>6.7400000000000002E-2</v>
      </c>
      <c r="G181" s="373"/>
      <c r="H181" s="373"/>
      <c r="I181" s="433"/>
      <c r="J181" s="373"/>
      <c r="K181" s="373"/>
    </row>
    <row r="182" spans="1:12" s="374" customFormat="1" x14ac:dyDescent="0.2">
      <c r="A182" s="379"/>
      <c r="B182" s="325"/>
      <c r="C182" s="373"/>
      <c r="D182" s="379"/>
      <c r="E182" s="373"/>
      <c r="F182" s="325"/>
      <c r="G182" s="373"/>
      <c r="H182" s="373"/>
      <c r="I182" s="433"/>
      <c r="J182" s="373"/>
      <c r="K182" s="373"/>
    </row>
    <row r="183" spans="1:12" s="374" customFormat="1" ht="15" thickBot="1" x14ac:dyDescent="0.3">
      <c r="A183" s="380" t="s">
        <v>396</v>
      </c>
      <c r="B183" s="331">
        <f>VLOOKUP($C$3,A177:B181,2,FALSE)</f>
        <v>7.9100000000000004E-2</v>
      </c>
      <c r="C183" s="373"/>
      <c r="D183" s="452" t="s">
        <v>409</v>
      </c>
      <c r="E183" s="456"/>
      <c r="F183" s="331">
        <f>VLOOKUP($C$3,D177:F181,3,FALSE)</f>
        <v>6.7400000000000002E-2</v>
      </c>
      <c r="G183" s="373"/>
      <c r="H183" s="373"/>
      <c r="I183" s="433"/>
      <c r="J183" s="373"/>
      <c r="K183" s="373"/>
    </row>
    <row r="184" spans="1:12" x14ac:dyDescent="0.2">
      <c r="A184" s="324"/>
      <c r="B184" s="299"/>
      <c r="C184" s="299"/>
      <c r="D184" s="431"/>
      <c r="E184" s="299"/>
      <c r="F184" s="299"/>
      <c r="G184" s="299"/>
      <c r="H184" s="299"/>
      <c r="I184" s="363"/>
      <c r="J184" s="299"/>
      <c r="K184" s="299"/>
    </row>
    <row r="185" spans="1:12" x14ac:dyDescent="0.2">
      <c r="A185" s="324"/>
      <c r="B185" s="299"/>
      <c r="C185" s="299"/>
      <c r="D185" s="431"/>
      <c r="E185" s="299"/>
      <c r="F185" s="299"/>
      <c r="G185" s="299"/>
      <c r="H185" s="299"/>
      <c r="I185" s="363"/>
      <c r="J185" s="299"/>
      <c r="K185" s="299"/>
    </row>
    <row r="186" spans="1:12" ht="13.5" thickBot="1" x14ac:dyDescent="0.25">
      <c r="A186" s="429"/>
      <c r="B186" s="430"/>
      <c r="C186" s="430"/>
      <c r="D186" s="434"/>
      <c r="E186" s="430"/>
      <c r="F186" s="430"/>
      <c r="G186" s="430"/>
      <c r="H186" s="430"/>
      <c r="I186" s="368"/>
      <c r="J186" s="299"/>
      <c r="K186" s="299"/>
    </row>
    <row r="187" spans="1:12" x14ac:dyDescent="0.2">
      <c r="A187" s="355"/>
      <c r="B187" s="381"/>
      <c r="C187" s="381"/>
      <c r="D187" s="382"/>
      <c r="E187" s="381"/>
      <c r="F187" s="381"/>
      <c r="G187" s="381"/>
      <c r="H187" s="381"/>
      <c r="I187" s="334"/>
      <c r="J187" s="299"/>
      <c r="K187" s="299"/>
    </row>
    <row r="188" spans="1:12" x14ac:dyDescent="0.2">
      <c r="A188" s="383" t="s">
        <v>86</v>
      </c>
      <c r="B188" s="299"/>
      <c r="C188" s="299"/>
      <c r="D188" s="299"/>
      <c r="E188" s="384">
        <v>2014</v>
      </c>
      <c r="F188" s="384">
        <v>2015</v>
      </c>
      <c r="G188" s="299"/>
      <c r="H188" s="299"/>
      <c r="I188" s="363"/>
      <c r="J188" s="299"/>
      <c r="K188" s="299"/>
    </row>
    <row r="189" spans="1:12" x14ac:dyDescent="0.2">
      <c r="A189" s="324"/>
      <c r="B189" s="299"/>
      <c r="C189" s="299"/>
      <c r="D189" s="299"/>
      <c r="E189" s="299"/>
      <c r="F189" s="299"/>
      <c r="G189" s="299"/>
      <c r="H189" s="299"/>
      <c r="I189" s="363"/>
      <c r="J189" s="299"/>
      <c r="K189" s="299"/>
    </row>
    <row r="190" spans="1:12" x14ac:dyDescent="0.2">
      <c r="A190" s="385" t="str">
        <f>A204</f>
        <v>F Factor pass through</v>
      </c>
      <c r="B190" s="299"/>
      <c r="C190" s="299"/>
      <c r="D190" s="299"/>
      <c r="E190" s="386">
        <f>B204</f>
        <v>980000</v>
      </c>
      <c r="F190" s="386">
        <f>C204</f>
        <v>-70000</v>
      </c>
      <c r="G190" s="299"/>
      <c r="H190" s="299"/>
      <c r="I190" s="363"/>
      <c r="J190" s="299"/>
      <c r="K190" s="299"/>
      <c r="L190" s="387"/>
    </row>
    <row r="191" spans="1:12" x14ac:dyDescent="0.2">
      <c r="A191" s="385" t="s">
        <v>87</v>
      </c>
      <c r="B191" s="299"/>
      <c r="C191" s="299"/>
      <c r="D191" s="299"/>
      <c r="E191" s="388">
        <f>B215</f>
        <v>0</v>
      </c>
      <c r="F191" s="388">
        <f>C215</f>
        <v>0</v>
      </c>
      <c r="G191" s="299"/>
      <c r="H191" s="299"/>
      <c r="I191" s="363"/>
      <c r="J191" s="299"/>
      <c r="K191" s="299"/>
    </row>
    <row r="192" spans="1:12" x14ac:dyDescent="0.2">
      <c r="A192" s="385" t="s">
        <v>88</v>
      </c>
      <c r="B192" s="299"/>
      <c r="C192" s="299"/>
      <c r="D192" s="299"/>
      <c r="E192" s="388">
        <f>B226</f>
        <v>0</v>
      </c>
      <c r="F192" s="388">
        <f>C226</f>
        <v>0</v>
      </c>
      <c r="G192" s="299"/>
      <c r="H192" s="299"/>
      <c r="I192" s="363"/>
      <c r="J192" s="299"/>
      <c r="K192" s="299"/>
    </row>
    <row r="193" spans="1:13" ht="13.5" thickBot="1" x14ac:dyDescent="0.25">
      <c r="A193" s="389" t="s">
        <v>89</v>
      </c>
      <c r="B193" s="198"/>
      <c r="C193" s="198"/>
      <c r="D193" s="198"/>
      <c r="E193" s="390">
        <f t="shared" ref="E193" si="8">SUM(E190:E192)</f>
        <v>980000</v>
      </c>
      <c r="F193" s="390">
        <f>SUM(F190:F192)</f>
        <v>-70000</v>
      </c>
      <c r="G193" s="299"/>
      <c r="H193" s="299"/>
      <c r="I193" s="363"/>
      <c r="J193" s="299"/>
      <c r="K193" s="299"/>
      <c r="L193" s="391"/>
    </row>
    <row r="194" spans="1:13" s="396" customFormat="1" ht="13.5" thickTop="1" x14ac:dyDescent="0.2">
      <c r="A194" s="392"/>
      <c r="B194" s="393"/>
      <c r="C194" s="393"/>
      <c r="D194" s="393"/>
      <c r="E194" s="394"/>
      <c r="F194" s="394"/>
      <c r="G194" s="394"/>
      <c r="H194" s="393"/>
      <c r="I194" s="395"/>
      <c r="J194" s="393"/>
      <c r="K194" s="393"/>
    </row>
    <row r="195" spans="1:13" s="396" customFormat="1" x14ac:dyDescent="0.2">
      <c r="A195" s="606"/>
      <c r="B195" s="393"/>
      <c r="C195" s="393"/>
      <c r="D195" s="393"/>
      <c r="E195" s="607"/>
      <c r="F195" s="438"/>
      <c r="G195" s="394"/>
      <c r="H195" s="393"/>
      <c r="I195" s="395"/>
      <c r="J195" s="393"/>
      <c r="K195" s="299"/>
      <c r="L195" s="292"/>
      <c r="M195" s="292"/>
    </row>
    <row r="196" spans="1:13" ht="13.5" thickBot="1" x14ac:dyDescent="0.25">
      <c r="A196" s="324"/>
      <c r="B196" s="299"/>
      <c r="C196" s="299"/>
      <c r="D196" s="299"/>
      <c r="E196" s="299"/>
      <c r="F196" s="299"/>
      <c r="G196" s="299"/>
      <c r="H196" s="299"/>
      <c r="I196" s="363"/>
      <c r="J196" s="299"/>
      <c r="K196" s="299"/>
    </row>
    <row r="197" spans="1:13" x14ac:dyDescent="0.2">
      <c r="A197" s="358" t="s">
        <v>90</v>
      </c>
      <c r="B197" s="397">
        <v>2014</v>
      </c>
      <c r="C197" s="361">
        <v>2015</v>
      </c>
      <c r="D197" s="299"/>
      <c r="E197" s="299"/>
      <c r="F197" s="299"/>
      <c r="G197" s="299"/>
      <c r="H197" s="299"/>
      <c r="I197" s="363"/>
      <c r="J197" s="299"/>
      <c r="K197" s="299"/>
    </row>
    <row r="198" spans="1:13" x14ac:dyDescent="0.2">
      <c r="A198" s="324" t="str">
        <f>$A$54</f>
        <v>Jemena</v>
      </c>
      <c r="B198" s="398">
        <v>370000</v>
      </c>
      <c r="C198" s="365">
        <v>-855000</v>
      </c>
      <c r="D198" s="299"/>
      <c r="E198" s="299"/>
      <c r="F198" s="299"/>
      <c r="G198" s="299"/>
      <c r="H198" s="299"/>
      <c r="I198" s="363"/>
      <c r="J198" s="299"/>
      <c r="K198" s="299"/>
    </row>
    <row r="199" spans="1:13" x14ac:dyDescent="0.2">
      <c r="A199" s="324" t="str">
        <f>$A$55</f>
        <v>CitiPower</v>
      </c>
      <c r="B199" s="398">
        <v>10000</v>
      </c>
      <c r="C199" s="365">
        <v>-65000</v>
      </c>
      <c r="D199" s="299"/>
      <c r="E199" s="299"/>
      <c r="F199" s="299"/>
      <c r="G199" s="299"/>
      <c r="H199" s="299"/>
      <c r="I199" s="363"/>
      <c r="J199" s="299"/>
      <c r="K199" s="299"/>
    </row>
    <row r="200" spans="1:13" x14ac:dyDescent="0.2">
      <c r="A200" s="324" t="str">
        <f>$A$56</f>
        <v>Powercor</v>
      </c>
      <c r="B200" s="398">
        <v>2470000</v>
      </c>
      <c r="C200" s="365">
        <v>-2405000</v>
      </c>
      <c r="D200" s="299"/>
      <c r="E200" s="299"/>
      <c r="F200" s="299"/>
      <c r="G200" s="299"/>
      <c r="H200" s="299"/>
      <c r="I200" s="363"/>
      <c r="J200" s="299"/>
      <c r="K200" s="299"/>
    </row>
    <row r="201" spans="1:13" x14ac:dyDescent="0.2">
      <c r="A201" s="324" t="str">
        <f>$A$57</f>
        <v>AusNet Services</v>
      </c>
      <c r="B201" s="398">
        <v>1970000</v>
      </c>
      <c r="C201" s="365">
        <v>2020000</v>
      </c>
      <c r="D201" s="299"/>
      <c r="E201" s="299"/>
      <c r="F201" s="299"/>
      <c r="G201" s="299"/>
      <c r="H201" s="299"/>
      <c r="I201" s="363"/>
      <c r="J201" s="299"/>
      <c r="K201" s="299"/>
    </row>
    <row r="202" spans="1:13" x14ac:dyDescent="0.2">
      <c r="A202" s="324" t="str">
        <f>$A$58</f>
        <v>United Energy</v>
      </c>
      <c r="B202" s="398">
        <v>980000</v>
      </c>
      <c r="C202" s="365">
        <v>-70000</v>
      </c>
      <c r="D202" s="299"/>
      <c r="E202" s="299"/>
      <c r="F202" s="299"/>
      <c r="G202" s="299"/>
      <c r="H202" s="299"/>
      <c r="I202" s="363"/>
      <c r="J202" s="299"/>
      <c r="K202" s="299"/>
    </row>
    <row r="203" spans="1:13" x14ac:dyDescent="0.2">
      <c r="A203" s="324"/>
      <c r="B203" s="399"/>
      <c r="C203" s="325"/>
      <c r="D203" s="299"/>
      <c r="E203" s="299"/>
      <c r="F203" s="299"/>
      <c r="G203" s="299"/>
      <c r="H203" s="299"/>
      <c r="I203" s="363"/>
      <c r="J203" s="299"/>
      <c r="K203" s="299"/>
    </row>
    <row r="204" spans="1:13" ht="13.5" thickBot="1" x14ac:dyDescent="0.25">
      <c r="A204" s="400" t="s">
        <v>91</v>
      </c>
      <c r="B204" s="401">
        <f>VLOOKUP($C$3,$A$198:$C$202,2,FALSE)</f>
        <v>980000</v>
      </c>
      <c r="C204" s="370">
        <f>VLOOKUP($C$3,$A$198:$C$202,3,FALSE)</f>
        <v>-70000</v>
      </c>
      <c r="D204" s="299"/>
      <c r="E204" s="299"/>
      <c r="F204" s="299"/>
      <c r="G204" s="299"/>
      <c r="H204" s="299"/>
      <c r="I204" s="363"/>
      <c r="J204" s="299"/>
      <c r="K204" s="299"/>
    </row>
    <row r="205" spans="1:13" x14ac:dyDescent="0.2">
      <c r="A205" s="324"/>
      <c r="B205" s="299"/>
      <c r="C205" s="299"/>
      <c r="D205" s="299"/>
      <c r="E205" s="299"/>
      <c r="F205" s="299"/>
      <c r="G205" s="299"/>
      <c r="H205" s="299"/>
      <c r="I205" s="363"/>
      <c r="J205" s="299"/>
      <c r="K205" s="299"/>
    </row>
    <row r="206" spans="1:13" x14ac:dyDescent="0.2">
      <c r="A206" s="324"/>
      <c r="B206" s="299"/>
      <c r="C206" s="299"/>
      <c r="D206" s="299"/>
      <c r="E206" s="299"/>
      <c r="F206" s="299"/>
      <c r="G206" s="299"/>
      <c r="H206" s="299"/>
      <c r="I206" s="363"/>
      <c r="J206" s="299"/>
      <c r="K206" s="299"/>
    </row>
    <row r="207" spans="1:13" ht="13.5" thickBot="1" x14ac:dyDescent="0.25">
      <c r="A207" s="324"/>
      <c r="B207" s="299"/>
      <c r="C207" s="299"/>
      <c r="D207" s="299"/>
      <c r="E207" s="299"/>
      <c r="F207" s="299"/>
      <c r="G207" s="299"/>
      <c r="H207" s="299"/>
      <c r="I207" s="363"/>
      <c r="J207" s="299"/>
      <c r="K207" s="299"/>
    </row>
    <row r="208" spans="1:13" x14ac:dyDescent="0.2">
      <c r="A208" s="358" t="s">
        <v>87</v>
      </c>
      <c r="B208" s="397">
        <v>2014</v>
      </c>
      <c r="C208" s="361">
        <v>2015</v>
      </c>
      <c r="D208" s="299"/>
      <c r="E208" s="299"/>
      <c r="F208" s="299"/>
      <c r="G208" s="299"/>
      <c r="H208" s="299"/>
      <c r="I208" s="363"/>
      <c r="J208" s="299"/>
      <c r="K208" s="299"/>
    </row>
    <row r="209" spans="1:11" x14ac:dyDescent="0.2">
      <c r="A209" s="324" t="str">
        <f>$A$54</f>
        <v>Jemena</v>
      </c>
      <c r="B209" s="398">
        <v>0</v>
      </c>
      <c r="C209" s="365">
        <v>0</v>
      </c>
      <c r="D209" s="299"/>
      <c r="E209" s="299"/>
      <c r="F209" s="299"/>
      <c r="G209" s="299"/>
      <c r="H209" s="299"/>
      <c r="I209" s="363"/>
      <c r="J209" s="299"/>
      <c r="K209" s="299"/>
    </row>
    <row r="210" spans="1:11" x14ac:dyDescent="0.2">
      <c r="A210" s="324" t="str">
        <f>$A$55</f>
        <v>CitiPower</v>
      </c>
      <c r="B210" s="398">
        <v>0</v>
      </c>
      <c r="C210" s="365">
        <v>0</v>
      </c>
      <c r="D210" s="299"/>
      <c r="E210" s="299"/>
      <c r="F210" s="299"/>
      <c r="G210" s="299"/>
      <c r="H210" s="299"/>
      <c r="I210" s="363"/>
      <c r="J210" s="299"/>
      <c r="K210" s="299"/>
    </row>
    <row r="211" spans="1:11" x14ac:dyDescent="0.2">
      <c r="A211" s="324" t="str">
        <f>$A$56</f>
        <v>Powercor</v>
      </c>
      <c r="B211" s="398">
        <f>H245</f>
        <v>7193170.4538582545</v>
      </c>
      <c r="C211" s="365">
        <f>I245</f>
        <v>8768550.3783121537</v>
      </c>
      <c r="D211" s="299"/>
      <c r="E211" s="299"/>
      <c r="F211" s="299"/>
      <c r="G211" s="299"/>
      <c r="H211" s="299"/>
      <c r="I211" s="363"/>
      <c r="J211" s="299"/>
      <c r="K211" s="299"/>
    </row>
    <row r="212" spans="1:11" x14ac:dyDescent="0.2">
      <c r="A212" s="324" t="str">
        <f>$A$57</f>
        <v>AusNet Services</v>
      </c>
      <c r="B212" s="398">
        <f>H262</f>
        <v>6039778.1580883265</v>
      </c>
      <c r="C212" s="365">
        <f>I262</f>
        <v>8341755.2122622114</v>
      </c>
      <c r="D212" s="299"/>
      <c r="E212" s="299"/>
      <c r="F212" s="299"/>
      <c r="G212" s="299"/>
      <c r="H212" s="299"/>
      <c r="I212" s="363"/>
      <c r="J212" s="299"/>
      <c r="K212" s="299"/>
    </row>
    <row r="213" spans="1:11" x14ac:dyDescent="0.2">
      <c r="A213" s="324" t="str">
        <f>$A$58</f>
        <v>United Energy</v>
      </c>
      <c r="B213" s="398">
        <v>0</v>
      </c>
      <c r="C213" s="365">
        <v>0</v>
      </c>
      <c r="D213" s="299"/>
      <c r="E213" s="299"/>
      <c r="F213" s="299"/>
      <c r="G213" s="299"/>
      <c r="H213" s="299"/>
      <c r="I213" s="363"/>
      <c r="J213" s="299"/>
      <c r="K213" s="299"/>
    </row>
    <row r="214" spans="1:11" x14ac:dyDescent="0.2">
      <c r="A214" s="324"/>
      <c r="B214" s="399"/>
      <c r="C214" s="325"/>
      <c r="D214" s="299"/>
      <c r="E214" s="299"/>
      <c r="F214" s="299"/>
      <c r="G214" s="299"/>
      <c r="H214" s="299"/>
      <c r="I214" s="363"/>
      <c r="J214" s="299"/>
      <c r="K214" s="299"/>
    </row>
    <row r="215" spans="1:11" ht="13.5" thickBot="1" x14ac:dyDescent="0.25">
      <c r="A215" s="400" t="s">
        <v>105</v>
      </c>
      <c r="B215" s="401">
        <f>VLOOKUP($C$3,$A$209:$C$213,2,FALSE)</f>
        <v>0</v>
      </c>
      <c r="C215" s="370">
        <f>VLOOKUP($C$3,$A$209:$C$213,3,FALSE)</f>
        <v>0</v>
      </c>
      <c r="D215" s="299"/>
      <c r="E215" s="299"/>
      <c r="F215" s="299"/>
      <c r="G215" s="299"/>
      <c r="H215" s="299"/>
      <c r="I215" s="363"/>
      <c r="J215" s="299"/>
      <c r="K215" s="299"/>
    </row>
    <row r="216" spans="1:11" x14ac:dyDescent="0.2">
      <c r="A216" s="324"/>
      <c r="B216" s="299"/>
      <c r="C216" s="299"/>
      <c r="D216" s="299"/>
      <c r="E216" s="299"/>
      <c r="F216" s="299"/>
      <c r="G216" s="299"/>
      <c r="H216" s="299"/>
      <c r="I216" s="363"/>
      <c r="J216" s="299"/>
      <c r="K216" s="299"/>
    </row>
    <row r="217" spans="1:11" x14ac:dyDescent="0.2">
      <c r="A217" s="324"/>
      <c r="B217" s="299"/>
      <c r="C217" s="299"/>
      <c r="D217" s="299"/>
      <c r="E217" s="299"/>
      <c r="F217" s="299"/>
      <c r="G217" s="299"/>
      <c r="H217" s="299"/>
      <c r="I217" s="363"/>
      <c r="J217" s="299"/>
      <c r="K217" s="299"/>
    </row>
    <row r="218" spans="1:11" ht="13.5" thickBot="1" x14ac:dyDescent="0.25">
      <c r="A218" s="324"/>
      <c r="B218" s="299"/>
      <c r="C218" s="299"/>
      <c r="D218" s="299"/>
      <c r="E218" s="299"/>
      <c r="F218" s="299"/>
      <c r="G218" s="299"/>
      <c r="H218" s="299"/>
      <c r="I218" s="363"/>
      <c r="J218" s="299"/>
      <c r="K218" s="299"/>
    </row>
    <row r="219" spans="1:11" ht="25.5" x14ac:dyDescent="0.2">
      <c r="A219" s="402" t="s">
        <v>88</v>
      </c>
      <c r="B219" s="397">
        <v>2014</v>
      </c>
      <c r="C219" s="361">
        <v>2015</v>
      </c>
      <c r="D219" s="299"/>
      <c r="E219" s="299"/>
      <c r="F219" s="299"/>
      <c r="G219" s="299"/>
      <c r="H219" s="299"/>
      <c r="I219" s="363"/>
      <c r="J219" s="299"/>
      <c r="K219" s="299"/>
    </row>
    <row r="220" spans="1:11" x14ac:dyDescent="0.2">
      <c r="A220" s="324" t="str">
        <f>$A$54</f>
        <v>Jemena</v>
      </c>
      <c r="B220" s="398">
        <v>0</v>
      </c>
      <c r="C220" s="365">
        <v>0</v>
      </c>
      <c r="D220" s="299"/>
      <c r="E220" s="299"/>
      <c r="F220" s="299"/>
      <c r="G220" s="299"/>
      <c r="H220" s="299"/>
      <c r="I220" s="363"/>
      <c r="J220" s="299"/>
      <c r="K220" s="299"/>
    </row>
    <row r="221" spans="1:11" x14ac:dyDescent="0.2">
      <c r="A221" s="324" t="str">
        <f>$A$55</f>
        <v>CitiPower</v>
      </c>
      <c r="B221" s="398">
        <v>0</v>
      </c>
      <c r="C221" s="365">
        <v>0</v>
      </c>
      <c r="D221" s="299"/>
      <c r="E221" s="299"/>
      <c r="F221" s="299"/>
      <c r="G221" s="299"/>
      <c r="H221" s="299"/>
      <c r="I221" s="363"/>
      <c r="J221" s="299"/>
      <c r="K221" s="299"/>
    </row>
    <row r="222" spans="1:11" x14ac:dyDescent="0.2">
      <c r="A222" s="324" t="str">
        <f>$A$56</f>
        <v>Powercor</v>
      </c>
      <c r="B222" s="398">
        <f>H249</f>
        <v>0</v>
      </c>
      <c r="C222" s="365">
        <v>8777690.4553783704</v>
      </c>
      <c r="D222" s="299"/>
      <c r="E222" s="299"/>
      <c r="F222" s="299"/>
      <c r="G222" s="299"/>
      <c r="H222" s="299"/>
      <c r="I222" s="363"/>
      <c r="J222" s="299"/>
      <c r="K222" s="299"/>
    </row>
    <row r="223" spans="1:11" x14ac:dyDescent="0.2">
      <c r="A223" s="324" t="str">
        <f>$A$57</f>
        <v>AusNet Services</v>
      </c>
      <c r="B223" s="398">
        <v>0</v>
      </c>
      <c r="C223" s="365">
        <v>5723419.3099999996</v>
      </c>
      <c r="D223" s="299"/>
      <c r="E223" s="299"/>
      <c r="F223" s="299"/>
      <c r="G223" s="299"/>
      <c r="H223" s="299"/>
      <c r="I223" s="363"/>
      <c r="J223" s="299"/>
      <c r="K223" s="299"/>
    </row>
    <row r="224" spans="1:11" x14ac:dyDescent="0.2">
      <c r="A224" s="324" t="str">
        <f>$A$58</f>
        <v>United Energy</v>
      </c>
      <c r="B224" s="398">
        <v>0</v>
      </c>
      <c r="C224" s="365">
        <v>0</v>
      </c>
      <c r="D224" s="299"/>
      <c r="E224" s="299"/>
      <c r="F224" s="299"/>
      <c r="G224" s="299"/>
      <c r="H224" s="299"/>
      <c r="I224" s="363"/>
      <c r="J224" s="299"/>
      <c r="K224" s="299"/>
    </row>
    <row r="225" spans="1:19" x14ac:dyDescent="0.2">
      <c r="A225" s="324"/>
      <c r="B225" s="399"/>
      <c r="C225" s="325"/>
      <c r="D225" s="299"/>
      <c r="E225" s="299"/>
      <c r="F225" s="299"/>
      <c r="G225" s="299"/>
      <c r="H225" s="299"/>
      <c r="I225" s="363"/>
      <c r="J225" s="299"/>
      <c r="K225" s="299"/>
    </row>
    <row r="226" spans="1:19" ht="26.25" thickBot="1" x14ac:dyDescent="0.25">
      <c r="A226" s="400" t="s">
        <v>88</v>
      </c>
      <c r="B226" s="401">
        <f>VLOOKUP($C$3,$A$219:$C$224,2,FALSE)</f>
        <v>0</v>
      </c>
      <c r="C226" s="370">
        <f>VLOOKUP($C$3,$A$219:$C$224,3,FALSE)</f>
        <v>0</v>
      </c>
      <c r="D226" s="299"/>
      <c r="E226" s="299"/>
      <c r="F226" s="299"/>
      <c r="G226" s="299"/>
      <c r="H226" s="299"/>
      <c r="I226" s="363"/>
      <c r="J226" s="299"/>
      <c r="K226" s="299"/>
    </row>
    <row r="227" spans="1:19" x14ac:dyDescent="0.2">
      <c r="A227" s="324"/>
      <c r="B227" s="299"/>
      <c r="C227" s="299"/>
      <c r="D227" s="299"/>
      <c r="E227" s="299"/>
      <c r="F227" s="299"/>
      <c r="G227" s="299"/>
      <c r="H227" s="299"/>
      <c r="I227" s="363"/>
      <c r="J227" s="299"/>
      <c r="K227" s="299"/>
    </row>
    <row r="228" spans="1:19" x14ac:dyDescent="0.2">
      <c r="A228" s="324"/>
      <c r="B228" s="299"/>
      <c r="C228" s="299"/>
      <c r="D228" s="299"/>
      <c r="E228" s="299"/>
      <c r="F228" s="299"/>
      <c r="G228" s="299"/>
      <c r="H228" s="299"/>
      <c r="I228" s="363"/>
      <c r="J228" s="299"/>
      <c r="K228" s="299"/>
    </row>
    <row r="229" spans="1:19" x14ac:dyDescent="0.2">
      <c r="A229" s="324"/>
      <c r="B229" s="299"/>
      <c r="C229" s="299"/>
      <c r="D229" s="299"/>
      <c r="E229" s="299"/>
      <c r="F229" s="299"/>
      <c r="G229" s="299"/>
      <c r="H229" s="299"/>
      <c r="I229" s="363"/>
      <c r="J229" s="299"/>
      <c r="K229" s="299"/>
    </row>
    <row r="230" spans="1:19" x14ac:dyDescent="0.2">
      <c r="A230" s="324"/>
      <c r="B230" s="299"/>
      <c r="C230" s="299"/>
      <c r="D230" s="299"/>
      <c r="E230" s="299"/>
      <c r="F230" s="299"/>
      <c r="G230" s="299"/>
      <c r="H230" s="299"/>
      <c r="I230" s="363"/>
      <c r="J230" s="299"/>
      <c r="K230" s="299"/>
    </row>
    <row r="231" spans="1:19" x14ac:dyDescent="0.2">
      <c r="A231" s="403" t="s">
        <v>87</v>
      </c>
      <c r="B231" s="404"/>
      <c r="C231" s="404"/>
      <c r="D231" s="404"/>
      <c r="E231" s="404"/>
      <c r="F231" s="404"/>
      <c r="G231" s="404"/>
      <c r="H231" s="404"/>
      <c r="I231" s="405"/>
      <c r="J231" s="299"/>
      <c r="K231" s="299"/>
    </row>
    <row r="232" spans="1:19" x14ac:dyDescent="0.2">
      <c r="A232" s="324"/>
      <c r="B232" s="299"/>
      <c r="C232" s="299"/>
      <c r="D232" s="299"/>
      <c r="E232" s="299"/>
      <c r="F232" s="299"/>
      <c r="G232" s="299"/>
      <c r="H232" s="299"/>
      <c r="I232" s="363"/>
      <c r="J232" s="299"/>
      <c r="K232" s="299"/>
    </row>
    <row r="233" spans="1:19" x14ac:dyDescent="0.2">
      <c r="A233" s="406" t="s">
        <v>84</v>
      </c>
      <c r="B233" s="299"/>
      <c r="C233" s="299"/>
      <c r="D233" s="299"/>
      <c r="E233" s="384">
        <v>2011</v>
      </c>
      <c r="F233" s="384">
        <v>2012</v>
      </c>
      <c r="G233" s="384">
        <v>2013</v>
      </c>
      <c r="H233" s="384">
        <v>2014</v>
      </c>
      <c r="I233" s="407">
        <v>2015</v>
      </c>
      <c r="J233" s="299"/>
      <c r="K233" s="299"/>
    </row>
    <row r="234" spans="1:19" x14ac:dyDescent="0.2">
      <c r="A234" s="408" t="s">
        <v>92</v>
      </c>
      <c r="B234" s="208"/>
      <c r="C234" s="208"/>
      <c r="D234" s="299"/>
      <c r="E234" s="299"/>
      <c r="F234" s="299"/>
      <c r="G234" s="409">
        <v>10270612</v>
      </c>
      <c r="H234" s="409">
        <v>7181525</v>
      </c>
      <c r="I234" s="410">
        <v>8777217</v>
      </c>
      <c r="J234" s="299"/>
      <c r="K234" s="299"/>
      <c r="S234" s="253"/>
    </row>
    <row r="235" spans="1:19" x14ac:dyDescent="0.2">
      <c r="A235" s="411" t="s">
        <v>102</v>
      </c>
      <c r="B235" s="412"/>
      <c r="C235" s="412"/>
      <c r="D235" s="412"/>
      <c r="E235" s="412"/>
      <c r="F235" s="393"/>
      <c r="G235" s="393"/>
      <c r="H235" s="393"/>
      <c r="I235" s="363"/>
      <c r="J235" s="299"/>
      <c r="K235" s="299"/>
    </row>
    <row r="236" spans="1:19" x14ac:dyDescent="0.2">
      <c r="A236" s="324" t="s">
        <v>93</v>
      </c>
      <c r="B236" s="299"/>
      <c r="C236" s="299"/>
      <c r="D236" s="299"/>
      <c r="E236" s="413">
        <v>2.5748753401775293E-2</v>
      </c>
      <c r="F236" s="413">
        <v>2.5748753401775293E-2</v>
      </c>
      <c r="G236" s="413">
        <v>2.5748753401775293E-2</v>
      </c>
      <c r="H236" s="413">
        <v>2.5748753401775293E-2</v>
      </c>
      <c r="I236" s="414">
        <v>2.5748753401775293E-2</v>
      </c>
      <c r="J236" s="299"/>
      <c r="K236" s="299"/>
    </row>
    <row r="237" spans="1:19" x14ac:dyDescent="0.2">
      <c r="A237" s="324"/>
      <c r="B237" s="299"/>
      <c r="C237" s="299"/>
      <c r="D237" s="299"/>
      <c r="E237" s="415">
        <f>1+E236</f>
        <v>1.0257487534017753</v>
      </c>
      <c r="F237" s="415">
        <f>E237*(1+F236)</f>
        <v>1.052160505105296</v>
      </c>
      <c r="G237" s="415">
        <f>F237*(1+G236)</f>
        <v>1.0792523264903395</v>
      </c>
      <c r="H237" s="415">
        <f>G237*(1+H236)</f>
        <v>1.1070417285034315</v>
      </c>
      <c r="I237" s="416">
        <f>H237*(1+I236)</f>
        <v>1.1355466729761414</v>
      </c>
      <c r="J237" s="299"/>
      <c r="K237" s="299"/>
    </row>
    <row r="238" spans="1:19" x14ac:dyDescent="0.2">
      <c r="A238" s="324"/>
      <c r="B238" s="299"/>
      <c r="C238" s="299"/>
      <c r="D238" s="299"/>
      <c r="E238" s="299"/>
      <c r="F238" s="299"/>
      <c r="G238" s="299"/>
      <c r="H238" s="299"/>
      <c r="I238" s="363"/>
      <c r="J238" s="299"/>
      <c r="K238" s="299"/>
    </row>
    <row r="239" spans="1:19" x14ac:dyDescent="0.2">
      <c r="A239" s="408" t="s">
        <v>94</v>
      </c>
      <c r="B239" s="299"/>
      <c r="C239" s="299"/>
      <c r="D239" s="299"/>
      <c r="E239" s="299"/>
      <c r="F239" s="299"/>
      <c r="G239" s="388">
        <f>G234/G237</f>
        <v>9516414.0469350498</v>
      </c>
      <c r="H239" s="388">
        <f>H234/H237</f>
        <v>6487131.257200608</v>
      </c>
      <c r="I239" s="417">
        <f>I234/I237</f>
        <v>7729507.9179756576</v>
      </c>
      <c r="J239" s="299"/>
      <c r="K239" s="299"/>
    </row>
    <row r="240" spans="1:19" x14ac:dyDescent="0.2">
      <c r="A240" s="324"/>
      <c r="B240" s="299"/>
      <c r="C240" s="299"/>
      <c r="D240" s="299"/>
      <c r="E240" s="299"/>
      <c r="F240" s="299"/>
      <c r="G240" s="299"/>
      <c r="H240" s="299"/>
      <c r="I240" s="363"/>
      <c r="J240" s="299"/>
      <c r="K240" s="299"/>
    </row>
    <row r="241" spans="1:11" x14ac:dyDescent="0.2">
      <c r="A241" s="324"/>
      <c r="B241" s="299"/>
      <c r="C241" s="299"/>
      <c r="D241" s="299"/>
      <c r="E241" s="299"/>
      <c r="F241" s="299"/>
      <c r="G241" s="299"/>
      <c r="H241" s="299"/>
      <c r="I241" s="363"/>
      <c r="J241" s="299"/>
      <c r="K241" s="299"/>
    </row>
    <row r="242" spans="1:11" x14ac:dyDescent="0.2">
      <c r="A242" s="324" t="s">
        <v>95</v>
      </c>
      <c r="B242" s="299"/>
      <c r="C242" s="299"/>
      <c r="D242" s="299"/>
      <c r="E242" s="418">
        <f>173.3/168.6-1</f>
        <v>2.7876631079478242E-2</v>
      </c>
      <c r="F242" s="418">
        <f>179.4/173.3-1</f>
        <v>3.5199076745527913E-2</v>
      </c>
      <c r="G242" s="418">
        <f>C17/C16-1</f>
        <v>2.0040080160320661E-2</v>
      </c>
      <c r="H242" s="418">
        <f>C18/C17-1</f>
        <v>2.16110019646365E-2</v>
      </c>
      <c r="I242" s="325">
        <f>C19/C18-1</f>
        <v>2.3076923076923217E-2</v>
      </c>
      <c r="J242" s="299"/>
      <c r="K242" s="299"/>
    </row>
    <row r="243" spans="1:11" x14ac:dyDescent="0.2">
      <c r="A243" s="324"/>
      <c r="B243" s="299"/>
      <c r="C243" s="299"/>
      <c r="D243" s="299"/>
      <c r="E243" s="418">
        <f>1+E242</f>
        <v>1.0278766310794782</v>
      </c>
      <c r="F243" s="418">
        <f>E243*(1+F242)</f>
        <v>1.0640569395017794</v>
      </c>
      <c r="G243" s="418">
        <f>F243*(1+G242)</f>
        <v>1.0853807258645405</v>
      </c>
      <c r="H243" s="418">
        <f t="shared" ref="H243:I243" si="9">G243*(1+H242)</f>
        <v>1.1088368908635777</v>
      </c>
      <c r="I243" s="419">
        <f t="shared" si="9"/>
        <v>1.1344254344988911</v>
      </c>
      <c r="J243" s="299"/>
      <c r="K243" s="299"/>
    </row>
    <row r="244" spans="1:11" x14ac:dyDescent="0.2">
      <c r="A244" s="324"/>
      <c r="B244" s="299"/>
      <c r="C244" s="299"/>
      <c r="D244" s="299"/>
      <c r="E244" s="299"/>
      <c r="F244" s="299"/>
      <c r="G244" s="299"/>
      <c r="H244" s="299"/>
      <c r="I244" s="363"/>
      <c r="J244" s="299"/>
      <c r="K244" s="299"/>
    </row>
    <row r="245" spans="1:11" x14ac:dyDescent="0.2">
      <c r="A245" s="408" t="s">
        <v>96</v>
      </c>
      <c r="B245" s="299"/>
      <c r="C245" s="299"/>
      <c r="D245" s="299"/>
      <c r="E245" s="299"/>
      <c r="F245" s="299"/>
      <c r="G245" s="420">
        <f>G239*G243</f>
        <v>10328932.385889873</v>
      </c>
      <c r="H245" s="420">
        <f>H239*H243</f>
        <v>7193170.4538582545</v>
      </c>
      <c r="I245" s="421">
        <f>I239*I243</f>
        <v>8768550.3783121537</v>
      </c>
      <c r="J245" s="299"/>
      <c r="K245" s="299"/>
    </row>
    <row r="246" spans="1:11" x14ac:dyDescent="0.2">
      <c r="A246" s="324"/>
      <c r="B246" s="299"/>
      <c r="C246" s="299"/>
      <c r="D246" s="299"/>
      <c r="E246" s="299"/>
      <c r="F246" s="299"/>
      <c r="G246" s="299"/>
      <c r="H246" s="299"/>
      <c r="I246" s="363"/>
      <c r="J246" s="299"/>
      <c r="K246" s="299"/>
    </row>
    <row r="247" spans="1:11" x14ac:dyDescent="0.2">
      <c r="A247" s="422"/>
      <c r="B247" s="423"/>
      <c r="C247" s="423"/>
      <c r="D247" s="423"/>
      <c r="E247" s="423"/>
      <c r="F247" s="423"/>
      <c r="G247" s="423"/>
      <c r="H247" s="423"/>
      <c r="I247" s="424"/>
      <c r="J247" s="299"/>
      <c r="K247" s="299"/>
    </row>
    <row r="248" spans="1:11" x14ac:dyDescent="0.2">
      <c r="A248" s="324"/>
      <c r="B248" s="299"/>
      <c r="C248" s="299"/>
      <c r="D248" s="299"/>
      <c r="E248" s="299"/>
      <c r="F248" s="299"/>
      <c r="G248" s="299"/>
      <c r="H248" s="299"/>
      <c r="I248" s="363"/>
      <c r="J248" s="299"/>
      <c r="K248" s="299"/>
    </row>
    <row r="249" spans="1:11" s="374" customFormat="1" x14ac:dyDescent="0.2">
      <c r="A249" s="379"/>
      <c r="B249" s="299"/>
      <c r="C249" s="299"/>
      <c r="D249" s="299"/>
      <c r="E249" s="299"/>
      <c r="F249" s="299"/>
      <c r="G249" s="299"/>
      <c r="H249" s="299"/>
      <c r="I249" s="363"/>
      <c r="J249" s="299"/>
      <c r="K249" s="373"/>
    </row>
    <row r="250" spans="1:11" s="374" customFormat="1" x14ac:dyDescent="0.2">
      <c r="A250" s="406" t="s">
        <v>106</v>
      </c>
      <c r="B250" s="299"/>
      <c r="C250" s="299"/>
      <c r="D250" s="299"/>
      <c r="E250" s="384">
        <v>2011</v>
      </c>
      <c r="F250" s="384">
        <v>2012</v>
      </c>
      <c r="G250" s="384">
        <v>2013</v>
      </c>
      <c r="H250" s="384">
        <v>2014</v>
      </c>
      <c r="I250" s="407">
        <v>2015</v>
      </c>
      <c r="J250" s="299"/>
      <c r="K250" s="373"/>
    </row>
    <row r="251" spans="1:11" s="374" customFormat="1" x14ac:dyDescent="0.2">
      <c r="A251" s="408" t="s">
        <v>92</v>
      </c>
      <c r="B251" s="208"/>
      <c r="C251" s="208"/>
      <c r="D251" s="299"/>
      <c r="E251" s="299"/>
      <c r="F251" s="299"/>
      <c r="G251" s="409">
        <v>5790000</v>
      </c>
      <c r="H251" s="409">
        <v>6030000</v>
      </c>
      <c r="I251" s="410">
        <v>8350000</v>
      </c>
      <c r="J251" s="299"/>
      <c r="K251" s="373"/>
    </row>
    <row r="252" spans="1:11" s="374" customFormat="1" x14ac:dyDescent="0.2">
      <c r="A252" s="425" t="s">
        <v>107</v>
      </c>
      <c r="B252" s="426"/>
      <c r="C252" s="426"/>
      <c r="D252" s="426"/>
      <c r="E252" s="426"/>
      <c r="F252" s="426"/>
      <c r="G252" s="427"/>
      <c r="H252" s="427"/>
      <c r="I252" s="428"/>
      <c r="J252" s="373"/>
      <c r="K252" s="373"/>
    </row>
    <row r="253" spans="1:11" s="374" customFormat="1" x14ac:dyDescent="0.2">
      <c r="A253" s="324" t="s">
        <v>93</v>
      </c>
      <c r="B253" s="299"/>
      <c r="C253" s="299"/>
      <c r="D253" s="299"/>
      <c r="E253" s="413">
        <v>2.5748753401775293E-2</v>
      </c>
      <c r="F253" s="413">
        <v>2.5748753401775293E-2</v>
      </c>
      <c r="G253" s="413">
        <v>2.5748753401775293E-2</v>
      </c>
      <c r="H253" s="413">
        <v>2.5748753401775293E-2</v>
      </c>
      <c r="I253" s="414">
        <v>2.5748753401775293E-2</v>
      </c>
      <c r="J253" s="299"/>
      <c r="K253" s="373"/>
    </row>
    <row r="254" spans="1:11" s="374" customFormat="1" x14ac:dyDescent="0.2">
      <c r="A254" s="324"/>
      <c r="B254" s="299"/>
      <c r="C254" s="299"/>
      <c r="D254" s="299"/>
      <c r="E254" s="415">
        <f>1+E253</f>
        <v>1.0257487534017753</v>
      </c>
      <c r="F254" s="415">
        <f>E254*(1+F253)</f>
        <v>1.052160505105296</v>
      </c>
      <c r="G254" s="415">
        <f>F254*(1+G253)</f>
        <v>1.0792523264903395</v>
      </c>
      <c r="H254" s="415">
        <f>G254*(1+H253)</f>
        <v>1.1070417285034315</v>
      </c>
      <c r="I254" s="416">
        <f>H254*(1+I253)</f>
        <v>1.1355466729761414</v>
      </c>
      <c r="J254" s="299"/>
      <c r="K254" s="373"/>
    </row>
    <row r="255" spans="1:11" s="374" customFormat="1" x14ac:dyDescent="0.2">
      <c r="A255" s="324"/>
      <c r="B255" s="299"/>
      <c r="C255" s="299"/>
      <c r="D255" s="299"/>
      <c r="E255" s="299"/>
      <c r="F255" s="299"/>
      <c r="G255" s="299"/>
      <c r="H255" s="299"/>
      <c r="I255" s="363"/>
      <c r="J255" s="299"/>
      <c r="K255" s="373"/>
    </row>
    <row r="256" spans="1:11" s="374" customFormat="1" x14ac:dyDescent="0.2">
      <c r="A256" s="408" t="s">
        <v>94</v>
      </c>
      <c r="B256" s="299"/>
      <c r="C256" s="299"/>
      <c r="D256" s="299"/>
      <c r="E256" s="299"/>
      <c r="F256" s="299"/>
      <c r="G256" s="388">
        <f>G251/G254</f>
        <v>5364825.1274368009</v>
      </c>
      <c r="H256" s="388">
        <f>H251/H254</f>
        <v>5446949.14811543</v>
      </c>
      <c r="I256" s="417">
        <f>I251/I254</f>
        <v>7353286.4819334811</v>
      </c>
      <c r="J256" s="299"/>
      <c r="K256" s="373"/>
    </row>
    <row r="257" spans="1:14" s="374" customFormat="1" x14ac:dyDescent="0.2">
      <c r="A257" s="324"/>
      <c r="B257" s="299"/>
      <c r="C257" s="299"/>
      <c r="D257" s="299"/>
      <c r="E257" s="299"/>
      <c r="F257" s="299"/>
      <c r="G257" s="299"/>
      <c r="H257" s="299"/>
      <c r="I257" s="363"/>
      <c r="J257" s="299"/>
      <c r="K257" s="373"/>
    </row>
    <row r="258" spans="1:14" s="374" customFormat="1" x14ac:dyDescent="0.2">
      <c r="A258" s="324"/>
      <c r="B258" s="299"/>
      <c r="C258" s="299"/>
      <c r="D258" s="299"/>
      <c r="E258" s="373"/>
      <c r="F258" s="299"/>
      <c r="G258" s="299"/>
      <c r="H258" s="299"/>
      <c r="I258" s="363"/>
      <c r="J258" s="299"/>
      <c r="K258" s="373"/>
    </row>
    <row r="259" spans="1:14" s="374" customFormat="1" x14ac:dyDescent="0.2">
      <c r="A259" s="324" t="s">
        <v>95</v>
      </c>
      <c r="B259" s="299"/>
      <c r="C259" s="299"/>
      <c r="D259" s="299"/>
      <c r="E259" s="418">
        <f>173.3/168.6-1</f>
        <v>2.7876631079478242E-2</v>
      </c>
      <c r="F259" s="418">
        <f>179.4/173.3-1</f>
        <v>3.5199076745527913E-2</v>
      </c>
      <c r="G259" s="418">
        <f>C17/C16-1</f>
        <v>2.0040080160320661E-2</v>
      </c>
      <c r="H259" s="418">
        <f>C18/C17-1</f>
        <v>2.16110019646365E-2</v>
      </c>
      <c r="I259" s="325">
        <f>C19/C18-1</f>
        <v>2.3076923076923217E-2</v>
      </c>
      <c r="J259" s="299"/>
      <c r="K259" s="373"/>
    </row>
    <row r="260" spans="1:14" s="374" customFormat="1" x14ac:dyDescent="0.2">
      <c r="A260" s="324"/>
      <c r="B260" s="299"/>
      <c r="C260" s="299"/>
      <c r="D260" s="299"/>
      <c r="E260" s="418">
        <f>1+E259</f>
        <v>1.0278766310794782</v>
      </c>
      <c r="F260" s="418">
        <f>E260*(1+F259)</f>
        <v>1.0640569395017794</v>
      </c>
      <c r="G260" s="418">
        <f>F260*(1+G259)</f>
        <v>1.0853807258645405</v>
      </c>
      <c r="H260" s="418">
        <f t="shared" ref="H260:I260" si="10">G260*(1+H259)</f>
        <v>1.1088368908635777</v>
      </c>
      <c r="I260" s="419">
        <f t="shared" si="10"/>
        <v>1.1344254344988911</v>
      </c>
      <c r="J260" s="299"/>
      <c r="K260" s="373"/>
    </row>
    <row r="261" spans="1:14" s="374" customFormat="1" x14ac:dyDescent="0.2">
      <c r="A261" s="324"/>
      <c r="B261" s="299"/>
      <c r="C261" s="299"/>
      <c r="D261" s="299"/>
      <c r="E261" s="299"/>
      <c r="F261" s="299"/>
      <c r="G261" s="299"/>
      <c r="H261" s="299"/>
      <c r="I261" s="363"/>
      <c r="J261" s="299"/>
      <c r="K261" s="373"/>
    </row>
    <row r="262" spans="1:14" s="374" customFormat="1" x14ac:dyDescent="0.2">
      <c r="A262" s="408" t="s">
        <v>96</v>
      </c>
      <c r="B262" s="299"/>
      <c r="C262" s="299"/>
      <c r="D262" s="299"/>
      <c r="E262" s="299"/>
      <c r="F262" s="299"/>
      <c r="G262" s="420">
        <f>G256*G260</f>
        <v>5822877.7909536809</v>
      </c>
      <c r="H262" s="420">
        <f>H256*H260</f>
        <v>6039778.1580883265</v>
      </c>
      <c r="I262" s="421">
        <f>I256*I260</f>
        <v>8341755.2122622114</v>
      </c>
      <c r="J262" s="299"/>
      <c r="K262" s="373"/>
    </row>
    <row r="263" spans="1:14" x14ac:dyDescent="0.2">
      <c r="A263" s="324"/>
      <c r="B263" s="299"/>
      <c r="C263" s="299"/>
      <c r="D263" s="299"/>
      <c r="E263" s="299"/>
      <c r="F263" s="299"/>
      <c r="G263" s="299"/>
      <c r="H263" s="299"/>
      <c r="I263" s="363"/>
      <c r="J263" s="299"/>
      <c r="K263" s="299"/>
    </row>
    <row r="264" spans="1:14" ht="13.5" thickBot="1" x14ac:dyDescent="0.25">
      <c r="A264" s="429"/>
      <c r="B264" s="430"/>
      <c r="C264" s="430"/>
      <c r="D264" s="430"/>
      <c r="E264" s="430"/>
      <c r="F264" s="430"/>
      <c r="G264" s="430"/>
      <c r="H264" s="430"/>
      <c r="I264" s="368"/>
      <c r="J264" s="299"/>
      <c r="K264" s="299"/>
    </row>
    <row r="265" spans="1:14" x14ac:dyDescent="0.2">
      <c r="A265" s="324"/>
      <c r="B265" s="299"/>
      <c r="C265" s="299"/>
      <c r="D265" s="299"/>
      <c r="E265" s="299"/>
      <c r="F265" s="299"/>
      <c r="G265" s="299"/>
      <c r="H265" s="299"/>
      <c r="I265" s="299"/>
      <c r="J265" s="299"/>
      <c r="K265" s="299"/>
    </row>
    <row r="266" spans="1:14" x14ac:dyDescent="0.2">
      <c r="A266" s="299"/>
      <c r="B266" s="299"/>
      <c r="C266" s="299"/>
      <c r="D266" s="299"/>
      <c r="E266" s="299"/>
      <c r="F266" s="299"/>
      <c r="G266" s="299"/>
      <c r="H266" s="299"/>
      <c r="I266" s="299"/>
      <c r="J266" s="299"/>
      <c r="K266" s="299"/>
    </row>
    <row r="267" spans="1:14" x14ac:dyDescent="0.2">
      <c r="A267" s="299"/>
      <c r="B267" s="299"/>
      <c r="C267" s="299"/>
      <c r="D267" s="299"/>
      <c r="E267" s="299"/>
      <c r="F267" s="299"/>
      <c r="G267" s="299"/>
      <c r="H267" s="299"/>
      <c r="I267" s="299"/>
      <c r="J267" s="299"/>
      <c r="K267" s="299"/>
    </row>
    <row r="268" spans="1:14" x14ac:dyDescent="0.2">
      <c r="A268" s="299"/>
      <c r="B268" s="299"/>
      <c r="C268" s="299"/>
      <c r="D268" s="299"/>
      <c r="E268" s="299"/>
      <c r="F268" s="299"/>
      <c r="G268" s="299"/>
      <c r="H268" s="299"/>
      <c r="I268" s="299"/>
      <c r="J268" s="299"/>
      <c r="K268" s="299"/>
    </row>
    <row r="269" spans="1:14" ht="13.5" thickBot="1" x14ac:dyDescent="0.25">
      <c r="A269" s="299"/>
      <c r="B269" s="299"/>
      <c r="C269" s="299"/>
      <c r="D269" s="299"/>
      <c r="E269" s="299"/>
      <c r="F269" s="299"/>
      <c r="G269" s="299"/>
      <c r="H269" s="299"/>
      <c r="I269" s="299"/>
      <c r="J269" s="299"/>
      <c r="K269" s="299"/>
      <c r="L269" s="299"/>
      <c r="M269" s="299"/>
    </row>
    <row r="270" spans="1:14" ht="15.75" x14ac:dyDescent="0.25">
      <c r="A270" s="727" t="s">
        <v>591</v>
      </c>
      <c r="B270" s="728"/>
      <c r="C270" s="728"/>
      <c r="D270" s="381"/>
      <c r="E270" s="381"/>
      <c r="F270" s="381"/>
      <c r="G270" s="381"/>
      <c r="H270" s="381"/>
      <c r="I270" s="381"/>
      <c r="J270" s="381"/>
      <c r="K270" s="381"/>
      <c r="L270" s="381"/>
      <c r="M270" s="381"/>
      <c r="N270" s="334"/>
    </row>
    <row r="271" spans="1:14" x14ac:dyDescent="0.2">
      <c r="A271" s="335" t="str">
        <f>C3</f>
        <v>United Energy</v>
      </c>
      <c r="B271" s="198"/>
      <c r="C271" s="198"/>
      <c r="D271" s="299"/>
      <c r="E271" s="299"/>
      <c r="F271" s="299"/>
      <c r="G271" s="299"/>
      <c r="H271" s="299"/>
      <c r="I271" s="299"/>
      <c r="J271" s="299"/>
      <c r="K271" s="299"/>
      <c r="L271" s="299"/>
      <c r="M271" s="299"/>
      <c r="N271" s="363"/>
    </row>
    <row r="272" spans="1:14" ht="15" x14ac:dyDescent="0.25">
      <c r="A272" s="324"/>
      <c r="B272" s="299"/>
      <c r="C272" s="729">
        <v>2009</v>
      </c>
      <c r="D272" s="729">
        <v>2010</v>
      </c>
      <c r="E272" s="729">
        <v>2011</v>
      </c>
      <c r="F272" s="729">
        <v>2012</v>
      </c>
      <c r="G272" s="730">
        <v>2013</v>
      </c>
      <c r="H272" s="729">
        <v>2014</v>
      </c>
      <c r="I272" s="730">
        <v>2015</v>
      </c>
      <c r="J272" s="731">
        <v>2016</v>
      </c>
      <c r="K272" s="731">
        <v>2017</v>
      </c>
      <c r="L272" s="731">
        <v>2018</v>
      </c>
      <c r="M272" s="731">
        <v>2019</v>
      </c>
      <c r="N272" s="732">
        <v>2020</v>
      </c>
    </row>
    <row r="273" spans="1:14" ht="15" x14ac:dyDescent="0.25">
      <c r="A273" s="733" t="s">
        <v>76</v>
      </c>
      <c r="B273" s="299"/>
      <c r="C273" s="734">
        <v>4.9810844892812067E-2</v>
      </c>
      <c r="D273" s="734">
        <v>1.2612612612612484E-2</v>
      </c>
      <c r="E273" s="734">
        <v>2.7876631079478242E-2</v>
      </c>
      <c r="F273" s="734">
        <v>3.5199076745527913E-2</v>
      </c>
      <c r="G273" s="735">
        <f>$F17</f>
        <v>2.0040080160320661E-2</v>
      </c>
      <c r="H273" s="418">
        <f>$F18</f>
        <v>2.16110019646365E-2</v>
      </c>
      <c r="I273" s="735">
        <f>$F19</f>
        <v>2.3076923076923217E-2</v>
      </c>
      <c r="J273" s="418">
        <f>$F20</f>
        <v>1.5037593984962294E-2</v>
      </c>
      <c r="K273" s="418">
        <f>$F22</f>
        <v>1.0232558139534831E-2</v>
      </c>
      <c r="L273" s="418">
        <f>$F23</f>
        <v>1.9337016574585641E-2</v>
      </c>
      <c r="M273" s="418">
        <f>$F24</f>
        <v>2.0776874435411097E-2</v>
      </c>
      <c r="N273" s="419">
        <f>$F25</f>
        <v>0</v>
      </c>
    </row>
    <row r="274" spans="1:14" s="194" customFormat="1" ht="15" x14ac:dyDescent="0.25">
      <c r="A274" s="736"/>
      <c r="B274" s="208"/>
      <c r="C274" s="737"/>
      <c r="D274" s="737"/>
      <c r="E274" s="737"/>
      <c r="F274" s="737"/>
      <c r="G274" s="738"/>
      <c r="H274" s="739"/>
      <c r="I274" s="738"/>
      <c r="J274" s="739"/>
      <c r="K274" s="739"/>
      <c r="L274" s="739"/>
      <c r="M274" s="739"/>
      <c r="N274" s="740"/>
    </row>
    <row r="275" spans="1:14" ht="15" x14ac:dyDescent="0.25">
      <c r="A275" s="733" t="s">
        <v>592</v>
      </c>
      <c r="B275" s="299"/>
      <c r="C275" s="734">
        <v>6.7716458658346301E-2</v>
      </c>
      <c r="D275" s="418">
        <f>$C275</f>
        <v>6.7716458658346301E-2</v>
      </c>
      <c r="E275" s="418">
        <f t="shared" ref="E275:G275" si="11">$C275</f>
        <v>6.7716458658346301E-2</v>
      </c>
      <c r="F275" s="418">
        <f t="shared" si="11"/>
        <v>6.7716458658346301E-2</v>
      </c>
      <c r="G275" s="735">
        <f t="shared" si="11"/>
        <v>6.7716458658346301E-2</v>
      </c>
      <c r="H275" s="734">
        <v>5.0239094369083762E-2</v>
      </c>
      <c r="I275" s="735">
        <f>H275</f>
        <v>5.0239094369083762E-2</v>
      </c>
      <c r="J275" s="418">
        <f>D43</f>
        <v>3.9330190400643471E-2</v>
      </c>
      <c r="K275" s="418">
        <f>E43</f>
        <v>3.869503168791262E-2</v>
      </c>
      <c r="L275" s="418">
        <f>F43</f>
        <v>3.8123822021083775E-2</v>
      </c>
      <c r="M275" s="418">
        <f>G43</f>
        <v>3.7516149645275165E-2</v>
      </c>
      <c r="N275" s="419">
        <f>H43</f>
        <v>3.7516149645275165E-2</v>
      </c>
    </row>
    <row r="276" spans="1:14" ht="15" x14ac:dyDescent="0.25">
      <c r="A276" s="733" t="s">
        <v>593</v>
      </c>
      <c r="B276" s="299"/>
      <c r="C276" s="741">
        <f t="shared" ref="C276:N276" si="12">(1+C275)*(1+C273)-1</f>
        <v>0.1209003175700798</v>
      </c>
      <c r="D276" s="741">
        <f t="shared" si="12"/>
        <v>8.1183152731514552E-2</v>
      </c>
      <c r="E276" s="741">
        <f t="shared" si="12"/>
        <v>9.7480796473851994E-2</v>
      </c>
      <c r="F276" s="741">
        <f t="shared" si="12"/>
        <v>0.10529909222912481</v>
      </c>
      <c r="G276" s="742">
        <f t="shared" si="12"/>
        <v>8.9113582078353293E-2</v>
      </c>
      <c r="H276" s="741">
        <f t="shared" si="12"/>
        <v>7.2935813500832225E-2</v>
      </c>
      <c r="I276" s="742">
        <f t="shared" si="12"/>
        <v>7.4475381162216747E-2</v>
      </c>
      <c r="J276" s="741">
        <f t="shared" si="12"/>
        <v>5.4959215820201912E-2</v>
      </c>
      <c r="K276" s="741">
        <f t="shared" si="12"/>
        <v>4.9323538988905291E-2</v>
      </c>
      <c r="L276" s="741">
        <f t="shared" si="12"/>
        <v>5.8198039573977622E-2</v>
      </c>
      <c r="M276" s="741">
        <f t="shared" si="12"/>
        <v>5.90724924111663E-2</v>
      </c>
      <c r="N276" s="743">
        <f t="shared" si="12"/>
        <v>3.7516149645275165E-2</v>
      </c>
    </row>
    <row r="277" spans="1:14" ht="15" x14ac:dyDescent="0.25">
      <c r="A277" s="733"/>
      <c r="B277" s="299"/>
      <c r="C277" s="299"/>
      <c r="D277" s="299"/>
      <c r="E277" s="299"/>
      <c r="F277" s="299"/>
      <c r="G277" s="349"/>
      <c r="H277" s="299"/>
      <c r="I277" s="349"/>
      <c r="J277" s="299"/>
      <c r="K277" s="299"/>
      <c r="L277" s="299"/>
      <c r="M277" s="299"/>
      <c r="N277" s="363"/>
    </row>
    <row r="278" spans="1:14" ht="15" x14ac:dyDescent="0.25">
      <c r="A278" s="733" t="s">
        <v>594</v>
      </c>
      <c r="B278" s="299"/>
      <c r="C278" s="744">
        <f>(1+C276)^0.5</f>
        <v>1.0587257990481198</v>
      </c>
      <c r="D278" s="745">
        <f t="shared" ref="D278:N278" si="13">C278*(D276+1)</f>
        <v>1.1446764972930381</v>
      </c>
      <c r="E278" s="745">
        <f t="shared" si="13"/>
        <v>1.2562604739540626</v>
      </c>
      <c r="F278" s="745">
        <f t="shared" si="13"/>
        <v>1.3885435614647554</v>
      </c>
      <c r="G278" s="746">
        <f t="shared" si="13"/>
        <v>1.5122816520987139</v>
      </c>
      <c r="H278" s="745">
        <f t="shared" si="13"/>
        <v>1.6225811446369161</v>
      </c>
      <c r="I278" s="746">
        <f t="shared" si="13"/>
        <v>1.7434234938503763</v>
      </c>
      <c r="J278" s="745">
        <f t="shared" si="13"/>
        <v>1.8392406819149096</v>
      </c>
      <c r="K278" s="745">
        <f t="shared" si="13"/>
        <v>1.9299585413993203</v>
      </c>
      <c r="L278" s="745">
        <f t="shared" si="13"/>
        <v>2.0422783449678139</v>
      </c>
      <c r="M278" s="745">
        <f t="shared" si="13"/>
        <v>2.1629208170024143</v>
      </c>
      <c r="N278" s="747">
        <f t="shared" si="13"/>
        <v>2.2440652780439576</v>
      </c>
    </row>
    <row r="279" spans="1:14" ht="15" x14ac:dyDescent="0.25">
      <c r="A279" s="748"/>
      <c r="B279" s="299"/>
      <c r="C279" s="299"/>
      <c r="D279" s="299"/>
      <c r="E279" s="299"/>
      <c r="F279" s="299"/>
      <c r="G279" s="299"/>
      <c r="H279" s="299"/>
      <c r="I279" s="299"/>
      <c r="J279" s="299"/>
      <c r="K279" s="299"/>
      <c r="L279" s="299"/>
      <c r="M279" s="299"/>
      <c r="N279" s="363"/>
    </row>
    <row r="280" spans="1:14" ht="15" x14ac:dyDescent="0.25">
      <c r="A280" s="749" t="s">
        <v>595</v>
      </c>
      <c r="B280" s="299"/>
      <c r="C280" s="299"/>
      <c r="D280" s="299"/>
      <c r="E280" s="299"/>
      <c r="F280" s="299"/>
      <c r="G280" s="299"/>
      <c r="H280" s="299"/>
      <c r="I280" s="299"/>
      <c r="J280" s="299"/>
      <c r="K280" s="299"/>
      <c r="L280" s="299"/>
      <c r="M280" s="299"/>
      <c r="N280" s="363"/>
    </row>
    <row r="281" spans="1:14" ht="15" x14ac:dyDescent="0.25">
      <c r="A281" s="750" t="s">
        <v>596</v>
      </c>
      <c r="B281" s="299"/>
      <c r="C281" s="299"/>
      <c r="D281" s="299"/>
      <c r="E281" s="299"/>
      <c r="F281" s="299"/>
      <c r="G281" s="299"/>
      <c r="H281" s="299"/>
      <c r="I281" s="299"/>
      <c r="J281" s="299"/>
      <c r="K281" s="299"/>
      <c r="L281" s="299"/>
      <c r="M281" s="299"/>
      <c r="N281" s="363"/>
    </row>
    <row r="282" spans="1:14" ht="15" x14ac:dyDescent="0.25">
      <c r="A282" s="751" t="s">
        <v>597</v>
      </c>
      <c r="B282" s="299"/>
      <c r="C282" s="299"/>
      <c r="D282" s="752">
        <v>-481.92374450009083</v>
      </c>
      <c r="E282" s="299"/>
      <c r="F282" s="299"/>
      <c r="G282" s="299"/>
      <c r="H282" s="299"/>
      <c r="I282" s="299"/>
      <c r="J282" s="299"/>
      <c r="K282" s="299"/>
      <c r="L282" s="299"/>
      <c r="M282" s="299"/>
      <c r="N282" s="363"/>
    </row>
    <row r="283" spans="1:14" ht="15" x14ac:dyDescent="0.25">
      <c r="A283" s="748"/>
      <c r="B283" s="299"/>
      <c r="C283" s="299"/>
      <c r="D283" s="299"/>
      <c r="E283" s="299"/>
      <c r="F283" s="299"/>
      <c r="G283" s="299"/>
      <c r="H283" s="299"/>
      <c r="I283" s="299"/>
      <c r="J283" s="299"/>
      <c r="K283" s="299"/>
      <c r="L283" s="299"/>
      <c r="M283" s="299"/>
      <c r="N283" s="363"/>
    </row>
    <row r="284" spans="1:14" ht="15" x14ac:dyDescent="0.25">
      <c r="A284" s="751" t="s">
        <v>591</v>
      </c>
      <c r="B284" s="299"/>
      <c r="C284" s="299"/>
      <c r="D284" s="753">
        <f>-D282*L278*10^3</f>
        <v>984222.42731833714</v>
      </c>
      <c r="E284" s="299"/>
      <c r="F284" s="299"/>
      <c r="G284" s="299"/>
      <c r="H284" s="299"/>
      <c r="I284" s="299"/>
      <c r="J284" s="299"/>
      <c r="K284" s="299"/>
      <c r="L284" s="299"/>
      <c r="M284" s="299"/>
      <c r="N284" s="363"/>
    </row>
    <row r="285" spans="1:14" ht="15" x14ac:dyDescent="0.25">
      <c r="A285" s="748"/>
      <c r="B285" s="299"/>
      <c r="C285" s="299"/>
      <c r="D285" s="299"/>
      <c r="E285" s="299"/>
      <c r="F285" s="299"/>
      <c r="G285" s="299"/>
      <c r="H285" s="299"/>
      <c r="I285" s="299"/>
      <c r="J285" s="299"/>
      <c r="K285" s="299"/>
      <c r="L285" s="299"/>
      <c r="M285" s="299"/>
      <c r="N285" s="363"/>
    </row>
    <row r="286" spans="1:14" ht="15" x14ac:dyDescent="0.25">
      <c r="A286" s="749" t="s">
        <v>598</v>
      </c>
      <c r="B286" s="299"/>
      <c r="C286" s="299"/>
      <c r="D286" s="299"/>
      <c r="E286" s="299"/>
      <c r="F286" s="299"/>
      <c r="G286" s="299"/>
      <c r="H286" s="299"/>
      <c r="I286" s="299"/>
      <c r="J286" s="299"/>
      <c r="K286" s="299"/>
      <c r="L286" s="299"/>
      <c r="M286" s="299"/>
      <c r="N286" s="363"/>
    </row>
    <row r="287" spans="1:14" x14ac:dyDescent="0.2">
      <c r="A287" s="754" t="s">
        <v>599</v>
      </c>
      <c r="B287" s="299"/>
      <c r="C287" s="299"/>
      <c r="D287" s="299"/>
      <c r="E287" s="299"/>
      <c r="F287" s="299"/>
      <c r="G287" s="299"/>
      <c r="H287" s="299"/>
      <c r="I287" s="299"/>
      <c r="J287" s="299"/>
      <c r="K287" s="299"/>
      <c r="L287" s="299"/>
      <c r="M287" s="299"/>
      <c r="N287" s="363"/>
    </row>
    <row r="288" spans="1:14" ht="15" x14ac:dyDescent="0.25">
      <c r="A288" s="751" t="s">
        <v>600</v>
      </c>
      <c r="B288" s="299"/>
      <c r="C288" s="299"/>
      <c r="D288" s="752">
        <v>-4121.1152311637416</v>
      </c>
      <c r="E288" s="299"/>
      <c r="F288" s="299"/>
      <c r="G288" s="299"/>
      <c r="H288" s="299"/>
      <c r="I288" s="299"/>
      <c r="J288" s="299"/>
      <c r="K288" s="299"/>
      <c r="L288" s="299"/>
      <c r="M288" s="299"/>
      <c r="N288" s="363"/>
    </row>
    <row r="289" spans="1:14" ht="15" x14ac:dyDescent="0.25">
      <c r="A289" s="755"/>
      <c r="B289" s="299"/>
      <c r="C289" s="299"/>
      <c r="D289" s="299"/>
      <c r="E289" s="299"/>
      <c r="F289" s="299"/>
      <c r="G289" s="299"/>
      <c r="H289" s="299"/>
      <c r="I289" s="299"/>
      <c r="J289" s="299"/>
      <c r="K289" s="299"/>
      <c r="L289" s="299"/>
      <c r="M289" s="299"/>
      <c r="N289" s="363"/>
    </row>
    <row r="290" spans="1:14" ht="15" x14ac:dyDescent="0.25">
      <c r="A290" s="751" t="s">
        <v>591</v>
      </c>
      <c r="B290" s="299"/>
      <c r="C290" s="299"/>
      <c r="D290" s="753">
        <f>D288*L278/I278*10^3</f>
        <v>-4827550.1755083334</v>
      </c>
      <c r="E290" s="299"/>
      <c r="F290" s="299"/>
      <c r="G290" s="299"/>
      <c r="H290" s="299"/>
      <c r="I290" s="299"/>
      <c r="J290" s="299"/>
      <c r="K290" s="299"/>
      <c r="L290" s="299"/>
      <c r="M290" s="299"/>
      <c r="N290" s="363"/>
    </row>
    <row r="291" spans="1:14" ht="15" x14ac:dyDescent="0.25">
      <c r="A291" s="748"/>
      <c r="B291" s="299"/>
      <c r="C291" s="299"/>
      <c r="D291" s="299"/>
      <c r="E291" s="299"/>
      <c r="F291" s="299"/>
      <c r="G291" s="299"/>
      <c r="H291" s="299"/>
      <c r="I291" s="299"/>
      <c r="J291" s="299"/>
      <c r="K291" s="299"/>
      <c r="L291" s="299"/>
      <c r="M291" s="299"/>
      <c r="N291" s="363"/>
    </row>
    <row r="292" spans="1:14" ht="15.75" x14ac:dyDescent="0.25">
      <c r="A292" s="756" t="s">
        <v>601</v>
      </c>
      <c r="B292" s="757"/>
      <c r="C292" s="299"/>
      <c r="D292" s="758">
        <f>SUM(D284,D290)</f>
        <v>-3843327.748189996</v>
      </c>
      <c r="E292" s="299"/>
      <c r="F292" s="299"/>
      <c r="G292" s="299"/>
      <c r="H292" s="299"/>
      <c r="I292" s="299"/>
      <c r="J292" s="299"/>
      <c r="K292" s="299"/>
      <c r="L292" s="299"/>
      <c r="M292" s="299"/>
      <c r="N292" s="363"/>
    </row>
    <row r="293" spans="1:14" ht="13.5" thickBot="1" x14ac:dyDescent="0.25">
      <c r="A293" s="429"/>
      <c r="B293" s="430"/>
      <c r="C293" s="430"/>
      <c r="D293" s="430"/>
      <c r="E293" s="430"/>
      <c r="F293" s="430"/>
      <c r="G293" s="430"/>
      <c r="H293" s="430"/>
      <c r="I293" s="430"/>
      <c r="J293" s="430"/>
      <c r="K293" s="430"/>
      <c r="L293" s="430"/>
      <c r="M293" s="430"/>
      <c r="N293" s="368"/>
    </row>
  </sheetData>
  <pageMargins left="0.74803149606299213" right="0.74803149606299213" top="0.98425196850393704" bottom="0.98425196850393704" header="0.51181102362204722" footer="0.51181102362204722"/>
  <pageSetup paperSize="9" scale="48"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tint="0.59999389629810485"/>
    <pageSetUpPr fitToPage="1"/>
  </sheetPr>
  <dimension ref="A1:W33"/>
  <sheetViews>
    <sheetView showGridLines="0" zoomScale="85" zoomScaleNormal="85" workbookViewId="0"/>
  </sheetViews>
  <sheetFormatPr defaultColWidth="9.140625" defaultRowHeight="12.75" x14ac:dyDescent="0.2"/>
  <cols>
    <col min="1" max="1" width="2" style="94" customWidth="1"/>
    <col min="2" max="2" width="49" style="94" customWidth="1"/>
    <col min="3" max="5" width="15.7109375" style="94" customWidth="1"/>
    <col min="6" max="6" width="1.42578125" style="94" customWidth="1"/>
    <col min="7" max="9" width="13.85546875" style="94" customWidth="1"/>
    <col min="10" max="10" width="2.140625" style="94" customWidth="1"/>
    <col min="11" max="13" width="13" style="94" customWidth="1"/>
    <col min="14" max="14" width="2.5703125" style="94" customWidth="1"/>
    <col min="15" max="17" width="13.28515625" style="94" customWidth="1"/>
    <col min="18" max="18" width="14.28515625" style="94" customWidth="1"/>
    <col min="19" max="19" width="4" style="94" customWidth="1"/>
    <col min="20" max="20" width="14.42578125" style="94" customWidth="1"/>
    <col min="21" max="21" width="14.5703125" style="94" customWidth="1"/>
    <col min="22" max="22" width="15.28515625" style="94" customWidth="1"/>
    <col min="23" max="23" width="10.42578125" style="94" customWidth="1"/>
    <col min="24" max="27" width="11.28515625" style="94" customWidth="1"/>
    <col min="28" max="28" width="3" style="94" customWidth="1"/>
    <col min="29" max="16384" width="9.140625" style="94"/>
  </cols>
  <sheetData>
    <row r="1" spans="1:23" x14ac:dyDescent="0.2">
      <c r="A1" s="89"/>
      <c r="B1" s="89" t="str">
        <f>"Tariff Approval - " &amp;'Model update'!C3</f>
        <v>Tariff Approval - United Energy</v>
      </c>
    </row>
    <row r="2" spans="1:23" x14ac:dyDescent="0.2">
      <c r="G2" s="231"/>
    </row>
    <row r="3" spans="1:23" ht="13.5" thickBot="1" x14ac:dyDescent="0.25">
      <c r="B3" s="89" t="str">
        <f>"PROPOSED "&amp;'Model update'!C5&amp;" UNMETERED SUPPLY TARIFF"</f>
        <v>PROPOSED 2019 UNMETERED SUPPLY TARIFF</v>
      </c>
    </row>
    <row r="4" spans="1:23" ht="13.5" thickBot="1" x14ac:dyDescent="0.25">
      <c r="B4" s="89"/>
      <c r="C4" s="170" t="str">
        <f>"P t-1 ("&amp;'Model update'!$C$8&amp;")"</f>
        <v>P t-1 (2018)</v>
      </c>
      <c r="D4" s="225"/>
      <c r="E4" s="226"/>
      <c r="G4" s="170" t="str">
        <f>"Pt ("&amp;'Model update'!$C$7&amp;")"</f>
        <v>Pt (2019)</v>
      </c>
      <c r="H4" s="227"/>
      <c r="I4" s="227"/>
      <c r="K4" s="170" t="str">
        <f>"Qt-2 ("&amp;'Model update'!$C$9&amp;")"</f>
        <v>Qt-2 (2017)</v>
      </c>
      <c r="L4" s="227"/>
      <c r="M4" s="227"/>
      <c r="O4" s="170" t="s">
        <v>182</v>
      </c>
      <c r="P4" s="227"/>
      <c r="Q4" s="228"/>
      <c r="T4" s="852" t="s">
        <v>183</v>
      </c>
      <c r="U4" s="853"/>
      <c r="V4" s="853"/>
    </row>
    <row r="5" spans="1:23" ht="13.5" thickBot="1" x14ac:dyDescent="0.25">
      <c r="B5" s="89"/>
      <c r="C5" s="90" t="s">
        <v>184</v>
      </c>
      <c r="D5" s="90" t="s">
        <v>185</v>
      </c>
      <c r="E5" s="90" t="s">
        <v>186</v>
      </c>
      <c r="G5" s="91" t="s">
        <v>184</v>
      </c>
      <c r="H5" s="91" t="s">
        <v>185</v>
      </c>
      <c r="I5" s="92" t="s">
        <v>186</v>
      </c>
      <c r="K5" s="90" t="s">
        <v>187</v>
      </c>
      <c r="L5" s="90" t="s">
        <v>188</v>
      </c>
      <c r="M5" s="93" t="s">
        <v>189</v>
      </c>
      <c r="O5" s="95" t="s">
        <v>190</v>
      </c>
      <c r="P5" s="95" t="s">
        <v>191</v>
      </c>
      <c r="Q5" s="95" t="s">
        <v>192</v>
      </c>
      <c r="R5" s="96" t="s">
        <v>193</v>
      </c>
      <c r="T5" s="90" t="s">
        <v>187</v>
      </c>
      <c r="U5" s="90" t="s">
        <v>188</v>
      </c>
      <c r="V5" s="93" t="s">
        <v>189</v>
      </c>
    </row>
    <row r="6" spans="1:23" x14ac:dyDescent="0.2">
      <c r="B6" s="229" t="s">
        <v>128</v>
      </c>
      <c r="C6" s="97" t="s">
        <v>194</v>
      </c>
      <c r="D6" s="97" t="s">
        <v>195</v>
      </c>
      <c r="E6" s="97" t="s">
        <v>196</v>
      </c>
      <c r="G6" s="97" t="s">
        <v>197</v>
      </c>
      <c r="H6" s="97" t="s">
        <v>198</v>
      </c>
      <c r="I6" s="97" t="s">
        <v>199</v>
      </c>
      <c r="K6" s="97" t="s">
        <v>200</v>
      </c>
      <c r="L6" s="97" t="s">
        <v>201</v>
      </c>
      <c r="M6" s="97" t="s">
        <v>202</v>
      </c>
      <c r="O6" s="98" t="s">
        <v>203</v>
      </c>
      <c r="P6" s="98" t="s">
        <v>204</v>
      </c>
      <c r="Q6" s="98" t="s">
        <v>205</v>
      </c>
      <c r="R6" s="229" t="s">
        <v>206</v>
      </c>
      <c r="T6" s="96" t="s">
        <v>207</v>
      </c>
      <c r="U6" s="96" t="s">
        <v>208</v>
      </c>
      <c r="V6" s="96" t="s">
        <v>209</v>
      </c>
      <c r="W6" s="96" t="s">
        <v>193</v>
      </c>
    </row>
    <row r="7" spans="1:23" ht="13.5" thickBot="1" x14ac:dyDescent="0.25">
      <c r="B7" s="230" t="s">
        <v>210</v>
      </c>
      <c r="C7" s="99"/>
      <c r="D7" s="99"/>
      <c r="E7" s="635">
        <v>1.347</v>
      </c>
      <c r="G7" s="100"/>
      <c r="H7" s="100"/>
      <c r="I7" s="695">
        <f>ROUNDDOWN(E7*(1+C14),3)</f>
        <v>1.3740000000000001</v>
      </c>
      <c r="K7" s="101"/>
      <c r="L7" s="101"/>
      <c r="M7" s="101">
        <v>120759</v>
      </c>
      <c r="O7" s="102">
        <f>IF($B7="","",C7*K7)</f>
        <v>0</v>
      </c>
      <c r="P7" s="102">
        <f>IF($B7="","",D7*L7)</f>
        <v>0</v>
      </c>
      <c r="Q7" s="102">
        <f>IF($B7="","",E7*M7)</f>
        <v>162662.37299999999</v>
      </c>
      <c r="R7" s="102">
        <f>SUM(O7:Q7)</f>
        <v>162662.37299999999</v>
      </c>
      <c r="S7" s="231"/>
      <c r="T7" s="232">
        <f>IF($B7="","",G7*K7)</f>
        <v>0</v>
      </c>
      <c r="U7" s="232">
        <f>IF($B7="","",H7*L7)</f>
        <v>0</v>
      </c>
      <c r="V7" s="232">
        <f>IF($B7="","",I7*M7)</f>
        <v>165922.86600000001</v>
      </c>
      <c r="W7" s="232">
        <f>SUM(T7:V7)</f>
        <v>165922.86600000001</v>
      </c>
    </row>
    <row r="8" spans="1:23" x14ac:dyDescent="0.2">
      <c r="B8" s="89"/>
    </row>
    <row r="9" spans="1:23" x14ac:dyDescent="0.2">
      <c r="B9" s="89"/>
    </row>
    <row r="10" spans="1:23" x14ac:dyDescent="0.2">
      <c r="B10" s="89" t="s">
        <v>211</v>
      </c>
    </row>
    <row r="11" spans="1:23" ht="13.5" thickBot="1" x14ac:dyDescent="0.25"/>
    <row r="12" spans="1:23" x14ac:dyDescent="0.2">
      <c r="B12" s="233" t="s">
        <v>76</v>
      </c>
      <c r="C12" s="234"/>
      <c r="D12" s="235"/>
      <c r="E12" s="235"/>
      <c r="F12" s="235"/>
      <c r="G12" s="235"/>
      <c r="H12" s="235"/>
      <c r="I12" s="235"/>
    </row>
    <row r="13" spans="1:23" ht="6" customHeight="1" x14ac:dyDescent="0.2">
      <c r="B13" s="236"/>
      <c r="C13" s="237"/>
      <c r="D13" s="235"/>
      <c r="E13" s="235"/>
      <c r="F13" s="235"/>
      <c r="G13" s="103"/>
      <c r="H13" s="235"/>
      <c r="I13" s="235"/>
      <c r="J13" s="89"/>
    </row>
    <row r="14" spans="1:23" x14ac:dyDescent="0.2">
      <c r="B14" s="236" t="str">
        <f>"CPI "&amp;'Model update'!C5</f>
        <v>CPI 2019</v>
      </c>
      <c r="C14" s="104">
        <f>'Model update'!C30</f>
        <v>2.0776874435411097E-2</v>
      </c>
      <c r="D14" s="235"/>
      <c r="E14" s="235"/>
      <c r="F14" s="235"/>
      <c r="G14" s="235"/>
      <c r="H14" s="235"/>
      <c r="I14" s="235"/>
    </row>
    <row r="15" spans="1:23" ht="13.5" thickBot="1" x14ac:dyDescent="0.25">
      <c r="B15" s="238"/>
      <c r="C15" s="239"/>
      <c r="D15" s="235"/>
      <c r="E15" s="235"/>
      <c r="F15" s="235"/>
      <c r="G15" s="235"/>
      <c r="H15" s="235"/>
      <c r="I15" s="235"/>
    </row>
    <row r="16" spans="1:23" x14ac:dyDescent="0.2">
      <c r="D16" s="235"/>
      <c r="E16" s="235"/>
      <c r="F16" s="235"/>
      <c r="G16" s="235"/>
      <c r="H16" s="235"/>
      <c r="I16" s="235"/>
    </row>
    <row r="18" spans="2:8" ht="13.5" thickBot="1" x14ac:dyDescent="0.25"/>
    <row r="19" spans="2:8" x14ac:dyDescent="0.2">
      <c r="B19" s="233" t="str">
        <f>""&amp;'Model update'!C5&amp; " Unmetered Supplies price control"</f>
        <v>2019 Unmetered Supplies price control</v>
      </c>
      <c r="C19" s="240"/>
      <c r="D19" s="240"/>
      <c r="E19" s="240"/>
      <c r="F19" s="240"/>
      <c r="G19" s="240"/>
      <c r="H19" s="234"/>
    </row>
    <row r="20" spans="2:8" x14ac:dyDescent="0.2">
      <c r="B20" s="236"/>
      <c r="C20" s="241"/>
      <c r="D20" s="241"/>
      <c r="E20" s="241"/>
      <c r="F20" s="241"/>
      <c r="G20" s="241"/>
      <c r="H20" s="237"/>
    </row>
    <row r="21" spans="2:8" x14ac:dyDescent="0.2">
      <c r="B21" s="168" t="s">
        <v>212</v>
      </c>
      <c r="C21" s="241"/>
      <c r="D21" s="241"/>
      <c r="E21" s="241"/>
      <c r="F21" s="241"/>
      <c r="G21" s="242">
        <f>1+C14</f>
        <v>1.0207768744354111</v>
      </c>
      <c r="H21" s="237"/>
    </row>
    <row r="22" spans="2:8" x14ac:dyDescent="0.2">
      <c r="B22" s="168"/>
      <c r="C22" s="241"/>
      <c r="D22" s="241"/>
      <c r="E22" s="241"/>
      <c r="F22" s="241"/>
      <c r="G22" s="243"/>
      <c r="H22" s="237"/>
    </row>
    <row r="23" spans="2:8" x14ac:dyDescent="0.2">
      <c r="B23" s="168" t="s">
        <v>213</v>
      </c>
      <c r="C23" s="241"/>
      <c r="D23" s="241"/>
      <c r="E23" s="241"/>
      <c r="F23" s="241"/>
      <c r="G23" s="244">
        <f>'2019 Unmetered supply'!W7</f>
        <v>165922.86600000001</v>
      </c>
      <c r="H23" s="237"/>
    </row>
    <row r="24" spans="2:8" x14ac:dyDescent="0.2">
      <c r="B24" s="168" t="s">
        <v>214</v>
      </c>
      <c r="C24" s="241"/>
      <c r="D24" s="241"/>
      <c r="E24" s="241"/>
      <c r="F24" s="241"/>
      <c r="G24" s="245">
        <f>'2019 Unmetered supply'!R7</f>
        <v>162662.37299999999</v>
      </c>
      <c r="H24" s="237"/>
    </row>
    <row r="25" spans="2:8" x14ac:dyDescent="0.2">
      <c r="B25" s="168" t="s">
        <v>215</v>
      </c>
      <c r="C25" s="241"/>
      <c r="D25" s="241"/>
      <c r="E25" s="241"/>
      <c r="F25" s="241"/>
      <c r="G25" s="164">
        <f>IF(G23&gt;0,G23/G24,"")</f>
        <v>1.0200445434298442</v>
      </c>
      <c r="H25" s="237"/>
    </row>
    <row r="26" spans="2:8" x14ac:dyDescent="0.2">
      <c r="B26" s="236"/>
      <c r="C26" s="241"/>
      <c r="D26" s="241"/>
      <c r="E26" s="241"/>
      <c r="F26" s="241"/>
      <c r="G26" s="241"/>
      <c r="H26" s="237"/>
    </row>
    <row r="27" spans="2:8" ht="13.5" thickBot="1" x14ac:dyDescent="0.25">
      <c r="B27" s="246" t="str">
        <f>IF(G25="","", IF(G25&lt;=G21,"UNMETERED SUPPLIES PRICE CONTROL FORMULA COMPLIANT","UNMETERED SUPPLIES CONTROL FORMULA BREACHED"))</f>
        <v>UNMETERED SUPPLIES PRICE CONTROL FORMULA COMPLIANT</v>
      </c>
      <c r="C27" s="247"/>
      <c r="D27" s="247"/>
      <c r="E27" s="247"/>
      <c r="F27" s="247"/>
      <c r="G27" s="248"/>
      <c r="H27" s="239"/>
    </row>
    <row r="33" spans="2:2" x14ac:dyDescent="0.2">
      <c r="B33" s="289"/>
    </row>
  </sheetData>
  <mergeCells count="1">
    <mergeCell ref="T4:V4"/>
  </mergeCells>
  <pageMargins left="0.74803149606299213" right="0.74803149606299213" top="0.98425196850393704" bottom="0.98425196850393704" header="0.51181102362204722" footer="0.51181102362204722"/>
  <pageSetup paperSize="9" scale="44" orientation="landscape" r:id="rId1"/>
  <headerFooter alignWithMargins="0">
    <oddFooter>&amp;L&amp;T / &amp;D&amp;C&amp;P of &amp;N&amp;R&amp;F</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00FF"/>
  </sheetPr>
  <dimension ref="A1:V92"/>
  <sheetViews>
    <sheetView zoomScale="85" zoomScaleNormal="85" workbookViewId="0"/>
  </sheetViews>
  <sheetFormatPr defaultRowHeight="12.75" x14ac:dyDescent="0.2"/>
  <cols>
    <col min="1" max="1" width="1.85546875" style="210" customWidth="1"/>
    <col min="2" max="2" width="37.28515625" style="210" customWidth="1"/>
    <col min="3" max="3" width="33.42578125" style="210" customWidth="1"/>
    <col min="4" max="4" width="22" style="210" customWidth="1"/>
    <col min="5" max="6" width="20" style="210" customWidth="1"/>
    <col min="7" max="7" width="2.28515625" style="210" customWidth="1"/>
    <col min="8" max="8" width="19.42578125" style="210" customWidth="1"/>
    <col min="9" max="9" width="20.28515625" style="210" customWidth="1"/>
    <col min="10" max="10" width="2.28515625" style="210" customWidth="1"/>
    <col min="11" max="11" width="14.7109375" style="210" customWidth="1"/>
    <col min="12" max="12" width="16.140625" style="210" customWidth="1"/>
    <col min="13" max="16384" width="9.140625" style="210"/>
  </cols>
  <sheetData>
    <row r="1" spans="1:18" s="194" customFormat="1" ht="15" x14ac:dyDescent="0.25">
      <c r="A1" s="259"/>
      <c r="B1" s="193" t="str">
        <f>"Tariff Approval - "&amp;'Model update'!C3</f>
        <v>Tariff Approval - United Energy</v>
      </c>
      <c r="C1" s="193"/>
      <c r="D1" s="279"/>
      <c r="E1" s="279"/>
      <c r="F1" s="279"/>
      <c r="G1" s="259"/>
      <c r="H1" s="259"/>
      <c r="I1" s="193"/>
      <c r="J1" s="259"/>
      <c r="K1" s="259"/>
      <c r="L1" s="259"/>
      <c r="M1" s="196"/>
      <c r="N1" s="196"/>
      <c r="O1" s="196"/>
      <c r="P1" s="196"/>
      <c r="Q1" s="196"/>
      <c r="R1" s="196"/>
    </row>
    <row r="2" spans="1:18" s="194" customFormat="1" x14ac:dyDescent="0.2">
      <c r="A2" s="259"/>
      <c r="B2" s="259"/>
      <c r="C2" s="259"/>
      <c r="D2" s="279"/>
      <c r="E2" s="259"/>
      <c r="F2" s="259"/>
      <c r="G2" s="259"/>
      <c r="H2" s="279"/>
      <c r="I2" s="259"/>
      <c r="J2" s="259"/>
      <c r="K2" s="259"/>
      <c r="L2" s="259"/>
      <c r="M2" s="196"/>
      <c r="N2" s="196"/>
      <c r="O2" s="196"/>
      <c r="P2" s="196"/>
      <c r="Q2" s="196"/>
      <c r="R2" s="196"/>
    </row>
    <row r="3" spans="1:18" s="194" customFormat="1" x14ac:dyDescent="0.2">
      <c r="A3" s="259"/>
      <c r="B3" s="195" t="str">
        <f>"PROPOSED "&amp;'Model update'!$C$5&amp;" METERING TARIFFS AND REVENUE"</f>
        <v>PROPOSED 2019 METERING TARIFFS AND REVENUE</v>
      </c>
      <c r="C3" s="195"/>
      <c r="D3" s="279"/>
      <c r="E3" s="279"/>
      <c r="F3" s="259"/>
      <c r="G3" s="259"/>
      <c r="H3" s="259"/>
      <c r="I3" s="195"/>
      <c r="J3" s="259"/>
      <c r="K3" s="259"/>
      <c r="L3" s="259"/>
      <c r="M3" s="196"/>
      <c r="N3" s="196"/>
      <c r="O3" s="196"/>
      <c r="P3" s="196"/>
      <c r="Q3" s="196"/>
      <c r="R3" s="196"/>
    </row>
    <row r="4" spans="1:18" s="194" customFormat="1" ht="15.75" thickBot="1" x14ac:dyDescent="0.3">
      <c r="A4" s="259"/>
      <c r="B4" s="193"/>
      <c r="C4" s="193"/>
      <c r="D4" s="259"/>
      <c r="E4" s="259"/>
      <c r="F4" s="259"/>
      <c r="G4" s="259"/>
      <c r="H4" s="259"/>
      <c r="I4" s="193"/>
      <c r="J4" s="259"/>
      <c r="K4" s="259"/>
      <c r="L4" s="259"/>
      <c r="M4" s="196"/>
      <c r="N4" s="196"/>
      <c r="O4" s="196"/>
      <c r="P4" s="196"/>
      <c r="Q4" s="196"/>
      <c r="R4" s="196"/>
    </row>
    <row r="5" spans="1:18" s="194" customFormat="1" ht="26.25" thickBot="1" x14ac:dyDescent="0.25">
      <c r="A5" s="196"/>
      <c r="B5" s="196"/>
      <c r="C5" s="196"/>
      <c r="D5" s="197" t="str">
        <f>"Proposed Metering Tariffs P(t) for " &amp;'Model update'!$C$5</f>
        <v>Proposed Metering Tariffs P(t) for 2019</v>
      </c>
      <c r="E5" s="197" t="str">
        <f>"Current Metering Tariffs P(t-1) for" &amp;'Model update'!$C$8</f>
        <v>Current Metering Tariffs P(t-1) for2018</v>
      </c>
      <c r="F5" s="197" t="str">
        <f>"Forecast Quantities   (Qt) for "&amp;'Model update'!$C$5</f>
        <v>Forecast Quantities   (Qt) for 2019</v>
      </c>
      <c r="G5" s="199"/>
      <c r="H5" s="197" t="str">
        <f>"Forecast Revenue (Pt "&amp;'Model update'!$C$5&amp;")*(Qt " &amp;'Model update'!$C$5&amp;")"</f>
        <v>Forecast Revenue (Pt 2019)*(Qt 2019)</v>
      </c>
      <c r="I5" s="197" t="str">
        <f>"Revenue                    (Pt-1 "&amp;'Model update'!$C$8&amp;")*(Qt " &amp;'Model update'!$C$5&amp;")"</f>
        <v>Revenue                    (Pt-1 2018)*(Qt 2019)</v>
      </c>
      <c r="J5" s="199"/>
      <c r="K5" s="443" t="s">
        <v>235</v>
      </c>
      <c r="L5" s="444" t="s">
        <v>387</v>
      </c>
      <c r="M5" s="196"/>
      <c r="N5" s="196"/>
      <c r="O5" s="196"/>
      <c r="P5" s="196"/>
      <c r="Q5" s="196"/>
      <c r="R5" s="196"/>
    </row>
    <row r="6" spans="1:18" s="194" customFormat="1" ht="25.5" x14ac:dyDescent="0.2">
      <c r="A6" s="196"/>
      <c r="B6" s="200" t="s">
        <v>128</v>
      </c>
      <c r="C6" s="201" t="s">
        <v>129</v>
      </c>
      <c r="D6" s="202" t="s">
        <v>345</v>
      </c>
      <c r="E6" s="202" t="s">
        <v>346</v>
      </c>
      <c r="F6" s="202" t="s">
        <v>347</v>
      </c>
      <c r="G6" s="199"/>
      <c r="H6" s="202" t="s">
        <v>148</v>
      </c>
      <c r="I6" s="202" t="s">
        <v>163</v>
      </c>
      <c r="J6" s="199"/>
      <c r="K6" s="445"/>
      <c r="L6" s="445"/>
      <c r="M6" s="196"/>
      <c r="N6" s="196"/>
      <c r="O6" s="196"/>
      <c r="P6" s="196"/>
      <c r="Q6" s="196"/>
      <c r="R6" s="196"/>
    </row>
    <row r="7" spans="1:18" s="194" customFormat="1" x14ac:dyDescent="0.2">
      <c r="A7" s="196"/>
      <c r="B7" s="203"/>
      <c r="C7" s="204"/>
      <c r="D7" s="280"/>
      <c r="E7" s="280"/>
      <c r="F7" s="205"/>
      <c r="G7" s="199"/>
      <c r="H7" s="439"/>
      <c r="I7" s="440"/>
      <c r="J7" s="199"/>
      <c r="K7" s="446"/>
      <c r="L7" s="447"/>
      <c r="M7" s="196"/>
      <c r="N7" s="196"/>
      <c r="O7" s="196"/>
      <c r="P7" s="196"/>
      <c r="Q7" s="196"/>
      <c r="R7" s="196"/>
    </row>
    <row r="8" spans="1:18" s="194" customFormat="1" x14ac:dyDescent="0.2">
      <c r="A8" s="196"/>
      <c r="B8" s="203" t="s">
        <v>415</v>
      </c>
      <c r="C8" s="204" t="s">
        <v>415</v>
      </c>
      <c r="D8" s="696">
        <v>57</v>
      </c>
      <c r="E8" s="281">
        <v>57.581000000000003</v>
      </c>
      <c r="F8" s="697">
        <v>537954</v>
      </c>
      <c r="G8" s="199"/>
      <c r="H8" s="439">
        <f t="shared" ref="H8:H16" si="0">D8*F8</f>
        <v>30663378</v>
      </c>
      <c r="I8" s="439">
        <f t="shared" ref="I8:I16" si="1">E8*F8</f>
        <v>30975929.274</v>
      </c>
      <c r="J8" s="199"/>
      <c r="K8" s="448">
        <f>IFERROR(H8/I8,"")</f>
        <v>0.98990986610166543</v>
      </c>
      <c r="L8" s="449" t="str">
        <f t="shared" ref="L8:L16" si="2">IF(B8="","",IF(K8&lt;$I$30,"COMPLIANT","BREACHED"))</f>
        <v>COMPLIANT</v>
      </c>
      <c r="M8" s="196"/>
      <c r="N8" s="196"/>
      <c r="O8" s="196"/>
      <c r="P8" s="196"/>
      <c r="Q8" s="196"/>
      <c r="R8" s="196"/>
    </row>
    <row r="9" spans="1:18" s="194" customFormat="1" x14ac:dyDescent="0.2">
      <c r="A9" s="196"/>
      <c r="B9" s="203" t="s">
        <v>416</v>
      </c>
      <c r="C9" s="204" t="s">
        <v>416</v>
      </c>
      <c r="D9" s="696">
        <v>57</v>
      </c>
      <c r="E9" s="281">
        <v>57.581000000000003</v>
      </c>
      <c r="F9" s="697">
        <v>55062</v>
      </c>
      <c r="G9" s="199"/>
      <c r="H9" s="439">
        <f t="shared" si="0"/>
        <v>3138534</v>
      </c>
      <c r="I9" s="439">
        <f t="shared" si="1"/>
        <v>3170525.0220000003</v>
      </c>
      <c r="J9" s="199"/>
      <c r="K9" s="448">
        <f t="shared" ref="K9:K16" si="3">IFERROR(H9/I9,"")</f>
        <v>0.98990986610166543</v>
      </c>
      <c r="L9" s="449" t="str">
        <f t="shared" si="2"/>
        <v>COMPLIANT</v>
      </c>
      <c r="M9" s="196"/>
      <c r="N9" s="196"/>
      <c r="O9" s="196"/>
      <c r="P9" s="196"/>
      <c r="Q9" s="196"/>
      <c r="R9" s="196"/>
    </row>
    <row r="10" spans="1:18" s="194" customFormat="1" x14ac:dyDescent="0.2">
      <c r="A10" s="196"/>
      <c r="B10" s="203" t="s">
        <v>417</v>
      </c>
      <c r="C10" s="204" t="s">
        <v>417</v>
      </c>
      <c r="D10" s="696">
        <v>64.28</v>
      </c>
      <c r="E10" s="281">
        <v>64.927000000000007</v>
      </c>
      <c r="F10" s="697">
        <v>102706</v>
      </c>
      <c r="G10" s="199"/>
      <c r="H10" s="439">
        <f t="shared" si="0"/>
        <v>6601941.6799999997</v>
      </c>
      <c r="I10" s="439">
        <f t="shared" si="1"/>
        <v>6668392.4620000003</v>
      </c>
      <c r="J10" s="199"/>
      <c r="K10" s="448">
        <f t="shared" si="3"/>
        <v>0.9900349623423228</v>
      </c>
      <c r="L10" s="449" t="str">
        <f t="shared" si="2"/>
        <v>COMPLIANT</v>
      </c>
      <c r="M10" s="196"/>
      <c r="N10" s="196"/>
      <c r="O10" s="196"/>
      <c r="P10" s="196"/>
      <c r="Q10" s="196"/>
      <c r="R10" s="196"/>
    </row>
    <row r="11" spans="1:18" s="194" customFormat="1" x14ac:dyDescent="0.2">
      <c r="A11" s="196"/>
      <c r="B11" s="203" t="s">
        <v>418</v>
      </c>
      <c r="C11" s="204" t="s">
        <v>418</v>
      </c>
      <c r="D11" s="696">
        <v>68.150000000000006</v>
      </c>
      <c r="E11" s="281">
        <v>68.844999999999999</v>
      </c>
      <c r="F11" s="697">
        <v>3188</v>
      </c>
      <c r="G11" s="199"/>
      <c r="H11" s="439">
        <f t="shared" si="0"/>
        <v>217262.2</v>
      </c>
      <c r="I11" s="439">
        <f t="shared" si="1"/>
        <v>219477.86</v>
      </c>
      <c r="J11" s="199"/>
      <c r="K11" s="448">
        <f t="shared" si="3"/>
        <v>0.98990485874064937</v>
      </c>
      <c r="L11" s="449" t="str">
        <f t="shared" si="2"/>
        <v>COMPLIANT</v>
      </c>
      <c r="M11" s="196"/>
      <c r="N11" s="196"/>
      <c r="O11" s="196"/>
      <c r="P11" s="196"/>
      <c r="Q11" s="196"/>
      <c r="R11" s="196"/>
    </row>
    <row r="12" spans="1:18" s="194" customFormat="1" x14ac:dyDescent="0.2">
      <c r="A12" s="196"/>
      <c r="B12" s="203"/>
      <c r="C12" s="204"/>
      <c r="D12" s="282"/>
      <c r="E12" s="282"/>
      <c r="F12" s="283"/>
      <c r="G12" s="199"/>
      <c r="H12" s="439">
        <f t="shared" si="0"/>
        <v>0</v>
      </c>
      <c r="I12" s="439">
        <f t="shared" si="1"/>
        <v>0</v>
      </c>
      <c r="J12" s="199"/>
      <c r="K12" s="448" t="str">
        <f t="shared" si="3"/>
        <v/>
      </c>
      <c r="L12" s="449" t="str">
        <f t="shared" si="2"/>
        <v/>
      </c>
      <c r="M12" s="196"/>
      <c r="N12" s="196"/>
      <c r="O12" s="196"/>
      <c r="P12" s="196"/>
      <c r="Q12" s="196"/>
      <c r="R12" s="196"/>
    </row>
    <row r="13" spans="1:18" s="194" customFormat="1" x14ac:dyDescent="0.2">
      <c r="A13" s="196"/>
      <c r="B13" s="203"/>
      <c r="C13" s="204"/>
      <c r="D13" s="282"/>
      <c r="E13" s="282"/>
      <c r="F13" s="283"/>
      <c r="G13" s="199"/>
      <c r="H13" s="439">
        <f t="shared" si="0"/>
        <v>0</v>
      </c>
      <c r="I13" s="439">
        <f t="shared" si="1"/>
        <v>0</v>
      </c>
      <c r="J13" s="199"/>
      <c r="K13" s="448" t="str">
        <f t="shared" si="3"/>
        <v/>
      </c>
      <c r="L13" s="449" t="str">
        <f t="shared" si="2"/>
        <v/>
      </c>
      <c r="M13" s="196"/>
      <c r="N13" s="196"/>
      <c r="O13" s="196"/>
      <c r="P13" s="196"/>
      <c r="Q13" s="196"/>
      <c r="R13" s="196"/>
    </row>
    <row r="14" spans="1:18" s="194" customFormat="1" x14ac:dyDescent="0.2">
      <c r="A14" s="196"/>
      <c r="B14" s="203"/>
      <c r="C14" s="204"/>
      <c r="D14" s="282"/>
      <c r="E14" s="282"/>
      <c r="F14" s="283"/>
      <c r="G14" s="199"/>
      <c r="H14" s="439">
        <f t="shared" si="0"/>
        <v>0</v>
      </c>
      <c r="I14" s="439">
        <f t="shared" si="1"/>
        <v>0</v>
      </c>
      <c r="J14" s="199"/>
      <c r="K14" s="448" t="str">
        <f t="shared" si="3"/>
        <v/>
      </c>
      <c r="L14" s="449" t="str">
        <f t="shared" si="2"/>
        <v/>
      </c>
      <c r="M14" s="196"/>
      <c r="N14" s="196"/>
      <c r="O14" s="196"/>
      <c r="P14" s="196"/>
      <c r="Q14" s="196"/>
      <c r="R14" s="196"/>
    </row>
    <row r="15" spans="1:18" s="194" customFormat="1" x14ac:dyDescent="0.2">
      <c r="A15" s="196"/>
      <c r="B15" s="203"/>
      <c r="C15" s="204"/>
      <c r="D15" s="282"/>
      <c r="E15" s="282"/>
      <c r="F15" s="283"/>
      <c r="G15" s="199"/>
      <c r="H15" s="439">
        <f t="shared" si="0"/>
        <v>0</v>
      </c>
      <c r="I15" s="439">
        <f t="shared" si="1"/>
        <v>0</v>
      </c>
      <c r="J15" s="199"/>
      <c r="K15" s="448" t="str">
        <f t="shared" si="3"/>
        <v/>
      </c>
      <c r="L15" s="449" t="str">
        <f t="shared" si="2"/>
        <v/>
      </c>
      <c r="M15" s="196"/>
      <c r="N15" s="196"/>
      <c r="O15" s="196"/>
      <c r="P15" s="196"/>
      <c r="Q15" s="196"/>
      <c r="R15" s="196"/>
    </row>
    <row r="16" spans="1:18" s="194" customFormat="1" ht="13.5" thickBot="1" x14ac:dyDescent="0.25">
      <c r="A16" s="196"/>
      <c r="B16" s="206"/>
      <c r="C16" s="207"/>
      <c r="D16" s="284"/>
      <c r="E16" s="284"/>
      <c r="F16" s="285"/>
      <c r="G16" s="199"/>
      <c r="H16" s="441">
        <f t="shared" si="0"/>
        <v>0</v>
      </c>
      <c r="I16" s="441">
        <f t="shared" si="1"/>
        <v>0</v>
      </c>
      <c r="J16" s="199"/>
      <c r="K16" s="519" t="str">
        <f t="shared" si="3"/>
        <v/>
      </c>
      <c r="L16" s="450" t="str">
        <f t="shared" si="2"/>
        <v/>
      </c>
      <c r="M16" s="196"/>
      <c r="N16" s="196"/>
      <c r="O16" s="196"/>
      <c r="P16" s="196"/>
      <c r="Q16" s="196"/>
      <c r="R16" s="196"/>
    </row>
    <row r="17" spans="1:22" s="208" customFormat="1" ht="13.5" thickBot="1" x14ac:dyDescent="0.25">
      <c r="A17" s="199"/>
      <c r="B17" s="199"/>
      <c r="C17" s="199"/>
      <c r="D17" s="199"/>
      <c r="E17" s="199"/>
      <c r="F17" s="199"/>
      <c r="G17" s="199"/>
      <c r="H17" s="442">
        <f>SUM(H7:H16)</f>
        <v>40621115.880000003</v>
      </c>
      <c r="I17" s="442">
        <f>SUM(I7:I16)</f>
        <v>41034324.618000001</v>
      </c>
      <c r="J17" s="199"/>
      <c r="K17" s="199"/>
      <c r="L17" s="199"/>
      <c r="M17" s="199"/>
      <c r="N17" s="199"/>
      <c r="O17" s="199"/>
      <c r="P17" s="199"/>
      <c r="Q17" s="199"/>
      <c r="R17" s="199"/>
    </row>
    <row r="18" spans="1:22" s="194" customFormat="1" ht="13.5" thickTop="1" x14ac:dyDescent="0.2">
      <c r="A18" s="196"/>
      <c r="B18" s="196"/>
      <c r="C18" s="196"/>
      <c r="D18" s="196"/>
      <c r="E18" s="196"/>
      <c r="F18" s="196"/>
      <c r="G18" s="196"/>
      <c r="H18" s="196"/>
      <c r="I18" s="196"/>
      <c r="J18" s="196"/>
      <c r="K18" s="196"/>
      <c r="L18" s="196"/>
      <c r="M18" s="196"/>
      <c r="N18" s="196"/>
      <c r="O18" s="196"/>
      <c r="P18" s="196"/>
      <c r="Q18" s="196"/>
      <c r="R18" s="196"/>
    </row>
    <row r="19" spans="1:22" s="194" customFormat="1" x14ac:dyDescent="0.2">
      <c r="A19" s="196"/>
      <c r="B19" s="196"/>
      <c r="C19" s="196"/>
      <c r="D19" s="196"/>
      <c r="E19" s="196"/>
      <c r="F19" s="196"/>
      <c r="G19" s="196"/>
      <c r="H19" s="196"/>
      <c r="I19" s="196"/>
      <c r="J19" s="196"/>
      <c r="K19" s="196"/>
      <c r="L19" s="196"/>
      <c r="M19" s="196"/>
      <c r="N19" s="196"/>
      <c r="O19" s="196"/>
      <c r="P19" s="196"/>
      <c r="Q19" s="196"/>
      <c r="R19" s="196"/>
    </row>
    <row r="20" spans="1:22" s="194" customFormat="1" x14ac:dyDescent="0.2">
      <c r="A20" s="196"/>
      <c r="B20" s="196"/>
      <c r="C20" s="196"/>
      <c r="D20" s="196"/>
      <c r="E20" s="196"/>
      <c r="F20" s="196"/>
      <c r="G20" s="196"/>
      <c r="H20" s="196"/>
      <c r="I20" s="196"/>
      <c r="J20" s="196"/>
      <c r="K20" s="196"/>
      <c r="L20" s="196"/>
      <c r="M20" s="196"/>
      <c r="N20" s="196"/>
      <c r="O20" s="196"/>
      <c r="P20" s="196"/>
      <c r="Q20" s="196"/>
      <c r="R20" s="196"/>
    </row>
    <row r="21" spans="1:22" s="194" customFormat="1" x14ac:dyDescent="0.2">
      <c r="A21" s="196"/>
      <c r="B21" s="196"/>
      <c r="C21" s="196"/>
      <c r="D21" s="196"/>
      <c r="E21" s="196"/>
      <c r="F21" s="196"/>
      <c r="G21" s="196"/>
      <c r="H21" s="196"/>
      <c r="I21" s="196"/>
      <c r="J21" s="196"/>
      <c r="K21" s="196"/>
      <c r="L21" s="196"/>
      <c r="M21" s="196"/>
      <c r="N21" s="196"/>
      <c r="O21" s="196"/>
      <c r="P21" s="196"/>
      <c r="Q21" s="196"/>
      <c r="R21" s="196"/>
    </row>
    <row r="22" spans="1:22" s="35" customFormat="1" ht="15" x14ac:dyDescent="0.25">
      <c r="A22" s="32"/>
      <c r="B22" s="73" t="s">
        <v>267</v>
      </c>
      <c r="C22" s="437"/>
      <c r="D22" s="779">
        <f>'Model update'!C5</f>
        <v>2019</v>
      </c>
      <c r="E22" s="780">
        <f>D22-1</f>
        <v>2018</v>
      </c>
      <c r="H22" s="75"/>
      <c r="I22" s="75"/>
      <c r="J22" s="75"/>
      <c r="K22" s="75"/>
      <c r="L22" s="75"/>
      <c r="M22" s="194"/>
      <c r="N22" s="77"/>
      <c r="O22" s="77"/>
      <c r="P22" s="77"/>
      <c r="Q22" s="77"/>
      <c r="R22" s="77"/>
    </row>
    <row r="23" spans="1:22" s="35" customFormat="1" ht="15" x14ac:dyDescent="0.25">
      <c r="A23" s="32"/>
      <c r="B23" s="37"/>
      <c r="C23" s="40"/>
      <c r="D23" s="41"/>
      <c r="E23" s="781"/>
      <c r="F23" s="32"/>
      <c r="G23" s="215"/>
      <c r="H23" s="216"/>
      <c r="I23" s="215"/>
      <c r="J23" s="215"/>
      <c r="K23" s="83"/>
      <c r="L23" s="83"/>
      <c r="M23" s="83"/>
      <c r="N23" s="83"/>
      <c r="O23" s="83"/>
      <c r="P23" s="83"/>
      <c r="Q23" s="32"/>
    </row>
    <row r="24" spans="1:22" s="35" customFormat="1" ht="18" customHeight="1" x14ac:dyDescent="0.2">
      <c r="A24" s="43"/>
      <c r="B24" s="44" t="s">
        <v>374</v>
      </c>
      <c r="C24" s="45"/>
      <c r="D24" s="46"/>
      <c r="E24" s="782"/>
      <c r="G24" s="212"/>
      <c r="H24" s="854" t="s">
        <v>386</v>
      </c>
      <c r="I24" s="855"/>
      <c r="J24" s="212"/>
      <c r="K24" s="47"/>
      <c r="L24" s="77"/>
      <c r="M24" s="77"/>
      <c r="N24" s="77"/>
      <c r="O24" s="77"/>
      <c r="P24" s="77"/>
    </row>
    <row r="25" spans="1:22" s="35" customFormat="1" ht="18" customHeight="1" x14ac:dyDescent="0.2">
      <c r="A25" s="43"/>
      <c r="B25" s="178" t="s">
        <v>375</v>
      </c>
      <c r="C25" s="174"/>
      <c r="D25" s="72">
        <f>H17</f>
        <v>40621115.880000003</v>
      </c>
      <c r="E25" s="782"/>
      <c r="G25" s="212"/>
      <c r="H25" s="217" t="str">
        <f>"CPI "&amp;'Model update'!$C$5</f>
        <v>CPI 2019</v>
      </c>
      <c r="I25" s="221">
        <f>D37</f>
        <v>2.0776874435411097E-2</v>
      </c>
      <c r="J25" s="212"/>
      <c r="K25" s="47"/>
      <c r="L25" s="77"/>
      <c r="M25" s="77"/>
      <c r="N25" s="77"/>
      <c r="O25" s="77"/>
      <c r="P25" s="77"/>
    </row>
    <row r="26" spans="1:22" s="35" customFormat="1" ht="18" customHeight="1" x14ac:dyDescent="0.2">
      <c r="A26" s="43"/>
      <c r="B26" s="179" t="s">
        <v>376</v>
      </c>
      <c r="C26" s="175"/>
      <c r="D26" s="85">
        <f>D33</f>
        <v>40622420.44859115</v>
      </c>
      <c r="E26" s="782"/>
      <c r="F26" s="161"/>
      <c r="G26" s="75"/>
      <c r="H26" s="218" t="str">
        <f>"X "&amp; 'Model update'!$C$5</f>
        <v>X 2019</v>
      </c>
      <c r="I26" s="222">
        <f>MIN(D38,0)</f>
        <v>0</v>
      </c>
      <c r="J26" s="75"/>
      <c r="K26" s="47"/>
      <c r="L26" s="77"/>
      <c r="M26" s="77"/>
      <c r="N26" s="77"/>
      <c r="O26" s="77"/>
      <c r="P26" s="77"/>
    </row>
    <row r="27" spans="1:22" s="35" customFormat="1" ht="18" customHeight="1" x14ac:dyDescent="0.25">
      <c r="A27" s="43"/>
      <c r="B27" s="86"/>
      <c r="C27" s="87"/>
      <c r="D27" s="88" t="str">
        <f>IF(D25="","",IF(D26&gt;=D25,"METERING REVENUE CAP FORMULA COMPLIANT","METERING REVENUE CAP FORMULA BREACHED"))</f>
        <v>METERING REVENUE CAP FORMULA COMPLIANT</v>
      </c>
      <c r="E27" s="783"/>
      <c r="F27" s="75"/>
      <c r="G27" s="75"/>
      <c r="H27" s="218" t="str">
        <f>"Tt "&amp;'Model update'!$C$5</f>
        <v>Tt 2019</v>
      </c>
      <c r="I27" s="778">
        <f>(D31-E31)/I$17</f>
        <v>9.3661289273519382E-2</v>
      </c>
      <c r="J27" s="75"/>
      <c r="K27" s="47"/>
      <c r="L27" s="77"/>
      <c r="M27" s="77"/>
      <c r="N27" s="77"/>
      <c r="O27" s="77"/>
      <c r="P27" s="77"/>
      <c r="T27" s="51"/>
      <c r="U27" s="51"/>
      <c r="V27" s="51"/>
    </row>
    <row r="28" spans="1:22" s="35" customFormat="1" ht="18" customHeight="1" x14ac:dyDescent="0.25">
      <c r="A28" s="43"/>
      <c r="B28" s="50"/>
      <c r="C28" s="50"/>
      <c r="D28" s="50"/>
      <c r="E28" s="783"/>
      <c r="F28" s="75"/>
      <c r="G28" s="75"/>
      <c r="H28" s="218" t="str">
        <f>"Bt "&amp;'Model update'!$C$5</f>
        <v>Bt 2019</v>
      </c>
      <c r="I28" s="827">
        <f>(D32-E32)/I$17</f>
        <v>-5.4263093561378456E-2</v>
      </c>
      <c r="J28" s="75"/>
      <c r="K28" s="47"/>
      <c r="L28" s="77"/>
      <c r="M28" s="77"/>
      <c r="N28" s="77"/>
      <c r="O28" s="77"/>
      <c r="P28" s="77"/>
      <c r="T28" s="51"/>
      <c r="U28" s="51"/>
      <c r="V28" s="51"/>
    </row>
    <row r="29" spans="1:22" s="35" customFormat="1" ht="18" customHeight="1" x14ac:dyDescent="0.25">
      <c r="A29" s="43"/>
      <c r="B29" s="44" t="s">
        <v>378</v>
      </c>
      <c r="C29" s="50"/>
      <c r="D29" s="50"/>
      <c r="E29" s="783"/>
      <c r="F29" s="75"/>
      <c r="G29" s="75"/>
      <c r="H29" s="211"/>
      <c r="I29" s="223"/>
      <c r="J29" s="75"/>
      <c r="K29" s="47"/>
      <c r="L29" s="77"/>
      <c r="M29" s="77"/>
      <c r="N29" s="77"/>
      <c r="O29" s="77"/>
      <c r="P29" s="77"/>
      <c r="T29" s="51"/>
      <c r="U29" s="51"/>
      <c r="V29" s="51"/>
    </row>
    <row r="30" spans="1:22" s="35" customFormat="1" ht="18" customHeight="1" x14ac:dyDescent="0.25">
      <c r="A30" s="43"/>
      <c r="B30" s="180" t="s">
        <v>377</v>
      </c>
      <c r="C30" s="52"/>
      <c r="D30" s="64">
        <f>D39</f>
        <v>40463426.300492376</v>
      </c>
      <c r="E30" s="783"/>
      <c r="F30" s="75"/>
      <c r="G30" s="75"/>
      <c r="H30" s="211"/>
      <c r="I30" s="224">
        <f>(1+I25)*(1-I26)*(1+0.02)+SUM(I27:I28)</f>
        <v>1.0805906076362604</v>
      </c>
      <c r="J30" s="75"/>
      <c r="K30" s="47"/>
      <c r="L30" s="77"/>
      <c r="M30" s="77"/>
      <c r="N30" s="77"/>
      <c r="O30" s="77"/>
      <c r="P30" s="77"/>
      <c r="T30" s="51"/>
      <c r="U30" s="51"/>
      <c r="V30" s="51"/>
    </row>
    <row r="31" spans="1:22" s="35" customFormat="1" ht="18" customHeight="1" x14ac:dyDescent="0.25">
      <c r="A31" s="43"/>
      <c r="B31" s="181" t="s">
        <v>380</v>
      </c>
      <c r="C31" s="176"/>
      <c r="D31" s="767"/>
      <c r="E31" s="784">
        <f>'Model update'!D292</f>
        <v>-3843327.748189996</v>
      </c>
      <c r="F31" s="75"/>
      <c r="G31" s="75"/>
      <c r="H31" s="213"/>
      <c r="I31" s="214"/>
      <c r="J31" s="75"/>
      <c r="K31" s="47"/>
      <c r="L31" s="77"/>
      <c r="M31" s="77"/>
      <c r="N31" s="77"/>
      <c r="O31" s="77"/>
      <c r="P31" s="77"/>
      <c r="T31" s="51"/>
      <c r="U31" s="51"/>
      <c r="V31" s="51"/>
    </row>
    <row r="32" spans="1:22" s="35" customFormat="1" ht="18" customHeight="1" x14ac:dyDescent="0.25">
      <c r="A32" s="43"/>
      <c r="B32" s="181" t="s">
        <v>109</v>
      </c>
      <c r="C32" s="55"/>
      <c r="D32" s="828">
        <f>-F68*(1+F66)^0.5</f>
        <v>158994.14809877411</v>
      </c>
      <c r="E32" s="784">
        <v>2385643.5440732837</v>
      </c>
      <c r="F32" s="75"/>
      <c r="G32" s="212"/>
      <c r="K32" s="77"/>
      <c r="L32" s="77"/>
      <c r="M32" s="77"/>
      <c r="N32" s="77"/>
      <c r="O32" s="77"/>
      <c r="P32" s="77"/>
      <c r="T32" s="51"/>
      <c r="U32" s="51"/>
      <c r="V32" s="51"/>
    </row>
    <row r="33" spans="1:22" s="35" customFormat="1" ht="18" customHeight="1" x14ac:dyDescent="0.25">
      <c r="A33" s="43"/>
      <c r="B33" s="178" t="s">
        <v>119</v>
      </c>
      <c r="C33" s="177"/>
      <c r="D33" s="192">
        <f>SUM(D30:D32)</f>
        <v>40622420.44859115</v>
      </c>
      <c r="E33" s="783"/>
      <c r="F33" s="75"/>
      <c r="G33" s="75"/>
      <c r="H33" s="75"/>
      <c r="I33" s="75"/>
      <c r="J33" s="75"/>
      <c r="K33" s="77"/>
      <c r="L33" s="77"/>
      <c r="M33" s="77"/>
      <c r="N33" s="77"/>
      <c r="O33" s="77"/>
      <c r="P33" s="77"/>
      <c r="T33" s="51"/>
      <c r="U33" s="51"/>
      <c r="V33" s="51"/>
    </row>
    <row r="34" spans="1:22" s="35" customFormat="1" ht="18" customHeight="1" x14ac:dyDescent="0.25">
      <c r="A34" s="43"/>
      <c r="B34" s="56"/>
      <c r="C34" s="56"/>
      <c r="D34" s="106"/>
      <c r="E34" s="74"/>
      <c r="F34" s="75"/>
      <c r="G34" s="75"/>
      <c r="H34" s="75"/>
      <c r="I34" s="75"/>
      <c r="J34" s="75"/>
      <c r="K34" s="77"/>
      <c r="L34" s="77"/>
      <c r="M34" s="77"/>
      <c r="N34" s="77"/>
      <c r="O34" s="77"/>
      <c r="P34" s="77"/>
      <c r="T34" s="51"/>
      <c r="U34" s="51"/>
      <c r="V34" s="51"/>
    </row>
    <row r="35" spans="1:22" s="35" customFormat="1" ht="18" customHeight="1" x14ac:dyDescent="0.25">
      <c r="A35" s="43"/>
      <c r="B35" s="44" t="s">
        <v>379</v>
      </c>
      <c r="C35" s="50"/>
      <c r="D35" s="50"/>
      <c r="E35" s="74"/>
      <c r="F35" s="75"/>
      <c r="G35" s="75"/>
      <c r="H35" s="75"/>
      <c r="I35" s="75"/>
      <c r="J35" s="75"/>
      <c r="K35" s="77"/>
      <c r="L35" s="77"/>
      <c r="M35" s="77"/>
      <c r="N35" s="77"/>
      <c r="O35" s="77"/>
      <c r="P35" s="77"/>
      <c r="T35" s="51"/>
      <c r="U35" s="51"/>
      <c r="V35" s="51"/>
    </row>
    <row r="36" spans="1:22" s="35" customFormat="1" ht="18" customHeight="1" x14ac:dyDescent="0.25">
      <c r="A36" s="43"/>
      <c r="B36" s="178" t="s">
        <v>121</v>
      </c>
      <c r="C36" s="175"/>
      <c r="D36" s="846">
        <v>42149500.363178596</v>
      </c>
      <c r="E36" s="847"/>
      <c r="F36" s="75"/>
      <c r="G36" s="75"/>
      <c r="H36" s="75"/>
      <c r="I36" s="75"/>
      <c r="J36" s="75"/>
      <c r="K36" s="77"/>
      <c r="L36" s="77"/>
      <c r="M36" s="77"/>
      <c r="N36" s="77"/>
      <c r="O36" s="77"/>
      <c r="P36" s="77"/>
      <c r="T36" s="51"/>
      <c r="U36" s="51"/>
      <c r="V36" s="51"/>
    </row>
    <row r="37" spans="1:22" s="35" customFormat="1" ht="18" customHeight="1" x14ac:dyDescent="0.25">
      <c r="A37" s="43"/>
      <c r="B37" s="180" t="s">
        <v>110</v>
      </c>
      <c r="C37" s="175"/>
      <c r="D37" s="67">
        <f>'Model update'!C30</f>
        <v>2.0776874435411097E-2</v>
      </c>
      <c r="E37" s="74"/>
      <c r="F37" s="75"/>
      <c r="G37" s="75"/>
      <c r="H37" s="75"/>
      <c r="I37" s="75"/>
      <c r="J37" s="75"/>
      <c r="K37" s="77"/>
      <c r="L37" s="77"/>
      <c r="M37" s="77"/>
      <c r="N37" s="77"/>
      <c r="O37" s="77"/>
      <c r="P37" s="77"/>
      <c r="T37" s="51"/>
      <c r="U37" s="51"/>
      <c r="V37" s="51"/>
    </row>
    <row r="38" spans="1:22" s="35" customFormat="1" ht="18" customHeight="1" x14ac:dyDescent="0.25">
      <c r="A38" s="43"/>
      <c r="B38" s="180" t="s">
        <v>111</v>
      </c>
      <c r="C38" s="176"/>
      <c r="D38" s="67">
        <f>'Model update'!B72</f>
        <v>5.9542008892518941E-2</v>
      </c>
      <c r="E38" s="74"/>
      <c r="F38" s="75"/>
      <c r="G38" s="75"/>
      <c r="H38" s="75"/>
      <c r="I38" s="75"/>
      <c r="J38" s="75"/>
      <c r="K38" s="77"/>
      <c r="L38" s="77"/>
      <c r="M38" s="77"/>
      <c r="N38" s="77"/>
      <c r="O38" s="77"/>
      <c r="P38" s="77"/>
      <c r="T38" s="51"/>
      <c r="U38" s="51"/>
      <c r="V38" s="51"/>
    </row>
    <row r="39" spans="1:22" s="35" customFormat="1" ht="18" customHeight="1" x14ac:dyDescent="0.25">
      <c r="A39" s="43"/>
      <c r="B39" s="178" t="s">
        <v>120</v>
      </c>
      <c r="C39" s="177"/>
      <c r="D39" s="65">
        <f>IF(D22=2016,'Model update'!D72,(D36*(1+D37)*(1-D38)))</f>
        <v>40463426.300492376</v>
      </c>
      <c r="E39" s="74"/>
      <c r="F39" s="75"/>
      <c r="G39" s="75"/>
      <c r="H39" s="75"/>
      <c r="I39" s="75"/>
      <c r="J39" s="75"/>
      <c r="K39" s="77"/>
      <c r="L39" s="77"/>
      <c r="M39" s="77"/>
      <c r="N39" s="77"/>
      <c r="O39" s="77"/>
      <c r="P39" s="77"/>
      <c r="T39" s="51"/>
      <c r="U39" s="51"/>
      <c r="V39" s="51"/>
    </row>
    <row r="40" spans="1:22" s="35" customFormat="1" ht="18" customHeight="1" x14ac:dyDescent="0.25">
      <c r="A40" s="43"/>
      <c r="B40" s="57"/>
      <c r="C40" s="44"/>
      <c r="D40" s="68"/>
      <c r="E40" s="74"/>
      <c r="F40" s="75"/>
      <c r="G40" s="75"/>
      <c r="H40" s="75"/>
      <c r="I40" s="75"/>
      <c r="J40" s="75"/>
      <c r="K40" s="77"/>
      <c r="L40" s="77"/>
      <c r="M40" s="77"/>
      <c r="N40" s="77"/>
      <c r="O40" s="77"/>
      <c r="P40" s="77"/>
      <c r="T40" s="51"/>
      <c r="U40" s="51"/>
      <c r="V40" s="51"/>
    </row>
    <row r="41" spans="1:22" s="35" customFormat="1" ht="14.25" x14ac:dyDescent="0.2">
      <c r="A41" s="32"/>
      <c r="B41" s="132"/>
      <c r="C41" s="33"/>
      <c r="D41" s="34"/>
      <c r="H41" s="36"/>
    </row>
    <row r="42" spans="1:22" s="35" customFormat="1" ht="14.25" x14ac:dyDescent="0.2">
      <c r="A42" s="32"/>
      <c r="B42" s="132"/>
      <c r="C42" s="33"/>
      <c r="D42" s="34"/>
      <c r="H42" s="36"/>
    </row>
    <row r="43" spans="1:22" s="35" customFormat="1" ht="14.25" x14ac:dyDescent="0.2">
      <c r="A43" s="32"/>
      <c r="B43" s="132"/>
      <c r="C43" s="33"/>
      <c r="D43" s="34"/>
      <c r="H43" s="36"/>
    </row>
    <row r="44" spans="1:22" s="35" customFormat="1" ht="15.75" x14ac:dyDescent="0.25">
      <c r="A44" s="32"/>
      <c r="B44" s="219" t="s">
        <v>385</v>
      </c>
      <c r="C44" s="33"/>
      <c r="D44" s="34"/>
      <c r="H44" s="36"/>
    </row>
    <row r="45" spans="1:22" s="35" customFormat="1" ht="15" x14ac:dyDescent="0.25">
      <c r="A45" s="32"/>
      <c r="B45" s="183"/>
      <c r="C45" s="187"/>
      <c r="D45" s="126" t="s">
        <v>266</v>
      </c>
      <c r="E45" s="126" t="s">
        <v>575</v>
      </c>
      <c r="F45" s="126" t="s">
        <v>35</v>
      </c>
      <c r="H45" s="36"/>
    </row>
    <row r="46" spans="1:22" s="35" customFormat="1" ht="15" x14ac:dyDescent="0.25">
      <c r="A46" s="32"/>
      <c r="B46" s="184"/>
      <c r="C46" s="188"/>
      <c r="D46" s="127" t="s">
        <v>34</v>
      </c>
      <c r="E46" s="127" t="s">
        <v>484</v>
      </c>
      <c r="F46" s="127" t="s">
        <v>36</v>
      </c>
      <c r="H46" s="36"/>
    </row>
    <row r="47" spans="1:22" s="35" customFormat="1" ht="15" x14ac:dyDescent="0.25">
      <c r="A47" s="32"/>
      <c r="B47" s="184"/>
      <c r="C47" s="188"/>
      <c r="D47" s="128">
        <f>E47-1</f>
        <v>2017</v>
      </c>
      <c r="E47" s="128">
        <f>F47-1</f>
        <v>2018</v>
      </c>
      <c r="F47" s="128">
        <f>D$22</f>
        <v>2019</v>
      </c>
      <c r="H47" s="36"/>
    </row>
    <row r="48" spans="1:22" s="35" customFormat="1" ht="14.25" x14ac:dyDescent="0.2">
      <c r="A48" s="32"/>
      <c r="B48" s="184"/>
      <c r="C48" s="188"/>
      <c r="D48" s="112"/>
      <c r="E48" s="112"/>
      <c r="F48" s="124"/>
      <c r="H48" s="36"/>
    </row>
    <row r="49" spans="1:8" s="35" customFormat="1" ht="15" x14ac:dyDescent="0.25">
      <c r="A49" s="32"/>
      <c r="B49" s="182" t="s">
        <v>381</v>
      </c>
      <c r="C49" s="188"/>
      <c r="D49" s="111">
        <v>42579408</v>
      </c>
      <c r="E49" s="651">
        <f>E89</f>
        <v>40688838.618000001</v>
      </c>
      <c r="F49" s="110">
        <f>D25</f>
        <v>40621115.880000003</v>
      </c>
      <c r="H49" s="36"/>
    </row>
    <row r="50" spans="1:8" s="35" customFormat="1" ht="14.25" x14ac:dyDescent="0.2">
      <c r="A50" s="32"/>
      <c r="B50" s="185"/>
      <c r="C50" s="188"/>
      <c r="D50" s="112"/>
      <c r="E50" s="112"/>
      <c r="F50" s="123"/>
      <c r="H50" s="36"/>
    </row>
    <row r="51" spans="1:8" s="35" customFormat="1" ht="14.25" x14ac:dyDescent="0.2">
      <c r="A51" s="32"/>
      <c r="B51" s="185"/>
      <c r="C51" s="188"/>
      <c r="D51" s="112"/>
      <c r="E51" s="112"/>
      <c r="F51" s="123"/>
      <c r="H51" s="36"/>
    </row>
    <row r="52" spans="1:8" s="35" customFormat="1" ht="15" x14ac:dyDescent="0.25">
      <c r="A52" s="32"/>
      <c r="B52" s="186" t="s">
        <v>382</v>
      </c>
      <c r="C52" s="188"/>
      <c r="D52" s="110">
        <f>SUM(D53:D54)</f>
        <v>43849328.04395432</v>
      </c>
      <c r="E52" s="110">
        <f>SUM(E53:E54)</f>
        <v>38306172.614988603</v>
      </c>
      <c r="F52" s="110">
        <f>SUM(F53:F54)</f>
        <v>40463426.300492376</v>
      </c>
      <c r="H52" s="36"/>
    </row>
    <row r="53" spans="1:8" s="35" customFormat="1" ht="14.25" x14ac:dyDescent="0.2">
      <c r="A53" s="32"/>
      <c r="B53" s="159" t="s">
        <v>260</v>
      </c>
      <c r="C53" s="188"/>
      <c r="D53" s="760">
        <v>43849328.04395432</v>
      </c>
      <c r="E53" s="173">
        <f>D36</f>
        <v>42149500.363178596</v>
      </c>
      <c r="F53" s="451">
        <f>D30</f>
        <v>40463426.300492376</v>
      </c>
      <c r="H53" s="36"/>
    </row>
    <row r="54" spans="1:8" s="35" customFormat="1" ht="14.25" x14ac:dyDescent="0.2">
      <c r="A54" s="32"/>
      <c r="B54" s="159" t="s">
        <v>383</v>
      </c>
      <c r="C54" s="188"/>
      <c r="D54" s="133">
        <v>0</v>
      </c>
      <c r="E54" s="133">
        <f>E31</f>
        <v>-3843327.748189996</v>
      </c>
      <c r="F54" s="134">
        <f>D31</f>
        <v>0</v>
      </c>
      <c r="H54" s="36"/>
    </row>
    <row r="55" spans="1:8" s="35" customFormat="1" ht="14.25" x14ac:dyDescent="0.2">
      <c r="A55" s="32"/>
      <c r="B55" s="159"/>
      <c r="C55" s="188"/>
      <c r="D55" s="160"/>
      <c r="E55" s="160"/>
      <c r="F55" s="125"/>
      <c r="H55" s="36"/>
    </row>
    <row r="56" spans="1:8" s="35" customFormat="1" ht="14.25" x14ac:dyDescent="0.2">
      <c r="A56" s="32"/>
      <c r="B56" s="130"/>
      <c r="C56" s="188"/>
      <c r="D56" s="112"/>
      <c r="E56" s="112"/>
      <c r="F56" s="123"/>
      <c r="H56" s="36"/>
    </row>
    <row r="57" spans="1:8" s="35" customFormat="1" ht="15" x14ac:dyDescent="0.25">
      <c r="A57" s="32"/>
      <c r="B57" s="131" t="s">
        <v>45</v>
      </c>
      <c r="C57" s="191"/>
      <c r="D57" s="110">
        <f>D49-D52</f>
        <v>-1269920.0439543203</v>
      </c>
      <c r="E57" s="110">
        <f>E49-E52</f>
        <v>2382666.003011398</v>
      </c>
      <c r="F57" s="110">
        <f>F49-F52</f>
        <v>157689.57950762659</v>
      </c>
      <c r="H57" s="36"/>
    </row>
    <row r="58" spans="1:8" s="35" customFormat="1" ht="14.25" x14ac:dyDescent="0.2">
      <c r="A58" s="32"/>
      <c r="B58" s="220"/>
      <c r="C58" s="33"/>
      <c r="E58" s="34"/>
      <c r="H58" s="36"/>
    </row>
    <row r="59" spans="1:8" s="35" customFormat="1" ht="14.25" x14ac:dyDescent="0.2">
      <c r="A59" s="32"/>
      <c r="B59" s="220"/>
      <c r="C59" s="33"/>
      <c r="E59" s="34"/>
      <c r="H59" s="36"/>
    </row>
    <row r="60" spans="1:8" s="35" customFormat="1" ht="14.25" x14ac:dyDescent="0.2">
      <c r="A60" s="32"/>
      <c r="B60" s="220"/>
      <c r="C60" s="33"/>
      <c r="E60" s="34"/>
      <c r="H60" s="36"/>
    </row>
    <row r="61" spans="1:8" s="35" customFormat="1" ht="15.75" x14ac:dyDescent="0.25">
      <c r="A61" s="32"/>
      <c r="B61" s="219" t="s">
        <v>384</v>
      </c>
      <c r="C61" s="33"/>
      <c r="E61" s="34"/>
      <c r="H61" s="36"/>
    </row>
    <row r="62" spans="1:8" s="35" customFormat="1" ht="15" x14ac:dyDescent="0.25">
      <c r="A62" s="32"/>
      <c r="B62" s="129"/>
      <c r="C62" s="187"/>
      <c r="D62" s="126" t="s">
        <v>266</v>
      </c>
      <c r="E62" s="126" t="s">
        <v>575</v>
      </c>
      <c r="F62" s="126" t="s">
        <v>35</v>
      </c>
      <c r="H62" s="36"/>
    </row>
    <row r="63" spans="1:8" s="35" customFormat="1" ht="15" x14ac:dyDescent="0.25">
      <c r="A63" s="32"/>
      <c r="B63" s="130"/>
      <c r="C63" s="188"/>
      <c r="D63" s="127" t="s">
        <v>34</v>
      </c>
      <c r="E63" s="127" t="s">
        <v>484</v>
      </c>
      <c r="F63" s="127" t="s">
        <v>36</v>
      </c>
      <c r="H63" s="36"/>
    </row>
    <row r="64" spans="1:8" s="35" customFormat="1" ht="15" x14ac:dyDescent="0.25">
      <c r="A64" s="32"/>
      <c r="B64" s="130" t="s">
        <v>268</v>
      </c>
      <c r="C64" s="188"/>
      <c r="D64" s="128">
        <f>E64-1</f>
        <v>2017</v>
      </c>
      <c r="E64" s="128">
        <f>F64-1</f>
        <v>2018</v>
      </c>
      <c r="F64" s="128">
        <f>D$22</f>
        <v>2019</v>
      </c>
      <c r="H64" s="36"/>
    </row>
    <row r="65" spans="1:22" s="35" customFormat="1" ht="14.25" x14ac:dyDescent="0.2">
      <c r="A65" s="32"/>
      <c r="B65" s="189"/>
      <c r="C65" s="187"/>
      <c r="D65" s="122"/>
      <c r="E65" s="122"/>
      <c r="F65" s="190"/>
      <c r="H65" s="36"/>
    </row>
    <row r="66" spans="1:22" s="35" customFormat="1" ht="14.25" x14ac:dyDescent="0.2">
      <c r="A66" s="32"/>
      <c r="B66" s="130" t="s">
        <v>576</v>
      </c>
      <c r="C66" s="188"/>
      <c r="D66" s="652">
        <f>(1+'Model update'!$B$47)*(1+'Model update'!$C$28)-1</f>
        <v>4.9323538988905291E-2</v>
      </c>
      <c r="E66" s="122">
        <f>(1+'Model update'!$B$45)*(1+'Model update'!$C$29)-1</f>
        <v>5.8198039573977622E-2</v>
      </c>
      <c r="F66" s="653">
        <f>(1+'Model update'!$B$43)*(1+'Model update'!$C$30)-1</f>
        <v>5.90724924111663E-2</v>
      </c>
      <c r="H66" s="36"/>
    </row>
    <row r="67" spans="1:22" s="35" customFormat="1" ht="14.25" x14ac:dyDescent="0.2">
      <c r="A67" s="32"/>
      <c r="B67" s="130"/>
      <c r="C67" s="188"/>
      <c r="D67" s="112"/>
      <c r="E67" s="112"/>
      <c r="F67" s="124"/>
      <c r="H67" s="36"/>
    </row>
    <row r="68" spans="1:22" s="35" customFormat="1" ht="14.25" x14ac:dyDescent="0.2">
      <c r="A68" s="32"/>
      <c r="B68" s="130" t="s">
        <v>47</v>
      </c>
      <c r="C68" s="188"/>
      <c r="D68" s="761">
        <v>-1106767.6055042034</v>
      </c>
      <c r="E68" s="123">
        <f>D72</f>
        <v>-2462218.8756611468</v>
      </c>
      <c r="F68" s="123">
        <f>E72</f>
        <v>-154496.37575581111</v>
      </c>
      <c r="H68" s="36"/>
    </row>
    <row r="69" spans="1:22" s="35" customFormat="1" ht="14.25" x14ac:dyDescent="0.2">
      <c r="A69" s="32"/>
      <c r="B69" s="130" t="s">
        <v>577</v>
      </c>
      <c r="C69" s="188"/>
      <c r="D69" s="160">
        <f>D68*D66</f>
        <v>-54589.695141743927</v>
      </c>
      <c r="E69" s="160">
        <f>E68*E66</f>
        <v>-143296.3115655221</v>
      </c>
      <c r="F69" s="160">
        <f>F68*F66</f>
        <v>-9126.4859843878494</v>
      </c>
      <c r="H69" s="36"/>
    </row>
    <row r="70" spans="1:22" s="35" customFormat="1" ht="14.25" x14ac:dyDescent="0.2">
      <c r="A70" s="32"/>
      <c r="B70" s="120" t="s">
        <v>48</v>
      </c>
      <c r="C70" s="188"/>
      <c r="D70" s="123">
        <f>D57</f>
        <v>-1269920.0439543203</v>
      </c>
      <c r="E70" s="123">
        <f>E57</f>
        <v>2382666.003011398</v>
      </c>
      <c r="F70" s="123">
        <f>F57</f>
        <v>157689.57950762659</v>
      </c>
      <c r="H70" s="36"/>
    </row>
    <row r="71" spans="1:22" s="35" customFormat="1" ht="14.25" x14ac:dyDescent="0.2">
      <c r="A71" s="32"/>
      <c r="B71" s="120" t="s">
        <v>501</v>
      </c>
      <c r="C71" s="188"/>
      <c r="D71" s="160">
        <f>D70*((1+D66)^0.5-1)</f>
        <v>-30941.531060879035</v>
      </c>
      <c r="E71" s="160">
        <f>E70*((1+E66)^0.5-1)</f>
        <v>68352.808459459819</v>
      </c>
      <c r="F71" s="160">
        <f>F70*((1+F66)^0.5-1)</f>
        <v>4590.7344169928765</v>
      </c>
      <c r="H71" s="36"/>
    </row>
    <row r="72" spans="1:22" s="35" customFormat="1" ht="15" x14ac:dyDescent="0.25">
      <c r="A72" s="32"/>
      <c r="B72" s="131" t="s">
        <v>397</v>
      </c>
      <c r="C72" s="191"/>
      <c r="D72" s="110">
        <f>SUM(D68:D71)</f>
        <v>-2462218.8756611468</v>
      </c>
      <c r="E72" s="110">
        <f t="shared" ref="E72:F72" si="4">SUM(E68:E71)</f>
        <v>-154496.37575581111</v>
      </c>
      <c r="F72" s="110">
        <f t="shared" si="4"/>
        <v>-1342.5478155794772</v>
      </c>
      <c r="H72" s="786"/>
    </row>
    <row r="73" spans="1:22" s="35" customFormat="1" ht="14.25" x14ac:dyDescent="0.2">
      <c r="A73" s="32"/>
      <c r="B73" s="220"/>
      <c r="C73" s="33"/>
      <c r="E73" s="34"/>
      <c r="H73" s="36"/>
      <c r="K73" s="77"/>
      <c r="L73" s="77"/>
      <c r="M73" s="77"/>
      <c r="N73" s="77"/>
      <c r="O73" s="77"/>
      <c r="P73" s="77"/>
      <c r="Q73" s="77"/>
      <c r="R73" s="77"/>
      <c r="S73" s="77"/>
      <c r="T73" s="77"/>
      <c r="U73" s="77"/>
      <c r="V73" s="77"/>
    </row>
    <row r="74" spans="1:22" s="35" customFormat="1" ht="14.25" x14ac:dyDescent="0.2">
      <c r="A74" s="32"/>
      <c r="B74" s="726" t="s">
        <v>587</v>
      </c>
      <c r="C74" s="33"/>
      <c r="E74" s="34"/>
      <c r="H74" s="36"/>
      <c r="K74" s="77"/>
      <c r="L74" s="77"/>
      <c r="M74" s="77"/>
      <c r="N74" s="77"/>
      <c r="O74" s="77"/>
      <c r="P74" s="77"/>
      <c r="Q74" s="77"/>
      <c r="R74" s="77"/>
      <c r="S74" s="77"/>
      <c r="T74" s="77"/>
      <c r="U74" s="77"/>
      <c r="V74" s="77"/>
    </row>
    <row r="75" spans="1:22" s="35" customFormat="1" ht="14.25" x14ac:dyDescent="0.2">
      <c r="A75" s="32"/>
      <c r="B75" s="220"/>
      <c r="C75" s="33"/>
      <c r="D75" s="34"/>
      <c r="E75" s="34"/>
      <c r="H75" s="36"/>
      <c r="K75" s="77"/>
      <c r="L75" s="77"/>
      <c r="M75" s="77"/>
      <c r="N75" s="77"/>
      <c r="O75" s="77"/>
      <c r="P75" s="77"/>
      <c r="Q75" s="77"/>
      <c r="R75" s="77"/>
      <c r="S75" s="77"/>
      <c r="T75" s="77"/>
      <c r="U75" s="77"/>
      <c r="V75" s="77"/>
    </row>
    <row r="76" spans="1:22" s="35" customFormat="1" ht="15" thickBot="1" x14ac:dyDescent="0.25">
      <c r="A76" s="83"/>
      <c r="B76" s="654"/>
      <c r="C76" s="655"/>
      <c r="D76" s="77"/>
      <c r="E76" s="656"/>
      <c r="F76" s="77"/>
      <c r="G76" s="77"/>
      <c r="H76" s="657"/>
      <c r="I76" s="77"/>
      <c r="J76" s="77"/>
      <c r="K76" s="77"/>
      <c r="L76" s="77"/>
      <c r="M76" s="77"/>
      <c r="N76" s="77"/>
      <c r="O76" s="77"/>
      <c r="P76" s="77"/>
      <c r="Q76" s="77"/>
      <c r="R76" s="77"/>
      <c r="S76" s="77"/>
      <c r="T76" s="77"/>
      <c r="U76" s="77"/>
      <c r="V76" s="77"/>
    </row>
    <row r="77" spans="1:22" s="194" customFormat="1" ht="39" thickBot="1" x14ac:dyDescent="0.25">
      <c r="C77" s="197" t="str">
        <f>"Current Metering Tariffs P(t-1) for " &amp;'Model update'!$C$8</f>
        <v>Current Metering Tariffs P(t-1) for 2018</v>
      </c>
      <c r="D77" s="197" t="str">
        <f>"Estimated Quantities   (Qt-1) for "&amp;'Model update'!$C$5-1</f>
        <v>Estimated Quantities   (Qt-1) for 2018</v>
      </c>
      <c r="E77" s="197" t="str">
        <f>"Revenue                    (Pt-1 "&amp;'Model update'!$C$8&amp;")*(Qt-1 " &amp;'Model update'!$C$5-1&amp;")"</f>
        <v>Revenue                    (Pt-1 2018)*(Qt-1 2018)</v>
      </c>
      <c r="G77" s="208"/>
      <c r="H77" s="77"/>
      <c r="J77" s="208"/>
      <c r="K77" s="77"/>
      <c r="L77" s="77"/>
    </row>
    <row r="78" spans="1:22" s="194" customFormat="1" ht="25.5" x14ac:dyDescent="0.2">
      <c r="B78" s="201" t="s">
        <v>129</v>
      </c>
      <c r="C78" s="202" t="s">
        <v>346</v>
      </c>
      <c r="D78" s="202" t="s">
        <v>347</v>
      </c>
      <c r="E78" s="202" t="s">
        <v>163</v>
      </c>
      <c r="G78" s="208"/>
      <c r="H78" s="77"/>
      <c r="J78" s="208"/>
      <c r="K78" s="77"/>
      <c r="L78" s="77"/>
    </row>
    <row r="79" spans="1:22" s="194" customFormat="1" ht="14.25" x14ac:dyDescent="0.2">
      <c r="B79" s="204"/>
      <c r="C79" s="280"/>
      <c r="D79" s="205"/>
      <c r="E79" s="440"/>
      <c r="G79" s="208"/>
      <c r="J79" s="208"/>
      <c r="K79" s="77"/>
      <c r="L79" s="77"/>
    </row>
    <row r="80" spans="1:22" s="194" customFormat="1" ht="14.25" x14ac:dyDescent="0.2">
      <c r="B80" s="204" t="s">
        <v>415</v>
      </c>
      <c r="C80" s="281">
        <f>E8</f>
        <v>57.581000000000003</v>
      </c>
      <c r="D80" s="697">
        <v>531954</v>
      </c>
      <c r="E80" s="439">
        <f t="shared" ref="E80:E88" si="5">C80*D80</f>
        <v>30630443.274</v>
      </c>
      <c r="F80" s="77"/>
      <c r="G80" s="77"/>
      <c r="H80" s="77"/>
      <c r="J80" s="208"/>
      <c r="K80" s="77"/>
      <c r="L80" s="77"/>
    </row>
    <row r="81" spans="1:22" s="194" customFormat="1" ht="14.25" x14ac:dyDescent="0.2">
      <c r="B81" s="204" t="s">
        <v>416</v>
      </c>
      <c r="C81" s="281">
        <f t="shared" ref="C81:C83" si="6">E9</f>
        <v>57.581000000000003</v>
      </c>
      <c r="D81" s="697">
        <v>55062</v>
      </c>
      <c r="E81" s="439">
        <f t="shared" si="5"/>
        <v>3170525.0220000003</v>
      </c>
      <c r="F81" s="77"/>
      <c r="G81" s="77"/>
      <c r="H81" s="77"/>
      <c r="J81" s="208"/>
      <c r="K81" s="77"/>
      <c r="L81" s="77"/>
    </row>
    <row r="82" spans="1:22" s="194" customFormat="1" ht="14.25" x14ac:dyDescent="0.2">
      <c r="B82" s="204" t="s">
        <v>417</v>
      </c>
      <c r="C82" s="281">
        <f t="shared" si="6"/>
        <v>64.927000000000007</v>
      </c>
      <c r="D82" s="697">
        <v>102706</v>
      </c>
      <c r="E82" s="439">
        <f t="shared" si="5"/>
        <v>6668392.4620000003</v>
      </c>
      <c r="F82" s="77"/>
      <c r="G82" s="77"/>
      <c r="H82" s="77"/>
      <c r="J82" s="208"/>
      <c r="K82" s="77"/>
      <c r="L82" s="77"/>
    </row>
    <row r="83" spans="1:22" s="194" customFormat="1" ht="14.25" x14ac:dyDescent="0.2">
      <c r="B83" s="204" t="s">
        <v>418</v>
      </c>
      <c r="C83" s="281">
        <f t="shared" si="6"/>
        <v>68.844999999999999</v>
      </c>
      <c r="D83" s="697">
        <v>3188</v>
      </c>
      <c r="E83" s="439">
        <f t="shared" si="5"/>
        <v>219477.86</v>
      </c>
      <c r="F83" s="77"/>
      <c r="G83" s="77"/>
      <c r="H83" s="77"/>
      <c r="J83" s="208"/>
      <c r="K83" s="77"/>
      <c r="L83" s="77"/>
    </row>
    <row r="84" spans="1:22" s="194" customFormat="1" ht="14.25" x14ac:dyDescent="0.2">
      <c r="B84" s="204"/>
      <c r="C84" s="281"/>
      <c r="D84" s="650"/>
      <c r="E84" s="439">
        <f t="shared" si="5"/>
        <v>0</v>
      </c>
      <c r="F84" s="77"/>
      <c r="G84" s="77"/>
      <c r="H84" s="77"/>
      <c r="J84" s="208"/>
      <c r="K84" s="77"/>
      <c r="L84" s="77"/>
    </row>
    <row r="85" spans="1:22" s="194" customFormat="1" ht="14.25" x14ac:dyDescent="0.2">
      <c r="B85" s="204"/>
      <c r="C85" s="282"/>
      <c r="D85" s="283"/>
      <c r="E85" s="439">
        <f t="shared" si="5"/>
        <v>0</v>
      </c>
      <c r="G85" s="208"/>
      <c r="H85" s="77"/>
      <c r="J85" s="208"/>
      <c r="K85" s="77"/>
      <c r="L85" s="77"/>
    </row>
    <row r="86" spans="1:22" s="194" customFormat="1" ht="14.25" x14ac:dyDescent="0.2">
      <c r="B86" s="204"/>
      <c r="C86" s="282"/>
      <c r="D86" s="283"/>
      <c r="E86" s="439">
        <f t="shared" si="5"/>
        <v>0</v>
      </c>
      <c r="G86" s="208"/>
      <c r="H86" s="77"/>
      <c r="J86" s="208"/>
      <c r="K86" s="77"/>
      <c r="L86" s="77"/>
    </row>
    <row r="87" spans="1:22" s="194" customFormat="1" ht="14.25" x14ac:dyDescent="0.2">
      <c r="B87" s="204"/>
      <c r="C87" s="282"/>
      <c r="D87" s="283"/>
      <c r="E87" s="439">
        <f t="shared" si="5"/>
        <v>0</v>
      </c>
      <c r="G87" s="208"/>
      <c r="H87" s="77"/>
      <c r="J87" s="208"/>
      <c r="K87" s="77"/>
      <c r="L87" s="77"/>
    </row>
    <row r="88" spans="1:22" s="194" customFormat="1" ht="15" thickBot="1" x14ac:dyDescent="0.25">
      <c r="B88" s="207"/>
      <c r="C88" s="284"/>
      <c r="D88" s="285"/>
      <c r="E88" s="441">
        <f t="shared" si="5"/>
        <v>0</v>
      </c>
      <c r="G88" s="208"/>
      <c r="H88" s="77"/>
      <c r="J88" s="208"/>
      <c r="K88" s="77"/>
      <c r="L88" s="77"/>
    </row>
    <row r="89" spans="1:22" s="208" customFormat="1" ht="15" thickBot="1" x14ac:dyDescent="0.25">
      <c r="E89" s="442">
        <f>SUM(E79:E88)</f>
        <v>40688838.618000001</v>
      </c>
      <c r="H89" s="77"/>
    </row>
    <row r="90" spans="1:22" ht="13.5" thickTop="1" x14ac:dyDescent="0.2">
      <c r="A90" s="194"/>
      <c r="B90" s="194"/>
      <c r="C90" s="194"/>
      <c r="D90" s="194"/>
      <c r="E90" s="194"/>
      <c r="F90" s="194"/>
      <c r="G90" s="194"/>
      <c r="H90" s="194"/>
      <c r="I90" s="194"/>
      <c r="J90" s="194"/>
      <c r="K90" s="194"/>
      <c r="L90" s="194"/>
      <c r="M90" s="194"/>
      <c r="N90" s="194"/>
      <c r="O90" s="194"/>
      <c r="P90" s="194"/>
      <c r="Q90" s="194"/>
      <c r="R90" s="194"/>
      <c r="S90" s="194"/>
      <c r="T90" s="194"/>
      <c r="U90" s="194"/>
      <c r="V90" s="194"/>
    </row>
    <row r="91" spans="1:22" x14ac:dyDescent="0.2">
      <c r="A91" s="194"/>
      <c r="B91" s="194"/>
      <c r="C91" s="194"/>
      <c r="D91" s="194"/>
      <c r="E91" s="194"/>
      <c r="F91" s="194"/>
      <c r="G91" s="194"/>
      <c r="H91" s="194"/>
      <c r="I91" s="194"/>
      <c r="J91" s="194"/>
      <c r="K91" s="194"/>
      <c r="L91" s="194"/>
      <c r="M91" s="194"/>
      <c r="N91" s="194"/>
      <c r="O91" s="194"/>
      <c r="P91" s="194"/>
      <c r="Q91" s="194"/>
      <c r="R91" s="194"/>
      <c r="S91" s="194"/>
      <c r="T91" s="194"/>
      <c r="U91" s="194"/>
      <c r="V91" s="194"/>
    </row>
    <row r="92" spans="1:22" x14ac:dyDescent="0.2">
      <c r="A92" s="194"/>
      <c r="B92" s="194"/>
      <c r="C92" s="194"/>
      <c r="D92" s="194"/>
      <c r="E92" s="194"/>
      <c r="F92" s="194"/>
      <c r="G92" s="194"/>
      <c r="H92" s="194"/>
      <c r="I92" s="194"/>
      <c r="J92" s="194"/>
      <c r="K92" s="194"/>
      <c r="L92" s="194"/>
      <c r="M92" s="194"/>
      <c r="N92" s="194"/>
      <c r="O92" s="194"/>
      <c r="P92" s="194"/>
      <c r="Q92" s="194"/>
      <c r="R92" s="194"/>
      <c r="S92" s="194"/>
      <c r="T92" s="194"/>
      <c r="U92" s="194"/>
      <c r="V92" s="194"/>
    </row>
  </sheetData>
  <mergeCells count="1">
    <mergeCell ref="H24:I24"/>
  </mergeCells>
  <pageMargins left="0.7" right="0.7" top="0.75" bottom="0.75" header="0.3" footer="0.3"/>
  <pageSetup scale="5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pageSetUpPr autoPageBreaks="0"/>
  </sheetPr>
  <dimension ref="B1:CA105"/>
  <sheetViews>
    <sheetView zoomScale="80" zoomScaleNormal="80" zoomScaleSheetLayoutView="85" workbookViewId="0">
      <pane xSplit="3" ySplit="5" topLeftCell="D6" activePane="bottomRight" state="frozen"/>
      <selection activeCell="C18" sqref="C18"/>
      <selection pane="topRight" activeCell="C18" sqref="C18"/>
      <selection pane="bottomLeft" activeCell="C18" sqref="C18"/>
      <selection pane="bottomRight"/>
    </sheetView>
  </sheetViews>
  <sheetFormatPr defaultRowHeight="12.75" x14ac:dyDescent="0.2"/>
  <cols>
    <col min="1" max="1" width="1.85546875" style="458" customWidth="1"/>
    <col min="2" max="2" width="42.28515625" style="458" customWidth="1"/>
    <col min="3" max="3" width="38.85546875" style="458" customWidth="1"/>
    <col min="4" max="4" width="16" style="458" customWidth="1"/>
    <col min="5" max="5" width="11.28515625" style="458" bestFit="1" customWidth="1"/>
    <col min="6" max="6" width="15.42578125" style="458" customWidth="1"/>
    <col min="7" max="7" width="15.85546875" style="458" customWidth="1"/>
    <col min="8" max="8" width="15.28515625" style="458" customWidth="1"/>
    <col min="9" max="9" width="11.28515625" style="458" bestFit="1" customWidth="1"/>
    <col min="10" max="10" width="14.85546875" style="458" customWidth="1"/>
    <col min="11" max="11" width="9.140625" style="458"/>
    <col min="12" max="12" width="9.7109375" style="458" customWidth="1"/>
    <col min="13" max="13" width="13.28515625" style="458" customWidth="1"/>
    <col min="14" max="14" width="10.5703125" style="458" customWidth="1"/>
    <col min="15" max="16" width="11" style="458" bestFit="1" customWidth="1"/>
    <col min="17" max="17" width="1.85546875" style="458" customWidth="1"/>
    <col min="18" max="18" width="16" style="458" customWidth="1"/>
    <col min="19" max="20" width="11.28515625" style="458" bestFit="1" customWidth="1"/>
    <col min="21" max="21" width="14.85546875" style="458" customWidth="1"/>
    <col min="22" max="22" width="17" style="458" customWidth="1"/>
    <col min="23" max="23" width="10" style="458" bestFit="1" customWidth="1"/>
    <col min="24" max="24" width="17.7109375" style="458" customWidth="1"/>
    <col min="25" max="26" width="9.85546875" style="458" bestFit="1" customWidth="1"/>
    <col min="27" max="27" width="14.140625" style="458" customWidth="1"/>
    <col min="28" max="30" width="10.5703125" style="458" customWidth="1"/>
    <col min="31" max="31" width="1.85546875" style="458" customWidth="1"/>
    <col min="32" max="32" width="15.7109375" style="458" bestFit="1" customWidth="1"/>
    <col min="33" max="33" width="21.7109375" style="458" customWidth="1"/>
    <col min="34" max="34" width="17.85546875" style="458" bestFit="1" customWidth="1"/>
    <col min="35" max="35" width="20.85546875" style="458" customWidth="1"/>
    <col min="36" max="36" width="22.28515625" style="458" customWidth="1"/>
    <col min="37" max="37" width="19.140625" style="458" bestFit="1" customWidth="1"/>
    <col min="38" max="38" width="20.140625" style="458" customWidth="1"/>
    <col min="39" max="39" width="17.85546875" style="458" bestFit="1" customWidth="1"/>
    <col min="40" max="40" width="15" style="458" customWidth="1"/>
    <col min="41" max="41" width="17.7109375" style="458" customWidth="1"/>
    <col min="42" max="42" width="15.7109375" style="458" customWidth="1"/>
    <col min="43" max="43" width="16.7109375" style="458" customWidth="1"/>
    <col min="44" max="44" width="16.28515625" style="458" customWidth="1"/>
    <col min="45" max="45" width="1.85546875" style="458" customWidth="1"/>
    <col min="46" max="46" width="14.42578125" style="458" bestFit="1" customWidth="1"/>
    <col min="47" max="47" width="15.7109375" style="458" bestFit="1" customWidth="1"/>
    <col min="48" max="48" width="15.5703125" style="458" customWidth="1"/>
    <col min="49" max="49" width="15.85546875" style="458" customWidth="1"/>
    <col min="50" max="50" width="17" style="458" customWidth="1"/>
    <col min="51" max="51" width="14.42578125" style="458" bestFit="1" customWidth="1"/>
    <col min="52" max="52" width="16.7109375" style="458" customWidth="1"/>
    <col min="53" max="53" width="16.140625" style="458" customWidth="1"/>
    <col min="54" max="54" width="13.28515625" style="458" customWidth="1"/>
    <col min="55" max="55" width="17.140625" style="458" customWidth="1"/>
    <col min="56" max="56" width="14.7109375" style="458" customWidth="1"/>
    <col min="57" max="58" width="14.28515625" style="458" customWidth="1"/>
    <col min="59" max="59" width="17.85546875" style="458" customWidth="1"/>
    <col min="60" max="60" width="1.85546875" style="458" customWidth="1"/>
    <col min="61" max="61" width="14.5703125" style="458" customWidth="1"/>
    <col min="62" max="62" width="15.7109375" style="458" bestFit="1" customWidth="1"/>
    <col min="63" max="63" width="14.42578125" style="458" bestFit="1" customWidth="1"/>
    <col min="64" max="64" width="18.42578125" style="458" customWidth="1"/>
    <col min="65" max="65" width="17.85546875" style="458" customWidth="1"/>
    <col min="66" max="66" width="14.42578125" style="458" bestFit="1" customWidth="1"/>
    <col min="67" max="67" width="16.42578125" style="458" customWidth="1"/>
    <col min="68" max="68" width="17.140625" style="458" customWidth="1"/>
    <col min="69" max="69" width="13.5703125" style="458" customWidth="1"/>
    <col min="70" max="71" width="15.7109375" style="458" customWidth="1"/>
    <col min="72" max="73" width="13.5703125" style="458" customWidth="1"/>
    <col min="74" max="74" width="16.28515625" style="458" customWidth="1"/>
    <col min="75" max="75" width="9.140625" style="458"/>
    <col min="76" max="76" width="13.42578125" style="458" bestFit="1" customWidth="1"/>
    <col min="77" max="77" width="11" style="458" customWidth="1"/>
    <col min="78" max="78" width="13.5703125" style="458" customWidth="1"/>
    <col min="79" max="16384" width="9.140625" style="458"/>
  </cols>
  <sheetData>
    <row r="1" spans="2:79" ht="14.25" x14ac:dyDescent="0.2">
      <c r="B1" s="505" t="str">
        <f>"Tariff Approval - "&amp;'Model update'!$C$3</f>
        <v>Tariff Approval - United Energy</v>
      </c>
      <c r="C1" s="505"/>
      <c r="D1" s="663"/>
      <c r="F1" s="663"/>
      <c r="I1" s="663"/>
    </row>
    <row r="2" spans="2:79" x14ac:dyDescent="0.2">
      <c r="D2" s="663"/>
      <c r="E2" s="663"/>
    </row>
    <row r="3" spans="2:79" x14ac:dyDescent="0.2">
      <c r="B3" s="506" t="str">
        <f>"PROPOSED "&amp;'Model update'!$C$5&amp;" DISTRIBUTION TARIFFS"</f>
        <v>PROPOSED 2019 DISTRIBUTION TARIFFS</v>
      </c>
      <c r="C3" s="506"/>
    </row>
    <row r="4" spans="2:79" ht="13.5" thickBot="1" x14ac:dyDescent="0.25">
      <c r="D4" s="507" t="str">
        <f>"Proposed Distribution Tariffs (Pt) for "&amp;'Model update'!$C$5</f>
        <v>Proposed Distribution Tariffs (Pt) for 2019</v>
      </c>
      <c r="E4" s="508"/>
      <c r="F4" s="508"/>
      <c r="G4" s="508"/>
      <c r="H4" s="826"/>
      <c r="M4" s="509"/>
      <c r="R4" s="510" t="str">
        <f>"Current Distribution Tariffs (Pt-1) for "&amp;'Model update'!$C$8</f>
        <v>Current Distribution Tariffs (Pt-1) for 2018</v>
      </c>
      <c r="S4" s="511"/>
      <c r="T4" s="511"/>
      <c r="U4" s="512"/>
      <c r="V4" s="826"/>
      <c r="AF4" s="507" t="str">
        <f>"Forecast Quantities (Qt) for "&amp;'Model update'!$C$5</f>
        <v>Forecast Quantities (Qt) for 2019</v>
      </c>
      <c r="AG4" s="508"/>
      <c r="AH4" s="508"/>
      <c r="AI4" s="826"/>
      <c r="AJ4" s="826"/>
      <c r="AT4" s="510" t="str">
        <f>"Forecast Revenue (Pt "&amp;'Model update'!$C$5&amp;")*(Qt " &amp;'Model update'!$C$5&amp;")"</f>
        <v>Forecast Revenue (Pt 2019)*(Qt 2019)</v>
      </c>
      <c r="AU4" s="512"/>
      <c r="AV4" s="513"/>
      <c r="AW4" s="826"/>
      <c r="AX4" s="826"/>
      <c r="BI4" s="510" t="str">
        <f>"Revenue (Pt-1 "&amp;'Model update'!$C$8&amp;")*(Qt " &amp;'Model update'!$C$5&amp;")"</f>
        <v>Revenue (Pt-1 2018)*(Qt 2019)</v>
      </c>
      <c r="BJ4" s="508"/>
      <c r="BK4" s="826"/>
      <c r="BL4" s="826"/>
      <c r="BM4" s="826"/>
    </row>
    <row r="5" spans="2:79" ht="25.5" x14ac:dyDescent="0.2">
      <c r="B5" s="459" t="s">
        <v>128</v>
      </c>
      <c r="C5" s="460" t="s">
        <v>129</v>
      </c>
      <c r="D5" s="461" t="s">
        <v>130</v>
      </c>
      <c r="E5" s="462" t="s">
        <v>131</v>
      </c>
      <c r="F5" s="462" t="s">
        <v>419</v>
      </c>
      <c r="G5" s="462" t="s">
        <v>420</v>
      </c>
      <c r="H5" s="462" t="s">
        <v>421</v>
      </c>
      <c r="I5" s="462" t="s">
        <v>132</v>
      </c>
      <c r="J5" s="462" t="s">
        <v>422</v>
      </c>
      <c r="K5" s="462" t="s">
        <v>133</v>
      </c>
      <c r="L5" s="462" t="s">
        <v>134</v>
      </c>
      <c r="M5" s="462" t="s">
        <v>135</v>
      </c>
      <c r="N5" s="462" t="s">
        <v>136</v>
      </c>
      <c r="O5" s="462" t="s">
        <v>137</v>
      </c>
      <c r="P5" s="463" t="s">
        <v>138</v>
      </c>
      <c r="R5" s="461" t="s">
        <v>139</v>
      </c>
      <c r="S5" s="462" t="s">
        <v>140</v>
      </c>
      <c r="T5" s="462" t="s">
        <v>423</v>
      </c>
      <c r="U5" s="462" t="s">
        <v>424</v>
      </c>
      <c r="V5" s="462" t="s">
        <v>425</v>
      </c>
      <c r="W5" s="462" t="s">
        <v>141</v>
      </c>
      <c r="X5" s="462" t="s">
        <v>426</v>
      </c>
      <c r="Y5" s="462" t="s">
        <v>142</v>
      </c>
      <c r="Z5" s="462" t="s">
        <v>143</v>
      </c>
      <c r="AA5" s="462" t="s">
        <v>144</v>
      </c>
      <c r="AB5" s="462" t="s">
        <v>145</v>
      </c>
      <c r="AC5" s="462" t="s">
        <v>146</v>
      </c>
      <c r="AD5" s="463" t="s">
        <v>147</v>
      </c>
      <c r="AF5" s="461" t="s">
        <v>173</v>
      </c>
      <c r="AG5" s="462" t="s">
        <v>174</v>
      </c>
      <c r="AH5" s="462" t="s">
        <v>427</v>
      </c>
      <c r="AI5" s="462" t="s">
        <v>428</v>
      </c>
      <c r="AJ5" s="462" t="s">
        <v>429</v>
      </c>
      <c r="AK5" s="462" t="s">
        <v>175</v>
      </c>
      <c r="AL5" s="462" t="s">
        <v>430</v>
      </c>
      <c r="AM5" s="462" t="s">
        <v>176</v>
      </c>
      <c r="AN5" s="462" t="s">
        <v>177</v>
      </c>
      <c r="AO5" s="462" t="s">
        <v>178</v>
      </c>
      <c r="AP5" s="462" t="s">
        <v>179</v>
      </c>
      <c r="AQ5" s="462" t="s">
        <v>180</v>
      </c>
      <c r="AR5" s="463" t="s">
        <v>181</v>
      </c>
      <c r="AT5" s="461" t="s">
        <v>148</v>
      </c>
      <c r="AU5" s="462" t="s">
        <v>149</v>
      </c>
      <c r="AV5" s="462" t="s">
        <v>150</v>
      </c>
      <c r="AW5" s="462" t="s">
        <v>151</v>
      </c>
      <c r="AX5" s="462" t="s">
        <v>152</v>
      </c>
      <c r="AY5" s="462" t="s">
        <v>153</v>
      </c>
      <c r="AZ5" s="462" t="s">
        <v>154</v>
      </c>
      <c r="BA5" s="462" t="s">
        <v>155</v>
      </c>
      <c r="BB5" s="462" t="s">
        <v>156</v>
      </c>
      <c r="BC5" s="462" t="s">
        <v>157</v>
      </c>
      <c r="BD5" s="462" t="s">
        <v>158</v>
      </c>
      <c r="BE5" s="462" t="s">
        <v>159</v>
      </c>
      <c r="BF5" s="462" t="s">
        <v>160</v>
      </c>
      <c r="BG5" s="463" t="s">
        <v>162</v>
      </c>
      <c r="BI5" s="461" t="s">
        <v>163</v>
      </c>
      <c r="BJ5" s="462" t="s">
        <v>164</v>
      </c>
      <c r="BK5" s="462" t="s">
        <v>431</v>
      </c>
      <c r="BL5" s="462" t="s">
        <v>432</v>
      </c>
      <c r="BM5" s="462" t="s">
        <v>433</v>
      </c>
      <c r="BN5" s="462" t="s">
        <v>165</v>
      </c>
      <c r="BO5" s="462" t="s">
        <v>434</v>
      </c>
      <c r="BP5" s="462" t="s">
        <v>166</v>
      </c>
      <c r="BQ5" s="462" t="s">
        <v>167</v>
      </c>
      <c r="BR5" s="462" t="s">
        <v>168</v>
      </c>
      <c r="BS5" s="462" t="s">
        <v>169</v>
      </c>
      <c r="BT5" s="462" t="s">
        <v>170</v>
      </c>
      <c r="BU5" s="462" t="s">
        <v>171</v>
      </c>
      <c r="BV5" s="463" t="s">
        <v>172</v>
      </c>
    </row>
    <row r="6" spans="2:79" x14ac:dyDescent="0.2">
      <c r="B6" s="464" t="str">
        <f>C6</f>
        <v>Low voltage small 1 rate</v>
      </c>
      <c r="C6" s="464" t="str">
        <f>Est2018DistRev!B6</f>
        <v>Low voltage small 1 rate</v>
      </c>
      <c r="D6" s="698">
        <v>7.09</v>
      </c>
      <c r="E6" s="699">
        <v>7.72</v>
      </c>
      <c r="F6" s="699">
        <v>0</v>
      </c>
      <c r="G6" s="699">
        <v>0</v>
      </c>
      <c r="H6" s="699">
        <v>6.19</v>
      </c>
      <c r="I6" s="699">
        <v>0</v>
      </c>
      <c r="J6" s="699">
        <v>0</v>
      </c>
      <c r="K6" s="699">
        <v>0</v>
      </c>
      <c r="L6" s="699">
        <v>0</v>
      </c>
      <c r="M6" s="699">
        <v>0</v>
      </c>
      <c r="N6" s="699">
        <v>0</v>
      </c>
      <c r="O6" s="699">
        <v>0</v>
      </c>
      <c r="P6" s="842">
        <v>0</v>
      </c>
      <c r="R6" s="637">
        <f>Est2018DistRev!D6</f>
        <v>6.8650000000000002</v>
      </c>
      <c r="S6" s="638">
        <f>Est2018DistRev!E6</f>
        <v>8.4649999999999999</v>
      </c>
      <c r="T6" s="639">
        <f>Est2018DistRev!F6</f>
        <v>0</v>
      </c>
      <c r="U6" s="639">
        <f>Est2018DistRev!G6</f>
        <v>0</v>
      </c>
      <c r="V6" s="639">
        <f>Est2018DistRev!H6</f>
        <v>5.4489999999999998</v>
      </c>
      <c r="W6" s="639">
        <f>Est2018DistRev!I6</f>
        <v>0</v>
      </c>
      <c r="X6" s="639">
        <f>Est2018DistRev!J6</f>
        <v>0</v>
      </c>
      <c r="Y6" s="639">
        <f>Est2018DistRev!K6</f>
        <v>0</v>
      </c>
      <c r="Z6" s="639">
        <f>Est2018DistRev!L6</f>
        <v>0</v>
      </c>
      <c r="AA6" s="639">
        <f>Est2018DistRev!M6</f>
        <v>0</v>
      </c>
      <c r="AB6" s="639">
        <f>Est2018DistRev!N6</f>
        <v>0</v>
      </c>
      <c r="AC6" s="639">
        <f>Est2018DistRev!O6</f>
        <v>0</v>
      </c>
      <c r="AD6" s="640">
        <f>Est2018DistRev!P6</f>
        <v>0</v>
      </c>
      <c r="AF6" s="704">
        <v>206859021.70803419</v>
      </c>
      <c r="AG6" s="705">
        <v>943855173.40696001</v>
      </c>
      <c r="AH6" s="705">
        <v>0</v>
      </c>
      <c r="AI6" s="705">
        <v>0</v>
      </c>
      <c r="AJ6" s="705">
        <v>1520207628.6832812</v>
      </c>
      <c r="AK6" s="705">
        <v>0</v>
      </c>
      <c r="AL6" s="705">
        <v>0</v>
      </c>
      <c r="AM6" s="705">
        <v>0</v>
      </c>
      <c r="AN6" s="705">
        <v>0</v>
      </c>
      <c r="AO6" s="705">
        <v>0</v>
      </c>
      <c r="AP6" s="705">
        <v>0</v>
      </c>
      <c r="AQ6" s="705">
        <v>0</v>
      </c>
      <c r="AR6" s="706"/>
      <c r="AT6" s="467">
        <f t="shared" ref="AT6:AT65" si="0">D6/100*AF6</f>
        <v>14666304.639099624</v>
      </c>
      <c r="AU6" s="468">
        <f t="shared" ref="AU6:AU65" si="1">E6/100*AG6</f>
        <v>72865619.38701731</v>
      </c>
      <c r="AV6" s="468">
        <f t="shared" ref="AV6:AV65" si="2">F6/100*AH6</f>
        <v>0</v>
      </c>
      <c r="AW6" s="468">
        <f t="shared" ref="AW6:AW65" si="3">G6/100*AI6</f>
        <v>0</v>
      </c>
      <c r="AX6" s="468">
        <f t="shared" ref="AX6:AX65" si="4">H6/100*AJ6</f>
        <v>94100852.21549511</v>
      </c>
      <c r="AY6" s="468">
        <f t="shared" ref="AY6:AY65" si="5">I6/100*AK6</f>
        <v>0</v>
      </c>
      <c r="AZ6" s="468">
        <f t="shared" ref="AZ6:AZ65" si="6">J6/100*AL6</f>
        <v>0</v>
      </c>
      <c r="BA6" s="468">
        <f t="shared" ref="BA6:BA65" si="7">K6/100*AM6</f>
        <v>0</v>
      </c>
      <c r="BB6" s="468">
        <f t="shared" ref="BB6:BB65" si="8">L6/100*AN6</f>
        <v>0</v>
      </c>
      <c r="BC6" s="468">
        <f t="shared" ref="BC6:BC65" si="9">M6/100*AO6</f>
        <v>0</v>
      </c>
      <c r="BD6" s="468">
        <f t="shared" ref="BD6:BD65" si="10">N6/100*AP6</f>
        <v>0</v>
      </c>
      <c r="BE6" s="468">
        <f t="shared" ref="BE6:BE65" si="11">O6/100*AQ6</f>
        <v>0</v>
      </c>
      <c r="BF6" s="468">
        <f t="shared" ref="BF6:BF65" si="12">P6/100*AR6</f>
        <v>0</v>
      </c>
      <c r="BG6" s="469">
        <f t="shared" ref="BG6:BG65" si="13">SUM(AT6:BF6)</f>
        <v>181632776.24161205</v>
      </c>
      <c r="BI6" s="467">
        <f t="shared" ref="BI6:BI37" si="14">R6/100*AF6</f>
        <v>14200871.840256548</v>
      </c>
      <c r="BJ6" s="468">
        <f t="shared" ref="BJ6:BJ65" si="15">S6/100*AG6</f>
        <v>79897340.428899169</v>
      </c>
      <c r="BK6" s="468">
        <f t="shared" ref="BK6:BK65" si="16">T6/100*AH6</f>
        <v>0</v>
      </c>
      <c r="BL6" s="468">
        <f t="shared" ref="BL6:BL65" si="17">U6/100*AI6</f>
        <v>0</v>
      </c>
      <c r="BM6" s="468">
        <f t="shared" ref="BM6:BM65" si="18">V6/100*AJ6</f>
        <v>82836113.68695198</v>
      </c>
      <c r="BN6" s="468">
        <f t="shared" ref="BN6:BN65" si="19">W6/100*AK6</f>
        <v>0</v>
      </c>
      <c r="BO6" s="468">
        <f t="shared" ref="BO6:BO65" si="20">X6/100*AL6</f>
        <v>0</v>
      </c>
      <c r="BP6" s="468">
        <f t="shared" ref="BP6:BP65" si="21">Y6/100*AM6</f>
        <v>0</v>
      </c>
      <c r="BQ6" s="468">
        <f t="shared" ref="BQ6:BQ65" si="22">Z6/100*AN6</f>
        <v>0</v>
      </c>
      <c r="BR6" s="468">
        <f t="shared" ref="BR6:BR65" si="23">AA6/100*AO6</f>
        <v>0</v>
      </c>
      <c r="BS6" s="468">
        <f t="shared" ref="BS6:BS65" si="24">AB6/100*AP6</f>
        <v>0</v>
      </c>
      <c r="BT6" s="468">
        <f t="shared" ref="BT6:BT65" si="25">AC6/100*AQ6</f>
        <v>0</v>
      </c>
      <c r="BU6" s="468">
        <f t="shared" ref="BU6:BU65" si="26">AD6/100*AR6</f>
        <v>0</v>
      </c>
      <c r="BV6" s="469">
        <f t="shared" ref="BV6:BV65" si="27">SUM(BI6:BU6)</f>
        <v>176934325.95610768</v>
      </c>
      <c r="BX6" s="614"/>
      <c r="BY6" s="777"/>
      <c r="BZ6" s="614"/>
      <c r="CA6" s="777"/>
    </row>
    <row r="7" spans="2:79" x14ac:dyDescent="0.2">
      <c r="B7" s="634" t="str">
        <f t="shared" ref="B7:B30" si="28">C7</f>
        <v>Winter economy tariff</v>
      </c>
      <c r="C7" s="464" t="str">
        <f>Est2018DistRev!B7</f>
        <v>Winter economy tariff</v>
      </c>
      <c r="D7" s="701">
        <v>9.1300000000000008</v>
      </c>
      <c r="E7" s="702">
        <v>7.49</v>
      </c>
      <c r="F7" s="702">
        <v>0</v>
      </c>
      <c r="G7" s="702">
        <v>0</v>
      </c>
      <c r="H7" s="702">
        <v>5.55</v>
      </c>
      <c r="I7" s="702">
        <v>2.08</v>
      </c>
      <c r="J7" s="702">
        <v>0</v>
      </c>
      <c r="K7" s="702">
        <v>0</v>
      </c>
      <c r="L7" s="702">
        <v>0</v>
      </c>
      <c r="M7" s="702">
        <v>0</v>
      </c>
      <c r="N7" s="702">
        <v>0</v>
      </c>
      <c r="O7" s="702">
        <v>0</v>
      </c>
      <c r="P7" s="703">
        <v>0</v>
      </c>
      <c r="R7" s="641">
        <f>Est2018DistRev!D7</f>
        <v>8.8409999999999993</v>
      </c>
      <c r="S7" s="642">
        <f>Est2018DistRev!E7</f>
        <v>6.593</v>
      </c>
      <c r="T7" s="642">
        <f>Est2018DistRev!F7</f>
        <v>0</v>
      </c>
      <c r="U7" s="642">
        <f>Est2018DistRev!G7</f>
        <v>0</v>
      </c>
      <c r="V7" s="642">
        <f>Est2018DistRev!H7</f>
        <v>4.8849999999999998</v>
      </c>
      <c r="W7" s="642">
        <f>Est2018DistRev!I7</f>
        <v>1.831</v>
      </c>
      <c r="X7" s="642">
        <f>Est2018DistRev!J7</f>
        <v>0</v>
      </c>
      <c r="Y7" s="642">
        <f>Est2018DistRev!K7</f>
        <v>0</v>
      </c>
      <c r="Z7" s="642">
        <f>Est2018DistRev!L7</f>
        <v>0</v>
      </c>
      <c r="AA7" s="642">
        <f>Est2018DistRev!M7</f>
        <v>0</v>
      </c>
      <c r="AB7" s="642">
        <f>Est2018DistRev!N7</f>
        <v>0</v>
      </c>
      <c r="AC7" s="642">
        <f>Est2018DistRev!O7</f>
        <v>0</v>
      </c>
      <c r="AD7" s="643">
        <f>Est2018DistRev!P7</f>
        <v>0</v>
      </c>
      <c r="AF7" s="704">
        <v>42656.460733472712</v>
      </c>
      <c r="AG7" s="707">
        <v>298454.72927472106</v>
      </c>
      <c r="AH7" s="707">
        <v>0</v>
      </c>
      <c r="AI7" s="707">
        <v>0</v>
      </c>
      <c r="AJ7" s="707">
        <v>543138.85525902733</v>
      </c>
      <c r="AK7" s="707">
        <v>0</v>
      </c>
      <c r="AL7" s="707">
        <v>0</v>
      </c>
      <c r="AM7" s="707">
        <v>0</v>
      </c>
      <c r="AN7" s="707">
        <v>0</v>
      </c>
      <c r="AO7" s="707">
        <v>0</v>
      </c>
      <c r="AP7" s="707">
        <v>0</v>
      </c>
      <c r="AQ7" s="707">
        <v>0</v>
      </c>
      <c r="AR7" s="708"/>
      <c r="AT7" s="467">
        <f t="shared" si="0"/>
        <v>3894.5348649660586</v>
      </c>
      <c r="AU7" s="468">
        <f t="shared" si="1"/>
        <v>22354.25922267661</v>
      </c>
      <c r="AV7" s="468">
        <f t="shared" si="2"/>
        <v>0</v>
      </c>
      <c r="AW7" s="468">
        <f t="shared" si="3"/>
        <v>0</v>
      </c>
      <c r="AX7" s="468">
        <f t="shared" si="4"/>
        <v>30144.206466876018</v>
      </c>
      <c r="AY7" s="468">
        <f t="shared" si="5"/>
        <v>0</v>
      </c>
      <c r="AZ7" s="468">
        <f t="shared" si="6"/>
        <v>0</v>
      </c>
      <c r="BA7" s="468">
        <f t="shared" si="7"/>
        <v>0</v>
      </c>
      <c r="BB7" s="468">
        <f t="shared" si="8"/>
        <v>0</v>
      </c>
      <c r="BC7" s="468">
        <f t="shared" si="9"/>
        <v>0</v>
      </c>
      <c r="BD7" s="468">
        <f t="shared" si="10"/>
        <v>0</v>
      </c>
      <c r="BE7" s="468">
        <f t="shared" si="11"/>
        <v>0</v>
      </c>
      <c r="BF7" s="468">
        <f t="shared" si="12"/>
        <v>0</v>
      </c>
      <c r="BG7" s="469">
        <f t="shared" si="13"/>
        <v>56393.000554518687</v>
      </c>
      <c r="BI7" s="467">
        <f t="shared" si="14"/>
        <v>3771.2576934463218</v>
      </c>
      <c r="BJ7" s="468">
        <f t="shared" si="15"/>
        <v>19677.120301082359</v>
      </c>
      <c r="BK7" s="468">
        <f t="shared" si="16"/>
        <v>0</v>
      </c>
      <c r="BL7" s="468">
        <f t="shared" si="17"/>
        <v>0</v>
      </c>
      <c r="BM7" s="468">
        <f t="shared" si="18"/>
        <v>26532.333079403485</v>
      </c>
      <c r="BN7" s="468">
        <f t="shared" si="19"/>
        <v>0</v>
      </c>
      <c r="BO7" s="468">
        <f t="shared" si="20"/>
        <v>0</v>
      </c>
      <c r="BP7" s="468">
        <f t="shared" si="21"/>
        <v>0</v>
      </c>
      <c r="BQ7" s="468">
        <f t="shared" si="22"/>
        <v>0</v>
      </c>
      <c r="BR7" s="468">
        <f t="shared" si="23"/>
        <v>0</v>
      </c>
      <c r="BS7" s="468">
        <f t="shared" si="24"/>
        <v>0</v>
      </c>
      <c r="BT7" s="468">
        <f t="shared" si="25"/>
        <v>0</v>
      </c>
      <c r="BU7" s="468">
        <f t="shared" si="26"/>
        <v>0</v>
      </c>
      <c r="BV7" s="469">
        <f t="shared" si="27"/>
        <v>49980.711073932165</v>
      </c>
      <c r="BX7" s="614"/>
      <c r="BY7" s="777"/>
      <c r="BZ7" s="614"/>
      <c r="CA7" s="777"/>
    </row>
    <row r="8" spans="2:79" x14ac:dyDescent="0.2">
      <c r="B8" s="634" t="str">
        <f t="shared" si="28"/>
        <v>Reverse cycle airconditioning time of use</v>
      </c>
      <c r="C8" s="464" t="str">
        <f>Est2018DistRev!B8</f>
        <v>Reverse cycle airconditioning time of use</v>
      </c>
      <c r="D8" s="701">
        <v>0</v>
      </c>
      <c r="E8" s="702">
        <v>0</v>
      </c>
      <c r="F8" s="702">
        <v>0</v>
      </c>
      <c r="G8" s="702">
        <v>0</v>
      </c>
      <c r="H8" s="702">
        <v>0</v>
      </c>
      <c r="I8" s="702">
        <v>0</v>
      </c>
      <c r="J8" s="702">
        <v>0</v>
      </c>
      <c r="K8" s="702">
        <v>0</v>
      </c>
      <c r="L8" s="702">
        <v>0</v>
      </c>
      <c r="M8" s="702">
        <v>0</v>
      </c>
      <c r="N8" s="702">
        <v>0</v>
      </c>
      <c r="O8" s="702">
        <v>0</v>
      </c>
      <c r="P8" s="703">
        <v>0</v>
      </c>
      <c r="R8" s="641">
        <f>Est2018DistRev!D8</f>
        <v>0</v>
      </c>
      <c r="S8" s="642">
        <f>Est2018DistRev!E8</f>
        <v>0</v>
      </c>
      <c r="T8" s="642">
        <f>Est2018DistRev!F8</f>
        <v>0</v>
      </c>
      <c r="U8" s="642">
        <f>Est2018DistRev!G8</f>
        <v>0</v>
      </c>
      <c r="V8" s="642">
        <f>Est2018DistRev!H8</f>
        <v>0</v>
      </c>
      <c r="W8" s="642">
        <f>Est2018DistRev!I8</f>
        <v>0</v>
      </c>
      <c r="X8" s="642">
        <f>Est2018DistRev!J8</f>
        <v>0</v>
      </c>
      <c r="Y8" s="642">
        <f>Est2018DistRev!K8</f>
        <v>0</v>
      </c>
      <c r="Z8" s="642">
        <f>Est2018DistRev!L8</f>
        <v>0</v>
      </c>
      <c r="AA8" s="642">
        <f>Est2018DistRev!M8</f>
        <v>0</v>
      </c>
      <c r="AB8" s="642">
        <f>Est2018DistRev!N8</f>
        <v>0</v>
      </c>
      <c r="AC8" s="642">
        <f>Est2018DistRev!O8</f>
        <v>0</v>
      </c>
      <c r="AD8" s="643">
        <f>Est2018DistRev!P8</f>
        <v>0</v>
      </c>
      <c r="AF8" s="704">
        <v>0</v>
      </c>
      <c r="AG8" s="707">
        <v>0</v>
      </c>
      <c r="AH8" s="707">
        <v>0</v>
      </c>
      <c r="AI8" s="707">
        <v>0</v>
      </c>
      <c r="AJ8" s="707">
        <v>0</v>
      </c>
      <c r="AK8" s="707">
        <v>0</v>
      </c>
      <c r="AL8" s="707">
        <v>0</v>
      </c>
      <c r="AM8" s="707">
        <v>0</v>
      </c>
      <c r="AN8" s="707">
        <v>0</v>
      </c>
      <c r="AO8" s="707">
        <v>0</v>
      </c>
      <c r="AP8" s="707">
        <v>0</v>
      </c>
      <c r="AQ8" s="707">
        <v>0</v>
      </c>
      <c r="AR8" s="708"/>
      <c r="AT8" s="467">
        <f t="shared" si="0"/>
        <v>0</v>
      </c>
      <c r="AU8" s="468">
        <f t="shared" si="1"/>
        <v>0</v>
      </c>
      <c r="AV8" s="468">
        <f t="shared" si="2"/>
        <v>0</v>
      </c>
      <c r="AW8" s="468">
        <f t="shared" si="3"/>
        <v>0</v>
      </c>
      <c r="AX8" s="468">
        <f t="shared" si="4"/>
        <v>0</v>
      </c>
      <c r="AY8" s="468">
        <f t="shared" si="5"/>
        <v>0</v>
      </c>
      <c r="AZ8" s="468">
        <f t="shared" si="6"/>
        <v>0</v>
      </c>
      <c r="BA8" s="468">
        <f t="shared" si="7"/>
        <v>0</v>
      </c>
      <c r="BB8" s="468">
        <f t="shared" si="8"/>
        <v>0</v>
      </c>
      <c r="BC8" s="468">
        <f t="shared" si="9"/>
        <v>0</v>
      </c>
      <c r="BD8" s="468">
        <f t="shared" si="10"/>
        <v>0</v>
      </c>
      <c r="BE8" s="468">
        <f t="shared" si="11"/>
        <v>0</v>
      </c>
      <c r="BF8" s="468">
        <f t="shared" si="12"/>
        <v>0</v>
      </c>
      <c r="BG8" s="469">
        <f t="shared" si="13"/>
        <v>0</v>
      </c>
      <c r="BI8" s="467">
        <f t="shared" si="14"/>
        <v>0</v>
      </c>
      <c r="BJ8" s="468">
        <f t="shared" si="15"/>
        <v>0</v>
      </c>
      <c r="BK8" s="468">
        <f t="shared" si="16"/>
        <v>0</v>
      </c>
      <c r="BL8" s="468">
        <f t="shared" si="17"/>
        <v>0</v>
      </c>
      <c r="BM8" s="468">
        <f t="shared" si="18"/>
        <v>0</v>
      </c>
      <c r="BN8" s="468">
        <f t="shared" si="19"/>
        <v>0</v>
      </c>
      <c r="BO8" s="468">
        <f t="shared" si="20"/>
        <v>0</v>
      </c>
      <c r="BP8" s="468">
        <f t="shared" si="21"/>
        <v>0</v>
      </c>
      <c r="BQ8" s="468">
        <f t="shared" si="22"/>
        <v>0</v>
      </c>
      <c r="BR8" s="468">
        <f t="shared" si="23"/>
        <v>0</v>
      </c>
      <c r="BS8" s="468">
        <f t="shared" si="24"/>
        <v>0</v>
      </c>
      <c r="BT8" s="468">
        <f t="shared" si="25"/>
        <v>0</v>
      </c>
      <c r="BU8" s="468">
        <f t="shared" si="26"/>
        <v>0</v>
      </c>
      <c r="BV8" s="469">
        <f t="shared" si="27"/>
        <v>0</v>
      </c>
      <c r="BX8" s="614"/>
      <c r="BY8" s="777"/>
      <c r="BZ8" s="614"/>
      <c r="CA8" s="777"/>
    </row>
    <row r="9" spans="2:79" x14ac:dyDescent="0.2">
      <c r="B9" s="634" t="str">
        <f t="shared" si="28"/>
        <v>Low voltage small 2 rate</v>
      </c>
      <c r="C9" s="464" t="str">
        <f>Est2018DistRev!B9</f>
        <v>Low voltage small 2 rate</v>
      </c>
      <c r="D9" s="701">
        <v>14.48</v>
      </c>
      <c r="E9" s="702">
        <v>0</v>
      </c>
      <c r="F9" s="702">
        <v>0</v>
      </c>
      <c r="G9" s="702">
        <v>11.43</v>
      </c>
      <c r="H9" s="702">
        <v>0</v>
      </c>
      <c r="I9" s="702">
        <v>0</v>
      </c>
      <c r="J9" s="702">
        <v>8.67</v>
      </c>
      <c r="K9" s="702">
        <v>1.98</v>
      </c>
      <c r="L9" s="702">
        <v>0</v>
      </c>
      <c r="M9" s="702">
        <v>0</v>
      </c>
      <c r="N9" s="702">
        <v>0</v>
      </c>
      <c r="O9" s="702">
        <v>0</v>
      </c>
      <c r="P9" s="703">
        <v>0</v>
      </c>
      <c r="R9" s="641">
        <f>Est2018DistRev!D9</f>
        <v>14.02</v>
      </c>
      <c r="S9" s="642">
        <f>Est2018DistRev!E9</f>
        <v>0</v>
      </c>
      <c r="T9" s="642">
        <f>Est2018DistRev!F9</f>
        <v>0</v>
      </c>
      <c r="U9" s="642">
        <f>Est2018DistRev!G9</f>
        <v>10.063000000000001</v>
      </c>
      <c r="V9" s="642">
        <f>Est2018DistRev!H9</f>
        <v>0</v>
      </c>
      <c r="W9" s="642">
        <f>Est2018DistRev!I9</f>
        <v>0</v>
      </c>
      <c r="X9" s="642">
        <f>Est2018DistRev!J9</f>
        <v>7.6319999999999997</v>
      </c>
      <c r="Y9" s="642">
        <f>Est2018DistRev!K9</f>
        <v>1.7450000000000001</v>
      </c>
      <c r="Z9" s="642">
        <f>Est2018DistRev!L9</f>
        <v>0</v>
      </c>
      <c r="AA9" s="642">
        <f>Est2018DistRev!M9</f>
        <v>0</v>
      </c>
      <c r="AB9" s="642">
        <f>Est2018DistRev!N9</f>
        <v>0</v>
      </c>
      <c r="AC9" s="642">
        <f>Est2018DistRev!O9</f>
        <v>0</v>
      </c>
      <c r="AD9" s="643">
        <f>Est2018DistRev!P9</f>
        <v>0</v>
      </c>
      <c r="AF9" s="704">
        <v>1340451.1587691894</v>
      </c>
      <c r="AG9" s="707">
        <v>0</v>
      </c>
      <c r="AH9" s="707">
        <v>0</v>
      </c>
      <c r="AI9" s="707">
        <v>3869362.149400895</v>
      </c>
      <c r="AJ9" s="707">
        <v>0</v>
      </c>
      <c r="AK9" s="707">
        <v>0</v>
      </c>
      <c r="AL9" s="707">
        <v>6191506.8114995118</v>
      </c>
      <c r="AM9" s="707">
        <v>13287140.177306311</v>
      </c>
      <c r="AN9" s="707">
        <v>0</v>
      </c>
      <c r="AO9" s="707">
        <v>0</v>
      </c>
      <c r="AP9" s="707">
        <v>0</v>
      </c>
      <c r="AQ9" s="707">
        <v>0</v>
      </c>
      <c r="AR9" s="708"/>
      <c r="AT9" s="467">
        <f t="shared" si="0"/>
        <v>194097.32778977865</v>
      </c>
      <c r="AU9" s="468">
        <f t="shared" si="1"/>
        <v>0</v>
      </c>
      <c r="AV9" s="468">
        <f t="shared" si="2"/>
        <v>0</v>
      </c>
      <c r="AW9" s="468">
        <f t="shared" si="3"/>
        <v>442268.09367652232</v>
      </c>
      <c r="AX9" s="468">
        <f t="shared" si="4"/>
        <v>0</v>
      </c>
      <c r="AY9" s="468">
        <f t="shared" si="5"/>
        <v>0</v>
      </c>
      <c r="AZ9" s="468">
        <f t="shared" si="6"/>
        <v>536803.64055700763</v>
      </c>
      <c r="BA9" s="468">
        <f t="shared" si="7"/>
        <v>263085.37551066495</v>
      </c>
      <c r="BB9" s="468">
        <f t="shared" si="8"/>
        <v>0</v>
      </c>
      <c r="BC9" s="468">
        <f t="shared" si="9"/>
        <v>0</v>
      </c>
      <c r="BD9" s="468">
        <f t="shared" si="10"/>
        <v>0</v>
      </c>
      <c r="BE9" s="468">
        <f t="shared" si="11"/>
        <v>0</v>
      </c>
      <c r="BF9" s="468">
        <f t="shared" si="12"/>
        <v>0</v>
      </c>
      <c r="BG9" s="469">
        <f t="shared" si="13"/>
        <v>1436254.4375339735</v>
      </c>
      <c r="BI9" s="467">
        <f t="shared" si="14"/>
        <v>187931.25245944035</v>
      </c>
      <c r="BJ9" s="468">
        <f t="shared" si="15"/>
        <v>0</v>
      </c>
      <c r="BK9" s="468">
        <f t="shared" si="16"/>
        <v>0</v>
      </c>
      <c r="BL9" s="468">
        <f t="shared" si="17"/>
        <v>389373.91309421213</v>
      </c>
      <c r="BM9" s="468">
        <f t="shared" si="18"/>
        <v>0</v>
      </c>
      <c r="BN9" s="468">
        <f t="shared" si="19"/>
        <v>0</v>
      </c>
      <c r="BO9" s="468">
        <f t="shared" si="20"/>
        <v>472535.79985364276</v>
      </c>
      <c r="BP9" s="468">
        <f t="shared" si="21"/>
        <v>231860.59609399515</v>
      </c>
      <c r="BQ9" s="468">
        <f t="shared" si="22"/>
        <v>0</v>
      </c>
      <c r="BR9" s="468">
        <f t="shared" si="23"/>
        <v>0</v>
      </c>
      <c r="BS9" s="468">
        <f t="shared" si="24"/>
        <v>0</v>
      </c>
      <c r="BT9" s="468">
        <f t="shared" si="25"/>
        <v>0</v>
      </c>
      <c r="BU9" s="468">
        <f t="shared" si="26"/>
        <v>0</v>
      </c>
      <c r="BV9" s="469">
        <f t="shared" si="27"/>
        <v>1281701.5615012902</v>
      </c>
      <c r="BX9" s="614"/>
      <c r="BY9" s="777"/>
      <c r="BZ9" s="614"/>
      <c r="CA9" s="777"/>
    </row>
    <row r="10" spans="2:79" x14ac:dyDescent="0.2">
      <c r="B10" s="634" t="str">
        <f t="shared" si="28"/>
        <v>Dedicated circuit</v>
      </c>
      <c r="C10" s="464" t="str">
        <f>Est2018DistRev!B10</f>
        <v>Dedicated circuit</v>
      </c>
      <c r="D10" s="701">
        <v>0</v>
      </c>
      <c r="E10" s="702">
        <v>0</v>
      </c>
      <c r="F10" s="702">
        <v>0</v>
      </c>
      <c r="G10" s="702">
        <v>0</v>
      </c>
      <c r="H10" s="702">
        <v>0</v>
      </c>
      <c r="I10" s="702">
        <v>0</v>
      </c>
      <c r="J10" s="702">
        <v>0</v>
      </c>
      <c r="K10" s="702">
        <v>1.99</v>
      </c>
      <c r="L10" s="702">
        <v>0</v>
      </c>
      <c r="M10" s="702">
        <v>0</v>
      </c>
      <c r="N10" s="702">
        <v>0</v>
      </c>
      <c r="O10" s="702">
        <v>0</v>
      </c>
      <c r="P10" s="703">
        <v>0</v>
      </c>
      <c r="R10" s="641">
        <f>Est2018DistRev!D10</f>
        <v>0</v>
      </c>
      <c r="S10" s="642">
        <f>Est2018DistRev!E10</f>
        <v>0</v>
      </c>
      <c r="T10" s="642">
        <f>Est2018DistRev!F10</f>
        <v>0</v>
      </c>
      <c r="U10" s="642">
        <f>Est2018DistRev!G10</f>
        <v>0</v>
      </c>
      <c r="V10" s="642">
        <f>Est2018DistRev!H10</f>
        <v>0</v>
      </c>
      <c r="W10" s="642">
        <f>Est2018DistRev!I10</f>
        <v>0</v>
      </c>
      <c r="X10" s="642">
        <f>Est2018DistRev!J10</f>
        <v>0</v>
      </c>
      <c r="Y10" s="642">
        <f>Est2018DistRev!K10</f>
        <v>1.931</v>
      </c>
      <c r="Z10" s="642">
        <f>Est2018DistRev!L10</f>
        <v>0</v>
      </c>
      <c r="AA10" s="642">
        <f>Est2018DistRev!M10</f>
        <v>0</v>
      </c>
      <c r="AB10" s="642">
        <f>Est2018DistRev!N10</f>
        <v>0</v>
      </c>
      <c r="AC10" s="642">
        <f>Est2018DistRev!O10</f>
        <v>0</v>
      </c>
      <c r="AD10" s="643">
        <f>Est2018DistRev!P10</f>
        <v>0</v>
      </c>
      <c r="AF10" s="704">
        <v>2556582.8135031499</v>
      </c>
      <c r="AG10" s="707">
        <v>0</v>
      </c>
      <c r="AH10" s="707">
        <v>0</v>
      </c>
      <c r="AI10" s="707">
        <v>0</v>
      </c>
      <c r="AJ10" s="707">
        <v>0</v>
      </c>
      <c r="AK10" s="707">
        <v>0</v>
      </c>
      <c r="AL10" s="707">
        <v>0</v>
      </c>
      <c r="AM10" s="707">
        <v>84158747.774884999</v>
      </c>
      <c r="AN10" s="707">
        <v>0</v>
      </c>
      <c r="AO10" s="707">
        <v>0</v>
      </c>
      <c r="AP10" s="707">
        <v>0</v>
      </c>
      <c r="AQ10" s="707">
        <v>0</v>
      </c>
      <c r="AR10" s="708"/>
      <c r="AT10" s="467">
        <f t="shared" si="0"/>
        <v>0</v>
      </c>
      <c r="AU10" s="468">
        <f t="shared" si="1"/>
        <v>0</v>
      </c>
      <c r="AV10" s="468">
        <f t="shared" si="2"/>
        <v>0</v>
      </c>
      <c r="AW10" s="468">
        <f t="shared" si="3"/>
        <v>0</v>
      </c>
      <c r="AX10" s="468">
        <f t="shared" si="4"/>
        <v>0</v>
      </c>
      <c r="AY10" s="468">
        <f t="shared" si="5"/>
        <v>0</v>
      </c>
      <c r="AZ10" s="468">
        <f t="shared" si="6"/>
        <v>0</v>
      </c>
      <c r="BA10" s="468">
        <f t="shared" si="7"/>
        <v>1674759.0807202116</v>
      </c>
      <c r="BB10" s="468">
        <f t="shared" si="8"/>
        <v>0</v>
      </c>
      <c r="BC10" s="468">
        <f t="shared" si="9"/>
        <v>0</v>
      </c>
      <c r="BD10" s="468">
        <f t="shared" si="10"/>
        <v>0</v>
      </c>
      <c r="BE10" s="468">
        <f t="shared" si="11"/>
        <v>0</v>
      </c>
      <c r="BF10" s="468">
        <f t="shared" si="12"/>
        <v>0</v>
      </c>
      <c r="BG10" s="469">
        <f t="shared" si="13"/>
        <v>1674759.0807202116</v>
      </c>
      <c r="BI10" s="467">
        <f t="shared" si="14"/>
        <v>0</v>
      </c>
      <c r="BJ10" s="468">
        <f t="shared" si="15"/>
        <v>0</v>
      </c>
      <c r="BK10" s="468">
        <f t="shared" si="16"/>
        <v>0</v>
      </c>
      <c r="BL10" s="468">
        <f t="shared" si="17"/>
        <v>0</v>
      </c>
      <c r="BM10" s="468">
        <f t="shared" si="18"/>
        <v>0</v>
      </c>
      <c r="BN10" s="468">
        <f t="shared" si="19"/>
        <v>0</v>
      </c>
      <c r="BO10" s="468">
        <f t="shared" si="20"/>
        <v>0</v>
      </c>
      <c r="BP10" s="468">
        <f t="shared" si="21"/>
        <v>1625105.4195330294</v>
      </c>
      <c r="BQ10" s="468">
        <f t="shared" si="22"/>
        <v>0</v>
      </c>
      <c r="BR10" s="468">
        <f t="shared" si="23"/>
        <v>0</v>
      </c>
      <c r="BS10" s="468">
        <f t="shared" si="24"/>
        <v>0</v>
      </c>
      <c r="BT10" s="468">
        <f t="shared" si="25"/>
        <v>0</v>
      </c>
      <c r="BU10" s="468">
        <f t="shared" si="26"/>
        <v>0</v>
      </c>
      <c r="BV10" s="469">
        <f t="shared" si="27"/>
        <v>1625105.4195330294</v>
      </c>
      <c r="BX10" s="614"/>
      <c r="BY10" s="777"/>
      <c r="BZ10" s="614"/>
      <c r="CA10" s="777"/>
    </row>
    <row r="11" spans="2:79" x14ac:dyDescent="0.2">
      <c r="B11" s="634" t="str">
        <f t="shared" si="28"/>
        <v>Low voltage medium 1 rate</v>
      </c>
      <c r="C11" s="464" t="str">
        <f>Est2018DistRev!B11</f>
        <v>Low voltage medium 1 rate</v>
      </c>
      <c r="D11" s="701">
        <v>12.03</v>
      </c>
      <c r="E11" s="702">
        <v>9.4600000000000009</v>
      </c>
      <c r="F11" s="702">
        <v>0</v>
      </c>
      <c r="G11" s="702">
        <v>0</v>
      </c>
      <c r="H11" s="702">
        <v>7.19</v>
      </c>
      <c r="I11" s="702">
        <v>0</v>
      </c>
      <c r="J11" s="702">
        <v>0</v>
      </c>
      <c r="K11" s="702">
        <v>0</v>
      </c>
      <c r="L11" s="702">
        <v>0</v>
      </c>
      <c r="M11" s="702">
        <v>0</v>
      </c>
      <c r="N11" s="702">
        <v>0</v>
      </c>
      <c r="O11" s="702">
        <v>0</v>
      </c>
      <c r="P11" s="703">
        <v>0</v>
      </c>
      <c r="R11" s="641">
        <f>Est2018DistRev!D11</f>
        <v>11.651999999999999</v>
      </c>
      <c r="S11" s="642">
        <f>Est2018DistRev!E11</f>
        <v>10.241</v>
      </c>
      <c r="T11" s="642">
        <f>Est2018DistRev!F11</f>
        <v>0</v>
      </c>
      <c r="U11" s="642">
        <f>Est2018DistRev!G11</f>
        <v>0</v>
      </c>
      <c r="V11" s="642">
        <f>Est2018DistRev!H11</f>
        <v>6.391</v>
      </c>
      <c r="W11" s="642">
        <f>Est2018DistRev!I11</f>
        <v>0</v>
      </c>
      <c r="X11" s="642">
        <f>Est2018DistRev!J11</f>
        <v>0</v>
      </c>
      <c r="Y11" s="642">
        <f>Est2018DistRev!K11</f>
        <v>0</v>
      </c>
      <c r="Z11" s="642">
        <f>Est2018DistRev!L11</f>
        <v>0</v>
      </c>
      <c r="AA11" s="642">
        <f>Est2018DistRev!M11</f>
        <v>0</v>
      </c>
      <c r="AB11" s="642">
        <f>Est2018DistRev!N11</f>
        <v>0</v>
      </c>
      <c r="AC11" s="642">
        <f>Est2018DistRev!O11</f>
        <v>0</v>
      </c>
      <c r="AD11" s="643">
        <f>Est2018DistRev!P11</f>
        <v>0</v>
      </c>
      <c r="AF11" s="704">
        <v>12146313.83417597</v>
      </c>
      <c r="AG11" s="707">
        <v>160384013.53021297</v>
      </c>
      <c r="AH11" s="707">
        <v>0</v>
      </c>
      <c r="AI11" s="707">
        <v>0</v>
      </c>
      <c r="AJ11" s="707">
        <v>248017894.41048351</v>
      </c>
      <c r="AK11" s="707">
        <v>0</v>
      </c>
      <c r="AL11" s="707">
        <v>0</v>
      </c>
      <c r="AM11" s="707">
        <v>0</v>
      </c>
      <c r="AN11" s="707">
        <v>0</v>
      </c>
      <c r="AO11" s="707">
        <v>0</v>
      </c>
      <c r="AP11" s="707">
        <v>0</v>
      </c>
      <c r="AQ11" s="707">
        <v>0</v>
      </c>
      <c r="AR11" s="708"/>
      <c r="AT11" s="467">
        <f t="shared" si="0"/>
        <v>1461201.5542513691</v>
      </c>
      <c r="AU11" s="468">
        <f t="shared" si="1"/>
        <v>15172327.679958148</v>
      </c>
      <c r="AV11" s="468">
        <f t="shared" si="2"/>
        <v>0</v>
      </c>
      <c r="AW11" s="468">
        <f t="shared" si="3"/>
        <v>0</v>
      </c>
      <c r="AX11" s="468">
        <f t="shared" si="4"/>
        <v>17832486.608113766</v>
      </c>
      <c r="AY11" s="468">
        <f t="shared" si="5"/>
        <v>0</v>
      </c>
      <c r="AZ11" s="468">
        <f t="shared" si="6"/>
        <v>0</v>
      </c>
      <c r="BA11" s="468">
        <f t="shared" si="7"/>
        <v>0</v>
      </c>
      <c r="BB11" s="468">
        <f t="shared" si="8"/>
        <v>0</v>
      </c>
      <c r="BC11" s="468">
        <f t="shared" si="9"/>
        <v>0</v>
      </c>
      <c r="BD11" s="468">
        <f t="shared" si="10"/>
        <v>0</v>
      </c>
      <c r="BE11" s="468">
        <f t="shared" si="11"/>
        <v>0</v>
      </c>
      <c r="BF11" s="468">
        <f t="shared" si="12"/>
        <v>0</v>
      </c>
      <c r="BG11" s="469">
        <f t="shared" si="13"/>
        <v>34466015.842323281</v>
      </c>
      <c r="BI11" s="467">
        <f t="shared" si="14"/>
        <v>1415288.487958184</v>
      </c>
      <c r="BJ11" s="468">
        <f t="shared" si="15"/>
        <v>16424926.82562911</v>
      </c>
      <c r="BK11" s="468">
        <f t="shared" si="16"/>
        <v>0</v>
      </c>
      <c r="BL11" s="468">
        <f t="shared" si="17"/>
        <v>0</v>
      </c>
      <c r="BM11" s="468">
        <f t="shared" si="18"/>
        <v>15850823.631773999</v>
      </c>
      <c r="BN11" s="468">
        <f t="shared" si="19"/>
        <v>0</v>
      </c>
      <c r="BO11" s="468">
        <f t="shared" si="20"/>
        <v>0</v>
      </c>
      <c r="BP11" s="468">
        <f t="shared" si="21"/>
        <v>0</v>
      </c>
      <c r="BQ11" s="468">
        <f t="shared" si="22"/>
        <v>0</v>
      </c>
      <c r="BR11" s="468">
        <f t="shared" si="23"/>
        <v>0</v>
      </c>
      <c r="BS11" s="468">
        <f t="shared" si="24"/>
        <v>0</v>
      </c>
      <c r="BT11" s="468">
        <f t="shared" si="25"/>
        <v>0</v>
      </c>
      <c r="BU11" s="468">
        <f t="shared" si="26"/>
        <v>0</v>
      </c>
      <c r="BV11" s="469">
        <f t="shared" si="27"/>
        <v>33691038.945361294</v>
      </c>
      <c r="BX11" s="614"/>
      <c r="BY11" s="777"/>
      <c r="BZ11" s="614"/>
      <c r="CA11" s="777"/>
    </row>
    <row r="12" spans="2:79" x14ac:dyDescent="0.2">
      <c r="B12" s="634" t="str">
        <f t="shared" si="28"/>
        <v>Low voltage medium 2 rate 5 day</v>
      </c>
      <c r="C12" s="464" t="str">
        <f>Est2018DistRev!B12</f>
        <v>Low voltage medium 2 rate 5 day</v>
      </c>
      <c r="D12" s="701">
        <v>23.03</v>
      </c>
      <c r="E12" s="702">
        <v>0</v>
      </c>
      <c r="F12" s="702">
        <v>0</v>
      </c>
      <c r="G12" s="702">
        <v>12.42</v>
      </c>
      <c r="H12" s="702">
        <v>0</v>
      </c>
      <c r="I12" s="702">
        <v>0</v>
      </c>
      <c r="J12" s="702">
        <v>9.31</v>
      </c>
      <c r="K12" s="702">
        <v>2.3199999999999998</v>
      </c>
      <c r="L12" s="702">
        <v>0</v>
      </c>
      <c r="M12" s="702">
        <v>0</v>
      </c>
      <c r="N12" s="702">
        <v>0</v>
      </c>
      <c r="O12" s="702">
        <v>0</v>
      </c>
      <c r="P12" s="703">
        <v>0</v>
      </c>
      <c r="R12" s="641">
        <f>Est2018DistRev!D12</f>
        <v>22.303000000000001</v>
      </c>
      <c r="S12" s="642">
        <f>Est2018DistRev!E12</f>
        <v>0</v>
      </c>
      <c r="T12" s="642">
        <f>Est2018DistRev!F12</f>
        <v>0</v>
      </c>
      <c r="U12" s="642">
        <f>Est2018DistRev!G12</f>
        <v>10.83</v>
      </c>
      <c r="V12" s="642">
        <f>Est2018DistRev!H12</f>
        <v>0</v>
      </c>
      <c r="W12" s="642">
        <f>Est2018DistRev!I12</f>
        <v>0</v>
      </c>
      <c r="X12" s="642">
        <f>Est2018DistRev!J12</f>
        <v>8.1159999999999997</v>
      </c>
      <c r="Y12" s="642">
        <f>Est2018DistRev!K12</f>
        <v>2.0219999999999998</v>
      </c>
      <c r="Z12" s="642">
        <f>Est2018DistRev!L12</f>
        <v>0</v>
      </c>
      <c r="AA12" s="642">
        <f>Est2018DistRev!M12</f>
        <v>0</v>
      </c>
      <c r="AB12" s="642">
        <f>Est2018DistRev!N12</f>
        <v>0</v>
      </c>
      <c r="AC12" s="642">
        <f>Est2018DistRev!O12</f>
        <v>0</v>
      </c>
      <c r="AD12" s="643">
        <f>Est2018DistRev!P12</f>
        <v>0</v>
      </c>
      <c r="AF12" s="704">
        <v>3142786.3099071081</v>
      </c>
      <c r="AG12" s="707">
        <v>0</v>
      </c>
      <c r="AH12" s="707">
        <v>0</v>
      </c>
      <c r="AI12" s="707">
        <v>48750958.343441747</v>
      </c>
      <c r="AJ12" s="707">
        <v>0</v>
      </c>
      <c r="AK12" s="707">
        <v>0</v>
      </c>
      <c r="AL12" s="707">
        <v>71461261.271050319</v>
      </c>
      <c r="AM12" s="707">
        <v>72558263.793640316</v>
      </c>
      <c r="AN12" s="707">
        <v>0</v>
      </c>
      <c r="AO12" s="707">
        <v>0</v>
      </c>
      <c r="AP12" s="707">
        <v>0</v>
      </c>
      <c r="AQ12" s="707">
        <v>0</v>
      </c>
      <c r="AR12" s="708"/>
      <c r="AT12" s="467">
        <f t="shared" si="0"/>
        <v>723783.68717160705</v>
      </c>
      <c r="AU12" s="468">
        <f t="shared" si="1"/>
        <v>0</v>
      </c>
      <c r="AV12" s="468">
        <f t="shared" si="2"/>
        <v>0</v>
      </c>
      <c r="AW12" s="468">
        <f t="shared" si="3"/>
        <v>6054869.0262554651</v>
      </c>
      <c r="AX12" s="468">
        <f t="shared" si="4"/>
        <v>0</v>
      </c>
      <c r="AY12" s="468">
        <f t="shared" si="5"/>
        <v>0</v>
      </c>
      <c r="AZ12" s="468">
        <f t="shared" si="6"/>
        <v>6653043.424334785</v>
      </c>
      <c r="BA12" s="468">
        <f t="shared" si="7"/>
        <v>1683351.7200124552</v>
      </c>
      <c r="BB12" s="468">
        <f t="shared" si="8"/>
        <v>0</v>
      </c>
      <c r="BC12" s="468">
        <f t="shared" si="9"/>
        <v>0</v>
      </c>
      <c r="BD12" s="468">
        <f t="shared" si="10"/>
        <v>0</v>
      </c>
      <c r="BE12" s="468">
        <f t="shared" si="11"/>
        <v>0</v>
      </c>
      <c r="BF12" s="468">
        <f t="shared" si="12"/>
        <v>0</v>
      </c>
      <c r="BG12" s="469">
        <f t="shared" si="13"/>
        <v>15115047.857774314</v>
      </c>
      <c r="BI12" s="467">
        <f t="shared" si="14"/>
        <v>700935.63069858239</v>
      </c>
      <c r="BJ12" s="468">
        <f t="shared" si="15"/>
        <v>0</v>
      </c>
      <c r="BK12" s="468">
        <f t="shared" si="16"/>
        <v>0</v>
      </c>
      <c r="BL12" s="468">
        <f t="shared" si="17"/>
        <v>5279728.7885947414</v>
      </c>
      <c r="BM12" s="468">
        <f t="shared" si="18"/>
        <v>0</v>
      </c>
      <c r="BN12" s="468">
        <f t="shared" si="19"/>
        <v>0</v>
      </c>
      <c r="BO12" s="468">
        <f t="shared" si="20"/>
        <v>5799795.9647584436</v>
      </c>
      <c r="BP12" s="468">
        <f t="shared" si="21"/>
        <v>1467128.093907407</v>
      </c>
      <c r="BQ12" s="468">
        <f t="shared" si="22"/>
        <v>0</v>
      </c>
      <c r="BR12" s="468">
        <f t="shared" si="23"/>
        <v>0</v>
      </c>
      <c r="BS12" s="468">
        <f t="shared" si="24"/>
        <v>0</v>
      </c>
      <c r="BT12" s="468">
        <f t="shared" si="25"/>
        <v>0</v>
      </c>
      <c r="BU12" s="468">
        <f t="shared" si="26"/>
        <v>0</v>
      </c>
      <c r="BV12" s="469">
        <f t="shared" si="27"/>
        <v>13247588.477959173</v>
      </c>
      <c r="BX12" s="614"/>
      <c r="BY12" s="777"/>
      <c r="BZ12" s="614"/>
      <c r="CA12" s="777"/>
    </row>
    <row r="13" spans="2:79" x14ac:dyDescent="0.2">
      <c r="B13" s="634" t="str">
        <f t="shared" si="28"/>
        <v>Low voltage medium 2 rate 7 day</v>
      </c>
      <c r="C13" s="464" t="str">
        <f>Est2018DistRev!B13</f>
        <v>Low voltage medium 2 rate 7 day</v>
      </c>
      <c r="D13" s="701">
        <v>24.51</v>
      </c>
      <c r="E13" s="702">
        <v>0</v>
      </c>
      <c r="F13" s="702">
        <v>0</v>
      </c>
      <c r="G13" s="702">
        <v>10.24</v>
      </c>
      <c r="H13" s="702">
        <v>0</v>
      </c>
      <c r="I13" s="702">
        <v>0</v>
      </c>
      <c r="J13" s="702">
        <v>7.93</v>
      </c>
      <c r="K13" s="702">
        <v>1.87</v>
      </c>
      <c r="L13" s="702">
        <v>0</v>
      </c>
      <c r="M13" s="702">
        <v>0</v>
      </c>
      <c r="N13" s="702">
        <v>0</v>
      </c>
      <c r="O13" s="702">
        <v>0</v>
      </c>
      <c r="P13" s="703">
        <v>0</v>
      </c>
      <c r="R13" s="641">
        <f>Est2018DistRev!D13</f>
        <v>23.742000000000001</v>
      </c>
      <c r="S13" s="642">
        <f>Est2018DistRev!E13</f>
        <v>0</v>
      </c>
      <c r="T13" s="642">
        <f>Est2018DistRev!F13</f>
        <v>0</v>
      </c>
      <c r="U13" s="642">
        <f>Est2018DistRev!G13</f>
        <v>10.307</v>
      </c>
      <c r="V13" s="642">
        <f>Est2018DistRev!H13</f>
        <v>0</v>
      </c>
      <c r="W13" s="642">
        <f>Est2018DistRev!I13</f>
        <v>0</v>
      </c>
      <c r="X13" s="642">
        <f>Est2018DistRev!J13</f>
        <v>7.9809999999999999</v>
      </c>
      <c r="Y13" s="642">
        <f>Est2018DistRev!K13</f>
        <v>1.88</v>
      </c>
      <c r="Z13" s="642">
        <f>Est2018DistRev!L13</f>
        <v>0</v>
      </c>
      <c r="AA13" s="642">
        <f>Est2018DistRev!M13</f>
        <v>0</v>
      </c>
      <c r="AB13" s="642">
        <f>Est2018DistRev!N13</f>
        <v>0</v>
      </c>
      <c r="AC13" s="642">
        <f>Est2018DistRev!O13</f>
        <v>0</v>
      </c>
      <c r="AD13" s="643">
        <f>Est2018DistRev!P13</f>
        <v>0</v>
      </c>
      <c r="AF13" s="704">
        <v>1806435.3607059252</v>
      </c>
      <c r="AG13" s="707">
        <v>0</v>
      </c>
      <c r="AH13" s="707">
        <v>0</v>
      </c>
      <c r="AI13" s="707">
        <v>24677811.012879409</v>
      </c>
      <c r="AJ13" s="707">
        <v>0</v>
      </c>
      <c r="AK13" s="707">
        <v>0</v>
      </c>
      <c r="AL13" s="707">
        <v>38638672.968607686</v>
      </c>
      <c r="AM13" s="707">
        <v>17093353.142594486</v>
      </c>
      <c r="AN13" s="707">
        <v>0</v>
      </c>
      <c r="AO13" s="707">
        <v>0</v>
      </c>
      <c r="AP13" s="707">
        <v>0</v>
      </c>
      <c r="AQ13" s="707">
        <v>0</v>
      </c>
      <c r="AR13" s="708"/>
      <c r="AT13" s="467">
        <f t="shared" si="0"/>
        <v>442757.30690902227</v>
      </c>
      <c r="AU13" s="468">
        <f t="shared" si="1"/>
        <v>0</v>
      </c>
      <c r="AV13" s="468">
        <f t="shared" si="2"/>
        <v>0</v>
      </c>
      <c r="AW13" s="468">
        <f t="shared" si="3"/>
        <v>2527007.8477188516</v>
      </c>
      <c r="AX13" s="468">
        <f t="shared" si="4"/>
        <v>0</v>
      </c>
      <c r="AY13" s="468">
        <f t="shared" si="5"/>
        <v>0</v>
      </c>
      <c r="AZ13" s="468">
        <f t="shared" si="6"/>
        <v>3064046.7664105892</v>
      </c>
      <c r="BA13" s="468">
        <f t="shared" si="7"/>
        <v>319645.70376651693</v>
      </c>
      <c r="BB13" s="468">
        <f t="shared" si="8"/>
        <v>0</v>
      </c>
      <c r="BC13" s="468">
        <f t="shared" si="9"/>
        <v>0</v>
      </c>
      <c r="BD13" s="468">
        <f t="shared" si="10"/>
        <v>0</v>
      </c>
      <c r="BE13" s="468">
        <f t="shared" si="11"/>
        <v>0</v>
      </c>
      <c r="BF13" s="468">
        <f t="shared" si="12"/>
        <v>0</v>
      </c>
      <c r="BG13" s="469">
        <f t="shared" si="13"/>
        <v>6353457.6248049811</v>
      </c>
      <c r="BI13" s="467">
        <f t="shared" si="14"/>
        <v>428883.88333880081</v>
      </c>
      <c r="BJ13" s="468">
        <f t="shared" si="15"/>
        <v>0</v>
      </c>
      <c r="BK13" s="468">
        <f t="shared" si="16"/>
        <v>0</v>
      </c>
      <c r="BL13" s="468">
        <f t="shared" si="17"/>
        <v>2543541.9810974807</v>
      </c>
      <c r="BM13" s="468">
        <f t="shared" si="18"/>
        <v>0</v>
      </c>
      <c r="BN13" s="468">
        <f t="shared" si="19"/>
        <v>0</v>
      </c>
      <c r="BO13" s="468">
        <f t="shared" si="20"/>
        <v>3083752.489624579</v>
      </c>
      <c r="BP13" s="468">
        <f t="shared" si="21"/>
        <v>321355.03908077627</v>
      </c>
      <c r="BQ13" s="468">
        <f t="shared" si="22"/>
        <v>0</v>
      </c>
      <c r="BR13" s="468">
        <f t="shared" si="23"/>
        <v>0</v>
      </c>
      <c r="BS13" s="468">
        <f t="shared" si="24"/>
        <v>0</v>
      </c>
      <c r="BT13" s="468">
        <f t="shared" si="25"/>
        <v>0</v>
      </c>
      <c r="BU13" s="468">
        <f t="shared" si="26"/>
        <v>0</v>
      </c>
      <c r="BV13" s="469">
        <f t="shared" si="27"/>
        <v>6377533.3931416366</v>
      </c>
      <c r="BX13" s="614"/>
      <c r="BY13" s="777"/>
      <c r="BZ13" s="614"/>
      <c r="CA13" s="777"/>
    </row>
    <row r="14" spans="2:79" x14ac:dyDescent="0.2">
      <c r="B14" s="634" t="str">
        <f t="shared" si="28"/>
        <v>Unmetered supplies</v>
      </c>
      <c r="C14" s="464" t="str">
        <f>Est2018DistRev!B14</f>
        <v>Unmetered supplies</v>
      </c>
      <c r="D14" s="701">
        <v>0</v>
      </c>
      <c r="E14" s="702">
        <v>0</v>
      </c>
      <c r="F14" s="702">
        <v>0</v>
      </c>
      <c r="G14" s="702">
        <v>8.73</v>
      </c>
      <c r="H14" s="702">
        <v>0</v>
      </c>
      <c r="I14" s="702">
        <v>0</v>
      </c>
      <c r="J14" s="702">
        <v>6.39</v>
      </c>
      <c r="K14" s="702">
        <v>1.57</v>
      </c>
      <c r="L14" s="702">
        <v>0</v>
      </c>
      <c r="M14" s="702">
        <v>0</v>
      </c>
      <c r="N14" s="702">
        <v>0</v>
      </c>
      <c r="O14" s="702">
        <v>0</v>
      </c>
      <c r="P14" s="703">
        <v>0</v>
      </c>
      <c r="R14" s="641">
        <f>Est2018DistRev!D14</f>
        <v>0</v>
      </c>
      <c r="S14" s="642">
        <f>Est2018DistRev!E14</f>
        <v>0</v>
      </c>
      <c r="T14" s="642">
        <f>Est2018DistRev!F14</f>
        <v>0</v>
      </c>
      <c r="U14" s="642">
        <f>Est2018DistRev!G14</f>
        <v>8.4589999999999996</v>
      </c>
      <c r="V14" s="642">
        <f>Est2018DistRev!H14</f>
        <v>0</v>
      </c>
      <c r="W14" s="642">
        <f>Est2018DistRev!I14</f>
        <v>0</v>
      </c>
      <c r="X14" s="642">
        <f>Est2018DistRev!J14</f>
        <v>6.1879999999999997</v>
      </c>
      <c r="Y14" s="642">
        <f>Est2018DistRev!K14</f>
        <v>1.5249999999999999</v>
      </c>
      <c r="Z14" s="642">
        <f>Est2018DistRev!L14</f>
        <v>0</v>
      </c>
      <c r="AA14" s="642">
        <f>Est2018DistRev!M14</f>
        <v>0</v>
      </c>
      <c r="AB14" s="642">
        <f>Est2018DistRev!N14</f>
        <v>0</v>
      </c>
      <c r="AC14" s="642">
        <f>Est2018DistRev!O14</f>
        <v>0</v>
      </c>
      <c r="AD14" s="643">
        <f>Est2018DistRev!P14</f>
        <v>0</v>
      </c>
      <c r="AF14" s="704">
        <v>2772880.6587093272</v>
      </c>
      <c r="AG14" s="707">
        <v>0</v>
      </c>
      <c r="AH14" s="707">
        <v>0</v>
      </c>
      <c r="AI14" s="707">
        <v>12344107.452443851</v>
      </c>
      <c r="AJ14" s="707">
        <v>0</v>
      </c>
      <c r="AK14" s="707">
        <v>0</v>
      </c>
      <c r="AL14" s="707">
        <v>20839763.871000901</v>
      </c>
      <c r="AM14" s="707">
        <v>61038507.71169661</v>
      </c>
      <c r="AN14" s="707">
        <v>0</v>
      </c>
      <c r="AO14" s="707">
        <v>0</v>
      </c>
      <c r="AP14" s="707">
        <v>0</v>
      </c>
      <c r="AQ14" s="707">
        <v>0</v>
      </c>
      <c r="AR14" s="708"/>
      <c r="AT14" s="467">
        <f t="shared" si="0"/>
        <v>0</v>
      </c>
      <c r="AU14" s="468">
        <f t="shared" si="1"/>
        <v>0</v>
      </c>
      <c r="AV14" s="468">
        <f t="shared" si="2"/>
        <v>0</v>
      </c>
      <c r="AW14" s="468">
        <f t="shared" si="3"/>
        <v>1077640.5805983483</v>
      </c>
      <c r="AX14" s="468">
        <f t="shared" si="4"/>
        <v>0</v>
      </c>
      <c r="AY14" s="468">
        <f t="shared" si="5"/>
        <v>0</v>
      </c>
      <c r="AZ14" s="468">
        <f t="shared" si="6"/>
        <v>1331660.9113569576</v>
      </c>
      <c r="BA14" s="468">
        <f t="shared" si="7"/>
        <v>958304.57107363688</v>
      </c>
      <c r="BB14" s="468">
        <f t="shared" si="8"/>
        <v>0</v>
      </c>
      <c r="BC14" s="468">
        <f t="shared" si="9"/>
        <v>0</v>
      </c>
      <c r="BD14" s="468">
        <f t="shared" si="10"/>
        <v>0</v>
      </c>
      <c r="BE14" s="468">
        <f t="shared" si="11"/>
        <v>0</v>
      </c>
      <c r="BF14" s="468">
        <f t="shared" si="12"/>
        <v>0</v>
      </c>
      <c r="BG14" s="469">
        <f t="shared" si="13"/>
        <v>3367606.0630289428</v>
      </c>
      <c r="BI14" s="467">
        <f t="shared" si="14"/>
        <v>0</v>
      </c>
      <c r="BJ14" s="468">
        <f t="shared" si="15"/>
        <v>0</v>
      </c>
      <c r="BK14" s="468">
        <f t="shared" si="16"/>
        <v>0</v>
      </c>
      <c r="BL14" s="468">
        <f t="shared" si="17"/>
        <v>1044188.0494022253</v>
      </c>
      <c r="BM14" s="468">
        <f t="shared" si="18"/>
        <v>0</v>
      </c>
      <c r="BN14" s="468">
        <f t="shared" si="19"/>
        <v>0</v>
      </c>
      <c r="BO14" s="468">
        <f t="shared" si="20"/>
        <v>1289564.5883375357</v>
      </c>
      <c r="BP14" s="468">
        <f t="shared" si="21"/>
        <v>930837.24260337325</v>
      </c>
      <c r="BQ14" s="468">
        <f t="shared" si="22"/>
        <v>0</v>
      </c>
      <c r="BR14" s="468">
        <f t="shared" si="23"/>
        <v>0</v>
      </c>
      <c r="BS14" s="468">
        <f t="shared" si="24"/>
        <v>0</v>
      </c>
      <c r="BT14" s="468">
        <f t="shared" si="25"/>
        <v>0</v>
      </c>
      <c r="BU14" s="468">
        <f t="shared" si="26"/>
        <v>0</v>
      </c>
      <c r="BV14" s="469">
        <f t="shared" si="27"/>
        <v>3264589.880343134</v>
      </c>
      <c r="BX14" s="614"/>
      <c r="BY14" s="777"/>
      <c r="BZ14" s="614"/>
      <c r="CA14" s="777"/>
    </row>
    <row r="15" spans="2:79" x14ac:dyDescent="0.2">
      <c r="B15" s="634" t="str">
        <f t="shared" si="28"/>
        <v>Low voltage large 1 rate</v>
      </c>
      <c r="C15" s="464" t="str">
        <f>Est2018DistRev!B15</f>
        <v>Low voltage large 1 rate</v>
      </c>
      <c r="D15" s="701">
        <v>14.08</v>
      </c>
      <c r="E15" s="702">
        <v>7.02</v>
      </c>
      <c r="F15" s="702">
        <v>0</v>
      </c>
      <c r="G15" s="702">
        <v>0</v>
      </c>
      <c r="H15" s="702">
        <v>5.54</v>
      </c>
      <c r="I15" s="702">
        <v>0</v>
      </c>
      <c r="J15" s="702">
        <v>0</v>
      </c>
      <c r="K15" s="702">
        <v>0</v>
      </c>
      <c r="L15" s="702">
        <v>0</v>
      </c>
      <c r="M15" s="702">
        <v>0</v>
      </c>
      <c r="N15" s="702">
        <v>0</v>
      </c>
      <c r="O15" s="702">
        <v>0</v>
      </c>
      <c r="P15" s="703">
        <v>0</v>
      </c>
      <c r="R15" s="641">
        <f>Est2018DistRev!D15</f>
        <v>13.641</v>
      </c>
      <c r="S15" s="642">
        <f>Est2018DistRev!E15</f>
        <v>6.2469999999999999</v>
      </c>
      <c r="T15" s="642">
        <f>Est2018DistRev!F15</f>
        <v>0</v>
      </c>
      <c r="U15" s="642">
        <f>Est2018DistRev!G15</f>
        <v>0</v>
      </c>
      <c r="V15" s="642">
        <f>Est2018DistRev!H15</f>
        <v>4.9290000000000003</v>
      </c>
      <c r="W15" s="642">
        <f>Est2018DistRev!I15</f>
        <v>0</v>
      </c>
      <c r="X15" s="642">
        <f>Est2018DistRev!J15</f>
        <v>0</v>
      </c>
      <c r="Y15" s="642">
        <f>Est2018DistRev!K15</f>
        <v>0</v>
      </c>
      <c r="Z15" s="642">
        <f>Est2018DistRev!L15</f>
        <v>0</v>
      </c>
      <c r="AA15" s="642">
        <f>Est2018DistRev!M15</f>
        <v>0</v>
      </c>
      <c r="AB15" s="642">
        <f>Est2018DistRev!N15</f>
        <v>0</v>
      </c>
      <c r="AC15" s="642">
        <f>Est2018DistRev!O15</f>
        <v>0</v>
      </c>
      <c r="AD15" s="643">
        <f>Est2018DistRev!P15</f>
        <v>0</v>
      </c>
      <c r="AF15" s="704">
        <v>2053.7935488600656</v>
      </c>
      <c r="AG15" s="707">
        <v>535639.43750507152</v>
      </c>
      <c r="AH15" s="707">
        <v>0</v>
      </c>
      <c r="AI15" s="707">
        <v>0</v>
      </c>
      <c r="AJ15" s="707">
        <v>716644.26150662987</v>
      </c>
      <c r="AK15" s="707">
        <v>0</v>
      </c>
      <c r="AL15" s="707">
        <v>0</v>
      </c>
      <c r="AM15" s="707">
        <v>0</v>
      </c>
      <c r="AN15" s="707">
        <v>0</v>
      </c>
      <c r="AO15" s="707">
        <v>0</v>
      </c>
      <c r="AP15" s="707">
        <v>0</v>
      </c>
      <c r="AQ15" s="707">
        <v>0</v>
      </c>
      <c r="AR15" s="708"/>
      <c r="AT15" s="467">
        <f t="shared" si="0"/>
        <v>289.17413167949724</v>
      </c>
      <c r="AU15" s="468">
        <f t="shared" si="1"/>
        <v>37601.888512856021</v>
      </c>
      <c r="AV15" s="468">
        <f t="shared" si="2"/>
        <v>0</v>
      </c>
      <c r="AW15" s="468">
        <f t="shared" si="3"/>
        <v>0</v>
      </c>
      <c r="AX15" s="468">
        <f t="shared" si="4"/>
        <v>39702.092087467296</v>
      </c>
      <c r="AY15" s="468">
        <f t="shared" si="5"/>
        <v>0</v>
      </c>
      <c r="AZ15" s="468">
        <f t="shared" si="6"/>
        <v>0</v>
      </c>
      <c r="BA15" s="468">
        <f t="shared" si="7"/>
        <v>0</v>
      </c>
      <c r="BB15" s="468">
        <f t="shared" si="8"/>
        <v>0</v>
      </c>
      <c r="BC15" s="468">
        <f t="shared" si="9"/>
        <v>0</v>
      </c>
      <c r="BD15" s="468">
        <f t="shared" si="10"/>
        <v>0</v>
      </c>
      <c r="BE15" s="468">
        <f t="shared" si="11"/>
        <v>0</v>
      </c>
      <c r="BF15" s="468">
        <f t="shared" si="12"/>
        <v>0</v>
      </c>
      <c r="BG15" s="469">
        <f t="shared" si="13"/>
        <v>77593.154732002818</v>
      </c>
      <c r="BI15" s="467">
        <f t="shared" si="14"/>
        <v>280.15797800000155</v>
      </c>
      <c r="BJ15" s="468">
        <f t="shared" si="15"/>
        <v>33461.395660941816</v>
      </c>
      <c r="BK15" s="468">
        <f t="shared" si="16"/>
        <v>0</v>
      </c>
      <c r="BL15" s="468">
        <f t="shared" si="17"/>
        <v>0</v>
      </c>
      <c r="BM15" s="468">
        <f t="shared" si="18"/>
        <v>35323.39564966179</v>
      </c>
      <c r="BN15" s="468">
        <f t="shared" si="19"/>
        <v>0</v>
      </c>
      <c r="BO15" s="468">
        <f t="shared" si="20"/>
        <v>0</v>
      </c>
      <c r="BP15" s="468">
        <f t="shared" si="21"/>
        <v>0</v>
      </c>
      <c r="BQ15" s="468">
        <f t="shared" si="22"/>
        <v>0</v>
      </c>
      <c r="BR15" s="468">
        <f t="shared" si="23"/>
        <v>0</v>
      </c>
      <c r="BS15" s="468">
        <f t="shared" si="24"/>
        <v>0</v>
      </c>
      <c r="BT15" s="468">
        <f t="shared" si="25"/>
        <v>0</v>
      </c>
      <c r="BU15" s="468">
        <f t="shared" si="26"/>
        <v>0</v>
      </c>
      <c r="BV15" s="469">
        <f t="shared" si="27"/>
        <v>69064.949288603617</v>
      </c>
      <c r="BX15" s="614"/>
      <c r="BY15" s="777"/>
      <c r="BZ15" s="614"/>
      <c r="CA15" s="777"/>
    </row>
    <row r="16" spans="2:79" x14ac:dyDescent="0.2">
      <c r="B16" s="634" t="str">
        <f t="shared" si="28"/>
        <v>Low voltage large 2 rate</v>
      </c>
      <c r="C16" s="464" t="str">
        <f>Est2018DistRev!B16</f>
        <v>Low voltage large 2 rate</v>
      </c>
      <c r="D16" s="701">
        <v>20.32</v>
      </c>
      <c r="E16" s="702">
        <v>0</v>
      </c>
      <c r="F16" s="702">
        <v>0</v>
      </c>
      <c r="G16" s="702">
        <v>11.3</v>
      </c>
      <c r="H16" s="702">
        <v>0</v>
      </c>
      <c r="I16" s="702">
        <v>0</v>
      </c>
      <c r="J16" s="702">
        <v>8.99</v>
      </c>
      <c r="K16" s="702">
        <v>2.15</v>
      </c>
      <c r="L16" s="702">
        <v>0</v>
      </c>
      <c r="M16" s="702">
        <v>0</v>
      </c>
      <c r="N16" s="702">
        <v>0</v>
      </c>
      <c r="O16" s="702">
        <v>0</v>
      </c>
      <c r="P16" s="703">
        <v>0</v>
      </c>
      <c r="R16" s="641">
        <f>Est2018DistRev!D16</f>
        <v>19.678000000000001</v>
      </c>
      <c r="S16" s="642">
        <f>Est2018DistRev!E16</f>
        <v>0</v>
      </c>
      <c r="T16" s="642">
        <f>Est2018DistRev!F16</f>
        <v>0</v>
      </c>
      <c r="U16" s="642">
        <f>Est2018DistRev!G16</f>
        <v>9.7799999999999994</v>
      </c>
      <c r="V16" s="642">
        <f>Est2018DistRev!H16</f>
        <v>0</v>
      </c>
      <c r="W16" s="642">
        <f>Est2018DistRev!I16</f>
        <v>0</v>
      </c>
      <c r="X16" s="642">
        <f>Est2018DistRev!J16</f>
        <v>7.7759999999999998</v>
      </c>
      <c r="Y16" s="642">
        <f>Est2018DistRev!K16</f>
        <v>1.861</v>
      </c>
      <c r="Z16" s="642">
        <f>Est2018DistRev!L16</f>
        <v>0</v>
      </c>
      <c r="AA16" s="642">
        <f>Est2018DistRev!M16</f>
        <v>0</v>
      </c>
      <c r="AB16" s="642">
        <f>Est2018DistRev!N16</f>
        <v>0</v>
      </c>
      <c r="AC16" s="642">
        <f>Est2018DistRev!O16</f>
        <v>0</v>
      </c>
      <c r="AD16" s="643">
        <f>Est2018DistRev!P16</f>
        <v>0</v>
      </c>
      <c r="AF16" s="704">
        <v>6881.0869859961267</v>
      </c>
      <c r="AG16" s="707">
        <v>0</v>
      </c>
      <c r="AH16" s="707">
        <v>0</v>
      </c>
      <c r="AI16" s="707">
        <v>913090.08845389041</v>
      </c>
      <c r="AJ16" s="707">
        <v>0</v>
      </c>
      <c r="AK16" s="707">
        <v>0</v>
      </c>
      <c r="AL16" s="707">
        <v>1108281.0913600235</v>
      </c>
      <c r="AM16" s="707">
        <v>1553601.3336914517</v>
      </c>
      <c r="AN16" s="707">
        <v>0</v>
      </c>
      <c r="AO16" s="707">
        <v>0</v>
      </c>
      <c r="AP16" s="707">
        <v>0</v>
      </c>
      <c r="AQ16" s="707">
        <v>0</v>
      </c>
      <c r="AR16" s="708"/>
      <c r="AT16" s="467">
        <f t="shared" si="0"/>
        <v>1398.2368755544128</v>
      </c>
      <c r="AU16" s="468">
        <f t="shared" si="1"/>
        <v>0</v>
      </c>
      <c r="AV16" s="468">
        <f t="shared" si="2"/>
        <v>0</v>
      </c>
      <c r="AW16" s="468">
        <f t="shared" si="3"/>
        <v>103179.17999528963</v>
      </c>
      <c r="AX16" s="468">
        <f t="shared" si="4"/>
        <v>0</v>
      </c>
      <c r="AY16" s="468">
        <f t="shared" si="5"/>
        <v>0</v>
      </c>
      <c r="AZ16" s="468">
        <f t="shared" si="6"/>
        <v>99634.470113266114</v>
      </c>
      <c r="BA16" s="468">
        <f t="shared" si="7"/>
        <v>33402.428674366209</v>
      </c>
      <c r="BB16" s="468">
        <f t="shared" si="8"/>
        <v>0</v>
      </c>
      <c r="BC16" s="468">
        <f t="shared" si="9"/>
        <v>0</v>
      </c>
      <c r="BD16" s="468">
        <f t="shared" si="10"/>
        <v>0</v>
      </c>
      <c r="BE16" s="468">
        <f t="shared" si="11"/>
        <v>0</v>
      </c>
      <c r="BF16" s="468">
        <f t="shared" si="12"/>
        <v>0</v>
      </c>
      <c r="BG16" s="469">
        <f t="shared" si="13"/>
        <v>237614.31565847638</v>
      </c>
      <c r="BI16" s="467">
        <f t="shared" si="14"/>
        <v>1354.0602971043179</v>
      </c>
      <c r="BJ16" s="468">
        <f t="shared" si="15"/>
        <v>0</v>
      </c>
      <c r="BK16" s="468">
        <f t="shared" si="16"/>
        <v>0</v>
      </c>
      <c r="BL16" s="468">
        <f t="shared" si="17"/>
        <v>89300.210650790483</v>
      </c>
      <c r="BM16" s="468">
        <f t="shared" si="18"/>
        <v>0</v>
      </c>
      <c r="BN16" s="468">
        <f t="shared" si="19"/>
        <v>0</v>
      </c>
      <c r="BO16" s="468">
        <f t="shared" si="20"/>
        <v>86179.937664155426</v>
      </c>
      <c r="BP16" s="468">
        <f t="shared" si="21"/>
        <v>28912.520819997917</v>
      </c>
      <c r="BQ16" s="468">
        <f t="shared" si="22"/>
        <v>0</v>
      </c>
      <c r="BR16" s="468">
        <f t="shared" si="23"/>
        <v>0</v>
      </c>
      <c r="BS16" s="468">
        <f t="shared" si="24"/>
        <v>0</v>
      </c>
      <c r="BT16" s="468">
        <f t="shared" si="25"/>
        <v>0</v>
      </c>
      <c r="BU16" s="468">
        <f t="shared" si="26"/>
        <v>0</v>
      </c>
      <c r="BV16" s="469">
        <f t="shared" si="27"/>
        <v>205746.72943204813</v>
      </c>
      <c r="BX16" s="614"/>
      <c r="BY16" s="777"/>
      <c r="BZ16" s="614"/>
      <c r="CA16" s="777"/>
    </row>
    <row r="17" spans="2:79" x14ac:dyDescent="0.2">
      <c r="B17" s="634" t="str">
        <f t="shared" si="28"/>
        <v>Low voltage KW time of use</v>
      </c>
      <c r="C17" s="464" t="str">
        <f>Est2018DistRev!B17</f>
        <v>Low voltage KW time of use</v>
      </c>
      <c r="D17" s="701">
        <v>0</v>
      </c>
      <c r="E17" s="702">
        <v>0</v>
      </c>
      <c r="F17" s="702">
        <v>0</v>
      </c>
      <c r="G17" s="702">
        <v>10.3</v>
      </c>
      <c r="H17" s="702">
        <v>0</v>
      </c>
      <c r="I17" s="702">
        <v>0</v>
      </c>
      <c r="J17" s="702">
        <v>6.04</v>
      </c>
      <c r="K17" s="702">
        <v>2.4</v>
      </c>
      <c r="L17" s="702">
        <v>0</v>
      </c>
      <c r="M17" s="702">
        <v>0</v>
      </c>
      <c r="N17" s="702">
        <v>49.33</v>
      </c>
      <c r="O17" s="702">
        <v>0</v>
      </c>
      <c r="P17" s="703">
        <v>0</v>
      </c>
      <c r="R17" s="641">
        <f>Est2018DistRev!D17</f>
        <v>0</v>
      </c>
      <c r="S17" s="642">
        <f>Est2018DistRev!E17</f>
        <v>0</v>
      </c>
      <c r="T17" s="642">
        <f>Est2018DistRev!F17</f>
        <v>0</v>
      </c>
      <c r="U17" s="642">
        <f>Est2018DistRev!G17</f>
        <v>8.9130000000000003</v>
      </c>
      <c r="V17" s="642">
        <f>Est2018DistRev!H17</f>
        <v>0</v>
      </c>
      <c r="W17" s="642">
        <f>Est2018DistRev!I17</f>
        <v>0</v>
      </c>
      <c r="X17" s="642">
        <f>Est2018DistRev!J17</f>
        <v>5.2220000000000004</v>
      </c>
      <c r="Y17" s="642">
        <f>Est2018DistRev!K17</f>
        <v>2.0750000000000002</v>
      </c>
      <c r="Z17" s="642">
        <f>Est2018DistRev!L17</f>
        <v>0</v>
      </c>
      <c r="AA17" s="642">
        <f>Est2018DistRev!M17</f>
        <v>0</v>
      </c>
      <c r="AB17" s="642">
        <f>Est2018DistRev!N17</f>
        <v>42.68</v>
      </c>
      <c r="AC17" s="642">
        <f>Est2018DistRev!O17</f>
        <v>0</v>
      </c>
      <c r="AD17" s="643">
        <f>Est2018DistRev!P17</f>
        <v>0</v>
      </c>
      <c r="AF17" s="704">
        <v>67773.959673982419</v>
      </c>
      <c r="AG17" s="707">
        <v>0</v>
      </c>
      <c r="AH17" s="707">
        <v>0</v>
      </c>
      <c r="AI17" s="707">
        <v>2979941.9771071388</v>
      </c>
      <c r="AJ17" s="707">
        <v>0</v>
      </c>
      <c r="AK17" s="707">
        <v>0</v>
      </c>
      <c r="AL17" s="707">
        <v>4372012.9150217762</v>
      </c>
      <c r="AM17" s="707">
        <v>6961060.9343109829</v>
      </c>
      <c r="AN17" s="707">
        <v>0</v>
      </c>
      <c r="AO17" s="707">
        <v>0</v>
      </c>
      <c r="AP17" s="707">
        <v>574892.57309169706</v>
      </c>
      <c r="AQ17" s="707">
        <v>0</v>
      </c>
      <c r="AR17" s="708"/>
      <c r="AT17" s="467">
        <f t="shared" si="0"/>
        <v>0</v>
      </c>
      <c r="AU17" s="468">
        <f t="shared" si="1"/>
        <v>0</v>
      </c>
      <c r="AV17" s="468">
        <f t="shared" si="2"/>
        <v>0</v>
      </c>
      <c r="AW17" s="468">
        <f t="shared" si="3"/>
        <v>306934.02364203532</v>
      </c>
      <c r="AX17" s="468">
        <f t="shared" si="4"/>
        <v>0</v>
      </c>
      <c r="AY17" s="468">
        <f t="shared" si="5"/>
        <v>0</v>
      </c>
      <c r="AZ17" s="468">
        <f t="shared" si="6"/>
        <v>264069.58006731531</v>
      </c>
      <c r="BA17" s="468">
        <f t="shared" si="7"/>
        <v>167065.46242346358</v>
      </c>
      <c r="BB17" s="468">
        <f t="shared" si="8"/>
        <v>0</v>
      </c>
      <c r="BC17" s="468">
        <f t="shared" si="9"/>
        <v>0</v>
      </c>
      <c r="BD17" s="468">
        <f t="shared" si="10"/>
        <v>283594.50630613416</v>
      </c>
      <c r="BE17" s="468">
        <f t="shared" si="11"/>
        <v>0</v>
      </c>
      <c r="BF17" s="468">
        <f t="shared" si="12"/>
        <v>0</v>
      </c>
      <c r="BG17" s="469">
        <f t="shared" si="13"/>
        <v>1021663.5724389483</v>
      </c>
      <c r="BI17" s="467">
        <f t="shared" si="14"/>
        <v>0</v>
      </c>
      <c r="BJ17" s="468">
        <f t="shared" si="15"/>
        <v>0</v>
      </c>
      <c r="BK17" s="468">
        <f t="shared" si="16"/>
        <v>0</v>
      </c>
      <c r="BL17" s="468">
        <f t="shared" si="17"/>
        <v>265602.22841955931</v>
      </c>
      <c r="BM17" s="468">
        <f t="shared" si="18"/>
        <v>0</v>
      </c>
      <c r="BN17" s="468">
        <f t="shared" si="19"/>
        <v>0</v>
      </c>
      <c r="BO17" s="468">
        <f t="shared" si="20"/>
        <v>228306.51442243718</v>
      </c>
      <c r="BP17" s="468">
        <f t="shared" si="21"/>
        <v>144442.01438695291</v>
      </c>
      <c r="BQ17" s="468">
        <f t="shared" si="22"/>
        <v>0</v>
      </c>
      <c r="BR17" s="468">
        <f t="shared" si="23"/>
        <v>0</v>
      </c>
      <c r="BS17" s="468">
        <f t="shared" si="24"/>
        <v>245364.15019553632</v>
      </c>
      <c r="BT17" s="468">
        <f t="shared" si="25"/>
        <v>0</v>
      </c>
      <c r="BU17" s="468">
        <f t="shared" si="26"/>
        <v>0</v>
      </c>
      <c r="BV17" s="469">
        <f t="shared" si="27"/>
        <v>883714.90742448566</v>
      </c>
      <c r="BX17" s="614"/>
      <c r="BY17" s="777"/>
      <c r="BZ17" s="614"/>
      <c r="CA17" s="777"/>
    </row>
    <row r="18" spans="2:79" x14ac:dyDescent="0.2">
      <c r="B18" s="634" t="str">
        <f t="shared" si="28"/>
        <v>Low voltage KW time of use - HOT</v>
      </c>
      <c r="C18" s="464" t="str">
        <f>Est2018DistRev!B18</f>
        <v>Low voltage KW time of use - HOT</v>
      </c>
      <c r="D18" s="701">
        <v>0</v>
      </c>
      <c r="E18" s="702">
        <v>0</v>
      </c>
      <c r="F18" s="702">
        <v>0</v>
      </c>
      <c r="G18" s="702">
        <v>7.34</v>
      </c>
      <c r="H18" s="702">
        <v>0</v>
      </c>
      <c r="I18" s="702">
        <v>0</v>
      </c>
      <c r="J18" s="702">
        <v>5.64</v>
      </c>
      <c r="K18" s="702">
        <v>1.66</v>
      </c>
      <c r="L18" s="702">
        <v>0</v>
      </c>
      <c r="M18" s="702">
        <v>0</v>
      </c>
      <c r="N18" s="702">
        <v>64.58</v>
      </c>
      <c r="O18" s="702">
        <v>0</v>
      </c>
      <c r="P18" s="703">
        <v>0</v>
      </c>
      <c r="R18" s="641">
        <f>Est2018DistRev!D18</f>
        <v>0</v>
      </c>
      <c r="S18" s="642">
        <f>Est2018DistRev!E18</f>
        <v>0</v>
      </c>
      <c r="T18" s="642">
        <f>Est2018DistRev!F18</f>
        <v>0</v>
      </c>
      <c r="U18" s="642">
        <f>Est2018DistRev!G18</f>
        <v>7.76</v>
      </c>
      <c r="V18" s="642">
        <f>Est2018DistRev!H18</f>
        <v>0</v>
      </c>
      <c r="W18" s="642">
        <f>Est2018DistRev!I18</f>
        <v>0</v>
      </c>
      <c r="X18" s="642">
        <f>Est2018DistRev!J18</f>
        <v>5.9649999999999999</v>
      </c>
      <c r="Y18" s="642">
        <f>Est2018DistRev!K18</f>
        <v>1.7529999999999999</v>
      </c>
      <c r="Z18" s="642">
        <f>Est2018DistRev!L18</f>
        <v>0</v>
      </c>
      <c r="AA18" s="642">
        <f>Est2018DistRev!M18</f>
        <v>0</v>
      </c>
      <c r="AB18" s="642">
        <f>Est2018DistRev!N18</f>
        <v>68.290999999999997</v>
      </c>
      <c r="AC18" s="642">
        <f>Est2018DistRev!O18</f>
        <v>0</v>
      </c>
      <c r="AD18" s="643">
        <f>Est2018DistRev!P18</f>
        <v>0</v>
      </c>
      <c r="AF18" s="704">
        <v>6805.9491785765576</v>
      </c>
      <c r="AG18" s="707">
        <v>0</v>
      </c>
      <c r="AH18" s="707">
        <v>0</v>
      </c>
      <c r="AI18" s="707">
        <v>183616.80542617524</v>
      </c>
      <c r="AJ18" s="707">
        <v>0</v>
      </c>
      <c r="AK18" s="707">
        <v>0</v>
      </c>
      <c r="AL18" s="707">
        <v>433724.40822035994</v>
      </c>
      <c r="AM18" s="707">
        <v>926538.10078744951</v>
      </c>
      <c r="AN18" s="707">
        <v>0</v>
      </c>
      <c r="AO18" s="707">
        <v>0</v>
      </c>
      <c r="AP18" s="707">
        <v>109607.54884481634</v>
      </c>
      <c r="AQ18" s="707">
        <v>0</v>
      </c>
      <c r="AR18" s="708"/>
      <c r="AT18" s="467">
        <f t="shared" si="0"/>
        <v>0</v>
      </c>
      <c r="AU18" s="468">
        <f t="shared" si="1"/>
        <v>0</v>
      </c>
      <c r="AV18" s="468">
        <f t="shared" si="2"/>
        <v>0</v>
      </c>
      <c r="AW18" s="468">
        <f t="shared" si="3"/>
        <v>13477.473518281262</v>
      </c>
      <c r="AX18" s="468">
        <f t="shared" si="4"/>
        <v>0</v>
      </c>
      <c r="AY18" s="468">
        <f t="shared" si="5"/>
        <v>0</v>
      </c>
      <c r="AZ18" s="468">
        <f t="shared" si="6"/>
        <v>24462.056623628301</v>
      </c>
      <c r="BA18" s="468">
        <f t="shared" si="7"/>
        <v>15380.532473071662</v>
      </c>
      <c r="BB18" s="468">
        <f t="shared" si="8"/>
        <v>0</v>
      </c>
      <c r="BC18" s="468">
        <f t="shared" si="9"/>
        <v>0</v>
      </c>
      <c r="BD18" s="468">
        <f t="shared" si="10"/>
        <v>70784.555043982386</v>
      </c>
      <c r="BE18" s="468">
        <f t="shared" si="11"/>
        <v>0</v>
      </c>
      <c r="BF18" s="468">
        <f t="shared" si="12"/>
        <v>0</v>
      </c>
      <c r="BG18" s="469">
        <f t="shared" si="13"/>
        <v>124104.6176589636</v>
      </c>
      <c r="BI18" s="467">
        <f t="shared" si="14"/>
        <v>0</v>
      </c>
      <c r="BJ18" s="468">
        <f t="shared" si="15"/>
        <v>0</v>
      </c>
      <c r="BK18" s="468">
        <f t="shared" si="16"/>
        <v>0</v>
      </c>
      <c r="BL18" s="468">
        <f t="shared" si="17"/>
        <v>14248.664101071199</v>
      </c>
      <c r="BM18" s="468">
        <f t="shared" si="18"/>
        <v>0</v>
      </c>
      <c r="BN18" s="468">
        <f t="shared" si="19"/>
        <v>0</v>
      </c>
      <c r="BO18" s="468">
        <f t="shared" si="20"/>
        <v>25871.660950344471</v>
      </c>
      <c r="BP18" s="468">
        <f t="shared" si="21"/>
        <v>16242.21290680399</v>
      </c>
      <c r="BQ18" s="468">
        <f t="shared" si="22"/>
        <v>0</v>
      </c>
      <c r="BR18" s="468">
        <f t="shared" si="23"/>
        <v>0</v>
      </c>
      <c r="BS18" s="468">
        <f t="shared" si="24"/>
        <v>74852.091181613534</v>
      </c>
      <c r="BT18" s="468">
        <f t="shared" si="25"/>
        <v>0</v>
      </c>
      <c r="BU18" s="468">
        <f t="shared" si="26"/>
        <v>0</v>
      </c>
      <c r="BV18" s="469">
        <f t="shared" si="27"/>
        <v>131214.62913983321</v>
      </c>
      <c r="BX18" s="614"/>
      <c r="BY18" s="777"/>
      <c r="BZ18" s="614"/>
      <c r="CA18" s="777"/>
    </row>
    <row r="19" spans="2:79" x14ac:dyDescent="0.2">
      <c r="B19" s="634" t="str">
        <f t="shared" si="28"/>
        <v>Low voltage large KVA time of use</v>
      </c>
      <c r="C19" s="464" t="str">
        <f>Est2018DistRev!B19</f>
        <v>Low voltage large KVA time of use</v>
      </c>
      <c r="D19" s="701">
        <v>0</v>
      </c>
      <c r="E19" s="702">
        <v>0</v>
      </c>
      <c r="F19" s="702">
        <v>0</v>
      </c>
      <c r="G19" s="702">
        <v>1.48</v>
      </c>
      <c r="H19" s="702">
        <v>0</v>
      </c>
      <c r="I19" s="702">
        <v>0</v>
      </c>
      <c r="J19" s="702">
        <v>1.26</v>
      </c>
      <c r="K19" s="702">
        <v>1.24</v>
      </c>
      <c r="L19" s="702">
        <v>0</v>
      </c>
      <c r="M19" s="702">
        <v>14.95</v>
      </c>
      <c r="N19" s="702">
        <v>22.36</v>
      </c>
      <c r="O19" s="702">
        <v>0</v>
      </c>
      <c r="P19" s="703">
        <v>0</v>
      </c>
      <c r="R19" s="641">
        <f>Est2018DistRev!D19</f>
        <v>0</v>
      </c>
      <c r="S19" s="642">
        <f>Est2018DistRev!E19</f>
        <v>0</v>
      </c>
      <c r="T19" s="642">
        <f>Est2018DistRev!F19</f>
        <v>0</v>
      </c>
      <c r="U19" s="642">
        <f>Est2018DistRev!G19</f>
        <v>1.4059999999999999</v>
      </c>
      <c r="V19" s="642">
        <f>Est2018DistRev!H19</f>
        <v>0</v>
      </c>
      <c r="W19" s="642">
        <f>Est2018DistRev!I19</f>
        <v>0</v>
      </c>
      <c r="X19" s="642">
        <f>Est2018DistRev!J19</f>
        <v>1.1919999999999999</v>
      </c>
      <c r="Y19" s="642">
        <f>Est2018DistRev!K19</f>
        <v>1.18</v>
      </c>
      <c r="Z19" s="642">
        <f>Est2018DistRev!L19</f>
        <v>0</v>
      </c>
      <c r="AA19" s="642">
        <f>Est2018DistRev!M19</f>
        <v>14.196</v>
      </c>
      <c r="AB19" s="642">
        <f>Est2018DistRev!N19</f>
        <v>21.178000000000001</v>
      </c>
      <c r="AC19" s="642">
        <f>Est2018DistRev!O19</f>
        <v>0</v>
      </c>
      <c r="AD19" s="643">
        <f>Est2018DistRev!P19</f>
        <v>0</v>
      </c>
      <c r="AF19" s="704">
        <v>1176060.6836946514</v>
      </c>
      <c r="AG19" s="707">
        <v>0</v>
      </c>
      <c r="AH19" s="707">
        <v>0</v>
      </c>
      <c r="AI19" s="707">
        <v>473574249.76083934</v>
      </c>
      <c r="AJ19" s="707">
        <v>0</v>
      </c>
      <c r="AK19" s="707">
        <v>0</v>
      </c>
      <c r="AL19" s="707">
        <v>668096504.00715244</v>
      </c>
      <c r="AM19" s="707">
        <v>1311174632.3700414</v>
      </c>
      <c r="AN19" s="707">
        <v>0</v>
      </c>
      <c r="AO19" s="707">
        <v>326114206.85773444</v>
      </c>
      <c r="AP19" s="707">
        <v>95205640.608022407</v>
      </c>
      <c r="AQ19" s="707">
        <v>0</v>
      </c>
      <c r="AR19" s="708"/>
      <c r="AT19" s="467">
        <f t="shared" si="0"/>
        <v>0</v>
      </c>
      <c r="AU19" s="468">
        <f t="shared" si="1"/>
        <v>0</v>
      </c>
      <c r="AV19" s="468">
        <f t="shared" si="2"/>
        <v>0</v>
      </c>
      <c r="AW19" s="468">
        <f t="shared" si="3"/>
        <v>7008898.8964604223</v>
      </c>
      <c r="AX19" s="468">
        <f t="shared" si="4"/>
        <v>0</v>
      </c>
      <c r="AY19" s="468">
        <f t="shared" si="5"/>
        <v>0</v>
      </c>
      <c r="AZ19" s="468">
        <f t="shared" si="6"/>
        <v>8418015.9504901208</v>
      </c>
      <c r="BA19" s="468">
        <f t="shared" si="7"/>
        <v>16258565.441388512</v>
      </c>
      <c r="BB19" s="468">
        <f t="shared" si="8"/>
        <v>0</v>
      </c>
      <c r="BC19" s="468">
        <f t="shared" si="9"/>
        <v>48754073.9252313</v>
      </c>
      <c r="BD19" s="468">
        <f t="shared" si="10"/>
        <v>21287981.239953808</v>
      </c>
      <c r="BE19" s="468">
        <f t="shared" si="11"/>
        <v>0</v>
      </c>
      <c r="BF19" s="468">
        <f t="shared" si="12"/>
        <v>0</v>
      </c>
      <c r="BG19" s="469">
        <f t="shared" si="13"/>
        <v>101727535.45352417</v>
      </c>
      <c r="BI19" s="467">
        <f t="shared" si="14"/>
        <v>0</v>
      </c>
      <c r="BJ19" s="468">
        <f t="shared" si="15"/>
        <v>0</v>
      </c>
      <c r="BK19" s="468">
        <f t="shared" si="16"/>
        <v>0</v>
      </c>
      <c r="BL19" s="468">
        <f t="shared" si="17"/>
        <v>6658453.9516374012</v>
      </c>
      <c r="BM19" s="468">
        <f t="shared" si="18"/>
        <v>0</v>
      </c>
      <c r="BN19" s="468">
        <f t="shared" si="19"/>
        <v>0</v>
      </c>
      <c r="BO19" s="468">
        <f t="shared" si="20"/>
        <v>7963710.3277652571</v>
      </c>
      <c r="BP19" s="468">
        <f t="shared" si="21"/>
        <v>15471860.661966488</v>
      </c>
      <c r="BQ19" s="468">
        <f t="shared" si="22"/>
        <v>0</v>
      </c>
      <c r="BR19" s="468">
        <f t="shared" si="23"/>
        <v>46295172.805523984</v>
      </c>
      <c r="BS19" s="468">
        <f t="shared" si="24"/>
        <v>20162650.567966986</v>
      </c>
      <c r="BT19" s="468">
        <f t="shared" si="25"/>
        <v>0</v>
      </c>
      <c r="BU19" s="468">
        <f t="shared" si="26"/>
        <v>0</v>
      </c>
      <c r="BV19" s="469">
        <f t="shared" si="27"/>
        <v>96551848.31486012</v>
      </c>
      <c r="BX19" s="614"/>
      <c r="BY19" s="777"/>
      <c r="BZ19" s="614"/>
      <c r="CA19" s="777"/>
    </row>
    <row r="20" spans="2:79" x14ac:dyDescent="0.2">
      <c r="B20" s="634" t="str">
        <f t="shared" si="28"/>
        <v>Low voltage large KVA time of use - HOT</v>
      </c>
      <c r="C20" s="464" t="str">
        <f>Est2018DistRev!B20</f>
        <v>Low voltage large KVA time of use - HOT</v>
      </c>
      <c r="D20" s="701">
        <v>0</v>
      </c>
      <c r="E20" s="702">
        <v>0</v>
      </c>
      <c r="F20" s="702">
        <v>0</v>
      </c>
      <c r="G20" s="702">
        <v>0</v>
      </c>
      <c r="H20" s="702">
        <v>0</v>
      </c>
      <c r="I20" s="702">
        <v>0</v>
      </c>
      <c r="J20" s="702">
        <v>0</v>
      </c>
      <c r="K20" s="702">
        <v>0</v>
      </c>
      <c r="L20" s="702">
        <v>0</v>
      </c>
      <c r="M20" s="702">
        <v>0</v>
      </c>
      <c r="N20" s="702">
        <v>0</v>
      </c>
      <c r="O20" s="702">
        <v>0</v>
      </c>
      <c r="P20" s="703">
        <v>0</v>
      </c>
      <c r="R20" s="641">
        <f>Est2018DistRev!D20</f>
        <v>0</v>
      </c>
      <c r="S20" s="642">
        <f>Est2018DistRev!E20</f>
        <v>0</v>
      </c>
      <c r="T20" s="642">
        <f>Est2018DistRev!F20</f>
        <v>0</v>
      </c>
      <c r="U20" s="642">
        <f>Est2018DistRev!G20</f>
        <v>0</v>
      </c>
      <c r="V20" s="642">
        <f>Est2018DistRev!H20</f>
        <v>0</v>
      </c>
      <c r="W20" s="642">
        <f>Est2018DistRev!I20</f>
        <v>0</v>
      </c>
      <c r="X20" s="642">
        <f>Est2018DistRev!J20</f>
        <v>0</v>
      </c>
      <c r="Y20" s="642">
        <f>Est2018DistRev!K20</f>
        <v>0</v>
      </c>
      <c r="Z20" s="642">
        <f>Est2018DistRev!L20</f>
        <v>0</v>
      </c>
      <c r="AA20" s="642">
        <f>Est2018DistRev!M20</f>
        <v>0</v>
      </c>
      <c r="AB20" s="642">
        <f>Est2018DistRev!N20</f>
        <v>0</v>
      </c>
      <c r="AC20" s="642">
        <f>Est2018DistRev!O20</f>
        <v>0</v>
      </c>
      <c r="AD20" s="643">
        <f>Est2018DistRev!P20</f>
        <v>0</v>
      </c>
      <c r="AF20" s="704">
        <v>0</v>
      </c>
      <c r="AG20" s="707">
        <v>0</v>
      </c>
      <c r="AH20" s="707">
        <v>0</v>
      </c>
      <c r="AI20" s="707">
        <v>0</v>
      </c>
      <c r="AJ20" s="707">
        <v>0</v>
      </c>
      <c r="AK20" s="707">
        <v>0</v>
      </c>
      <c r="AL20" s="707">
        <v>0</v>
      </c>
      <c r="AM20" s="707">
        <v>0</v>
      </c>
      <c r="AN20" s="707">
        <v>0</v>
      </c>
      <c r="AO20" s="707">
        <v>0</v>
      </c>
      <c r="AP20" s="707">
        <v>0</v>
      </c>
      <c r="AQ20" s="707">
        <v>0</v>
      </c>
      <c r="AR20" s="708"/>
      <c r="AT20" s="467">
        <f t="shared" si="0"/>
        <v>0</v>
      </c>
      <c r="AU20" s="468">
        <f t="shared" si="1"/>
        <v>0</v>
      </c>
      <c r="AV20" s="468">
        <f t="shared" si="2"/>
        <v>0</v>
      </c>
      <c r="AW20" s="468">
        <f t="shared" si="3"/>
        <v>0</v>
      </c>
      <c r="AX20" s="468">
        <f t="shared" si="4"/>
        <v>0</v>
      </c>
      <c r="AY20" s="468">
        <f t="shared" si="5"/>
        <v>0</v>
      </c>
      <c r="AZ20" s="468">
        <f t="shared" si="6"/>
        <v>0</v>
      </c>
      <c r="BA20" s="468">
        <f t="shared" si="7"/>
        <v>0</v>
      </c>
      <c r="BB20" s="468">
        <f t="shared" si="8"/>
        <v>0</v>
      </c>
      <c r="BC20" s="468">
        <f t="shared" si="9"/>
        <v>0</v>
      </c>
      <c r="BD20" s="468">
        <f t="shared" si="10"/>
        <v>0</v>
      </c>
      <c r="BE20" s="468">
        <f t="shared" si="11"/>
        <v>0</v>
      </c>
      <c r="BF20" s="468">
        <f t="shared" si="12"/>
        <v>0</v>
      </c>
      <c r="BG20" s="469">
        <f t="shared" si="13"/>
        <v>0</v>
      </c>
      <c r="BI20" s="467">
        <f t="shared" si="14"/>
        <v>0</v>
      </c>
      <c r="BJ20" s="468">
        <f t="shared" si="15"/>
        <v>0</v>
      </c>
      <c r="BK20" s="468">
        <f t="shared" si="16"/>
        <v>0</v>
      </c>
      <c r="BL20" s="468">
        <f t="shared" si="17"/>
        <v>0</v>
      </c>
      <c r="BM20" s="468">
        <f t="shared" si="18"/>
        <v>0</v>
      </c>
      <c r="BN20" s="468">
        <f t="shared" si="19"/>
        <v>0</v>
      </c>
      <c r="BO20" s="468">
        <f t="shared" si="20"/>
        <v>0</v>
      </c>
      <c r="BP20" s="468">
        <f t="shared" si="21"/>
        <v>0</v>
      </c>
      <c r="BQ20" s="468">
        <f t="shared" si="22"/>
        <v>0</v>
      </c>
      <c r="BR20" s="468">
        <f t="shared" si="23"/>
        <v>0</v>
      </c>
      <c r="BS20" s="468">
        <f t="shared" si="24"/>
        <v>0</v>
      </c>
      <c r="BT20" s="468">
        <f t="shared" si="25"/>
        <v>0</v>
      </c>
      <c r="BU20" s="468">
        <f t="shared" si="26"/>
        <v>0</v>
      </c>
      <c r="BV20" s="469">
        <f t="shared" si="27"/>
        <v>0</v>
      </c>
      <c r="BX20" s="614"/>
      <c r="BY20" s="777"/>
      <c r="BZ20" s="614"/>
      <c r="CA20" s="777"/>
    </row>
    <row r="21" spans="2:79" x14ac:dyDescent="0.2">
      <c r="B21" s="634" t="str">
        <f t="shared" si="28"/>
        <v>High voltage KVA time of use</v>
      </c>
      <c r="C21" s="464" t="str">
        <f>Est2018DistRev!B21</f>
        <v>High voltage KVA time of use</v>
      </c>
      <c r="D21" s="701">
        <v>0</v>
      </c>
      <c r="E21" s="702">
        <v>0</v>
      </c>
      <c r="F21" s="702">
        <v>0</v>
      </c>
      <c r="G21" s="702">
        <v>0.89</v>
      </c>
      <c r="H21" s="702">
        <v>0</v>
      </c>
      <c r="I21" s="702">
        <v>0</v>
      </c>
      <c r="J21" s="702">
        <v>0.78</v>
      </c>
      <c r="K21" s="702">
        <v>0.77</v>
      </c>
      <c r="L21" s="702">
        <v>0</v>
      </c>
      <c r="M21" s="702">
        <v>9.0500000000000007</v>
      </c>
      <c r="N21" s="702">
        <v>12.43</v>
      </c>
      <c r="O21" s="702">
        <v>0</v>
      </c>
      <c r="P21" s="703">
        <v>0</v>
      </c>
      <c r="R21" s="641">
        <f>Est2018DistRev!D21</f>
        <v>0</v>
      </c>
      <c r="S21" s="642">
        <f>Est2018DistRev!E21</f>
        <v>0</v>
      </c>
      <c r="T21" s="642">
        <f>Est2018DistRev!F21</f>
        <v>0</v>
      </c>
      <c r="U21" s="642">
        <f>Est2018DistRev!G21</f>
        <v>0.84299999999999997</v>
      </c>
      <c r="V21" s="642">
        <f>Est2018DistRev!H21</f>
        <v>0</v>
      </c>
      <c r="W21" s="642">
        <f>Est2018DistRev!I21</f>
        <v>0</v>
      </c>
      <c r="X21" s="642">
        <f>Est2018DistRev!J21</f>
        <v>0.74399999999999999</v>
      </c>
      <c r="Y21" s="642">
        <f>Est2018DistRev!K21</f>
        <v>0.73099999999999998</v>
      </c>
      <c r="Z21" s="642">
        <f>Est2018DistRev!L21</f>
        <v>0</v>
      </c>
      <c r="AA21" s="642">
        <f>Est2018DistRev!M21</f>
        <v>8.5909999999999993</v>
      </c>
      <c r="AB21" s="642">
        <f>Est2018DistRev!N21</f>
        <v>11.798</v>
      </c>
      <c r="AC21" s="642">
        <f>Est2018DistRev!O21</f>
        <v>0</v>
      </c>
      <c r="AD21" s="643">
        <f>Est2018DistRev!P21</f>
        <v>0</v>
      </c>
      <c r="AF21" s="704">
        <v>35844.291612043242</v>
      </c>
      <c r="AG21" s="707">
        <v>0</v>
      </c>
      <c r="AH21" s="707">
        <v>0</v>
      </c>
      <c r="AI21" s="707">
        <v>176841358.08295107</v>
      </c>
      <c r="AJ21" s="707">
        <v>0</v>
      </c>
      <c r="AK21" s="707">
        <v>0</v>
      </c>
      <c r="AL21" s="707">
        <v>258896130.04767683</v>
      </c>
      <c r="AM21" s="707">
        <v>654578037.70831561</v>
      </c>
      <c r="AN21" s="707">
        <v>0</v>
      </c>
      <c r="AO21" s="707">
        <v>104519165.94588879</v>
      </c>
      <c r="AP21" s="707">
        <v>32848258.18170632</v>
      </c>
      <c r="AQ21" s="707">
        <v>0</v>
      </c>
      <c r="AR21" s="708"/>
      <c r="AT21" s="467">
        <f t="shared" si="0"/>
        <v>0</v>
      </c>
      <c r="AU21" s="468">
        <f t="shared" si="1"/>
        <v>0</v>
      </c>
      <c r="AV21" s="468">
        <f t="shared" si="2"/>
        <v>0</v>
      </c>
      <c r="AW21" s="468">
        <f t="shared" si="3"/>
        <v>1573888.0869382645</v>
      </c>
      <c r="AX21" s="468">
        <f t="shared" si="4"/>
        <v>0</v>
      </c>
      <c r="AY21" s="468">
        <f t="shared" si="5"/>
        <v>0</v>
      </c>
      <c r="AZ21" s="468">
        <f t="shared" si="6"/>
        <v>2019389.8143718794</v>
      </c>
      <c r="BA21" s="468">
        <f t="shared" si="7"/>
        <v>5040250.8903540308</v>
      </c>
      <c r="BB21" s="468">
        <f t="shared" si="8"/>
        <v>0</v>
      </c>
      <c r="BC21" s="468">
        <f t="shared" si="9"/>
        <v>9458984.5181029364</v>
      </c>
      <c r="BD21" s="468">
        <f t="shared" si="10"/>
        <v>4083038.4919860954</v>
      </c>
      <c r="BE21" s="468">
        <f t="shared" si="11"/>
        <v>0</v>
      </c>
      <c r="BF21" s="468">
        <f t="shared" si="12"/>
        <v>0</v>
      </c>
      <c r="BG21" s="469">
        <f t="shared" si="13"/>
        <v>22175551.801753208</v>
      </c>
      <c r="BI21" s="467">
        <f t="shared" si="14"/>
        <v>0</v>
      </c>
      <c r="BJ21" s="468">
        <f t="shared" si="15"/>
        <v>0</v>
      </c>
      <c r="BK21" s="468">
        <f t="shared" si="16"/>
        <v>0</v>
      </c>
      <c r="BL21" s="468">
        <f t="shared" si="17"/>
        <v>1490772.6486392776</v>
      </c>
      <c r="BM21" s="468">
        <f t="shared" si="18"/>
        <v>0</v>
      </c>
      <c r="BN21" s="468">
        <f t="shared" si="19"/>
        <v>0</v>
      </c>
      <c r="BO21" s="468">
        <f t="shared" si="20"/>
        <v>1926187.2075547155</v>
      </c>
      <c r="BP21" s="468">
        <f t="shared" si="21"/>
        <v>4784965.4556477871</v>
      </c>
      <c r="BQ21" s="468">
        <f t="shared" si="22"/>
        <v>0</v>
      </c>
      <c r="BR21" s="468">
        <f t="shared" si="23"/>
        <v>8979241.5464113038</v>
      </c>
      <c r="BS21" s="468">
        <f t="shared" si="24"/>
        <v>3875437.5002777115</v>
      </c>
      <c r="BT21" s="468">
        <f t="shared" si="25"/>
        <v>0</v>
      </c>
      <c r="BU21" s="468">
        <f t="shared" si="26"/>
        <v>0</v>
      </c>
      <c r="BV21" s="469">
        <f t="shared" si="27"/>
        <v>21056604.358530797</v>
      </c>
      <c r="BX21" s="614"/>
      <c r="BY21" s="777"/>
      <c r="BZ21" s="614"/>
      <c r="CA21" s="777"/>
    </row>
    <row r="22" spans="2:79" x14ac:dyDescent="0.2">
      <c r="B22" s="477" t="str">
        <f t="shared" si="28"/>
        <v>High voltage KVA time of use - HOT</v>
      </c>
      <c r="C22" s="464" t="str">
        <f>Est2018DistRev!B22</f>
        <v>High voltage KVA time of use - HOT</v>
      </c>
      <c r="D22" s="701">
        <v>0</v>
      </c>
      <c r="E22" s="702">
        <v>0</v>
      </c>
      <c r="F22" s="702">
        <v>0</v>
      </c>
      <c r="G22" s="702">
        <v>0</v>
      </c>
      <c r="H22" s="702">
        <v>0</v>
      </c>
      <c r="I22" s="702">
        <v>0</v>
      </c>
      <c r="J22" s="702">
        <v>0</v>
      </c>
      <c r="K22" s="702">
        <v>0</v>
      </c>
      <c r="L22" s="702">
        <v>0</v>
      </c>
      <c r="M22" s="702">
        <v>0</v>
      </c>
      <c r="N22" s="702">
        <v>0</v>
      </c>
      <c r="O22" s="702">
        <v>0</v>
      </c>
      <c r="P22" s="703">
        <v>0</v>
      </c>
      <c r="R22" s="641">
        <f>Est2018DistRev!D22</f>
        <v>0</v>
      </c>
      <c r="S22" s="642">
        <f>Est2018DistRev!E22</f>
        <v>0</v>
      </c>
      <c r="T22" s="642">
        <f>Est2018DistRev!F22</f>
        <v>0</v>
      </c>
      <c r="U22" s="642">
        <f>Est2018DistRev!G22</f>
        <v>0</v>
      </c>
      <c r="V22" s="642">
        <f>Est2018DistRev!H22</f>
        <v>0</v>
      </c>
      <c r="W22" s="642">
        <f>Est2018DistRev!I22</f>
        <v>0</v>
      </c>
      <c r="X22" s="642">
        <f>Est2018DistRev!J22</f>
        <v>0</v>
      </c>
      <c r="Y22" s="642">
        <f>Est2018DistRev!K22</f>
        <v>0</v>
      </c>
      <c r="Z22" s="642">
        <f>Est2018DistRev!L22</f>
        <v>0</v>
      </c>
      <c r="AA22" s="642">
        <f>Est2018DistRev!M22</f>
        <v>0</v>
      </c>
      <c r="AB22" s="642">
        <f>Est2018DistRev!N22</f>
        <v>0</v>
      </c>
      <c r="AC22" s="642">
        <f>Est2018DistRev!O22</f>
        <v>0</v>
      </c>
      <c r="AD22" s="643">
        <f>Est2018DistRev!P22</f>
        <v>0</v>
      </c>
      <c r="AF22" s="704">
        <v>0</v>
      </c>
      <c r="AG22" s="707">
        <v>0</v>
      </c>
      <c r="AH22" s="707">
        <v>0</v>
      </c>
      <c r="AI22" s="707">
        <v>0</v>
      </c>
      <c r="AJ22" s="707">
        <v>0</v>
      </c>
      <c r="AK22" s="707">
        <v>0</v>
      </c>
      <c r="AL22" s="707">
        <v>0</v>
      </c>
      <c r="AM22" s="707">
        <v>0</v>
      </c>
      <c r="AN22" s="707">
        <v>0</v>
      </c>
      <c r="AO22" s="707">
        <v>0</v>
      </c>
      <c r="AP22" s="707">
        <v>0</v>
      </c>
      <c r="AQ22" s="707">
        <v>0</v>
      </c>
      <c r="AR22" s="708"/>
      <c r="AT22" s="467">
        <f t="shared" si="0"/>
        <v>0</v>
      </c>
      <c r="AU22" s="468">
        <f t="shared" si="1"/>
        <v>0</v>
      </c>
      <c r="AV22" s="468">
        <f t="shared" si="2"/>
        <v>0</v>
      </c>
      <c r="AW22" s="468">
        <f t="shared" si="3"/>
        <v>0</v>
      </c>
      <c r="AX22" s="468">
        <f t="shared" si="4"/>
        <v>0</v>
      </c>
      <c r="AY22" s="468">
        <f t="shared" si="5"/>
        <v>0</v>
      </c>
      <c r="AZ22" s="468">
        <f t="shared" si="6"/>
        <v>0</v>
      </c>
      <c r="BA22" s="468">
        <f t="shared" si="7"/>
        <v>0</v>
      </c>
      <c r="BB22" s="468">
        <f t="shared" si="8"/>
        <v>0</v>
      </c>
      <c r="BC22" s="468">
        <f t="shared" si="9"/>
        <v>0</v>
      </c>
      <c r="BD22" s="468">
        <f t="shared" si="10"/>
        <v>0</v>
      </c>
      <c r="BE22" s="468">
        <f t="shared" si="11"/>
        <v>0</v>
      </c>
      <c r="BF22" s="468">
        <f t="shared" si="12"/>
        <v>0</v>
      </c>
      <c r="BG22" s="469">
        <f t="shared" si="13"/>
        <v>0</v>
      </c>
      <c r="BI22" s="467">
        <f t="shared" si="14"/>
        <v>0</v>
      </c>
      <c r="BJ22" s="468">
        <f t="shared" si="15"/>
        <v>0</v>
      </c>
      <c r="BK22" s="468">
        <f t="shared" si="16"/>
        <v>0</v>
      </c>
      <c r="BL22" s="468">
        <f t="shared" si="17"/>
        <v>0</v>
      </c>
      <c r="BM22" s="468">
        <f t="shared" si="18"/>
        <v>0</v>
      </c>
      <c r="BN22" s="468">
        <f t="shared" si="19"/>
        <v>0</v>
      </c>
      <c r="BO22" s="468">
        <f t="shared" si="20"/>
        <v>0</v>
      </c>
      <c r="BP22" s="468">
        <f t="shared" si="21"/>
        <v>0</v>
      </c>
      <c r="BQ22" s="468">
        <f t="shared" si="22"/>
        <v>0</v>
      </c>
      <c r="BR22" s="468">
        <f t="shared" si="23"/>
        <v>0</v>
      </c>
      <c r="BS22" s="468">
        <f t="shared" si="24"/>
        <v>0</v>
      </c>
      <c r="BT22" s="468">
        <f t="shared" si="25"/>
        <v>0</v>
      </c>
      <c r="BU22" s="468">
        <f t="shared" si="26"/>
        <v>0</v>
      </c>
      <c r="BV22" s="469">
        <f t="shared" si="27"/>
        <v>0</v>
      </c>
      <c r="BX22" s="614"/>
      <c r="BY22" s="777"/>
      <c r="BZ22" s="614"/>
      <c r="CA22" s="777"/>
    </row>
    <row r="23" spans="2:79" x14ac:dyDescent="0.2">
      <c r="B23" s="634" t="str">
        <f t="shared" si="28"/>
        <v>Subtransmission KVA time of use</v>
      </c>
      <c r="C23" s="464" t="str">
        <f>Est2018DistRev!B23</f>
        <v>Subtransmission KVA time of use</v>
      </c>
      <c r="D23" s="701">
        <v>0</v>
      </c>
      <c r="E23" s="702">
        <v>0</v>
      </c>
      <c r="F23" s="702">
        <v>0</v>
      </c>
      <c r="G23" s="702">
        <v>0.51</v>
      </c>
      <c r="H23" s="702">
        <v>0</v>
      </c>
      <c r="I23" s="702">
        <v>0</v>
      </c>
      <c r="J23" s="702">
        <v>0.39</v>
      </c>
      <c r="K23" s="702">
        <v>0.34</v>
      </c>
      <c r="L23" s="702">
        <v>0</v>
      </c>
      <c r="M23" s="702">
        <v>0.89</v>
      </c>
      <c r="N23" s="702">
        <v>1.3</v>
      </c>
      <c r="O23" s="702">
        <v>0</v>
      </c>
      <c r="P23" s="703">
        <v>0</v>
      </c>
      <c r="R23" s="641">
        <f>Est2018DistRev!D23</f>
        <v>0</v>
      </c>
      <c r="S23" s="642">
        <f>Est2018DistRev!E23</f>
        <v>0</v>
      </c>
      <c r="T23" s="642">
        <f>Est2018DistRev!F23</f>
        <v>0</v>
      </c>
      <c r="U23" s="642">
        <f>Est2018DistRev!G23</f>
        <v>0.48</v>
      </c>
      <c r="V23" s="642">
        <f>Est2018DistRev!H23</f>
        <v>0</v>
      </c>
      <c r="W23" s="642">
        <f>Est2018DistRev!I23</f>
        <v>0</v>
      </c>
      <c r="X23" s="642">
        <f>Est2018DistRev!J23</f>
        <v>0.374</v>
      </c>
      <c r="Y23" s="642">
        <f>Est2018DistRev!K23</f>
        <v>0.32400000000000001</v>
      </c>
      <c r="Z23" s="642">
        <f>Est2018DistRev!L23</f>
        <v>0</v>
      </c>
      <c r="AA23" s="642">
        <f>Est2018DistRev!M23</f>
        <v>0.84099999999999997</v>
      </c>
      <c r="AB23" s="642">
        <f>Est2018DistRev!N23</f>
        <v>1.232</v>
      </c>
      <c r="AC23" s="642">
        <f>Est2018DistRev!O23</f>
        <v>0</v>
      </c>
      <c r="AD23" s="643">
        <f>Est2018DistRev!P23</f>
        <v>0</v>
      </c>
      <c r="AF23" s="704">
        <v>388.18482694746274</v>
      </c>
      <c r="AG23" s="707">
        <v>0</v>
      </c>
      <c r="AH23" s="707">
        <v>0</v>
      </c>
      <c r="AI23" s="707">
        <v>8469104.4724642336</v>
      </c>
      <c r="AJ23" s="707">
        <v>0</v>
      </c>
      <c r="AK23" s="707">
        <v>0</v>
      </c>
      <c r="AL23" s="707">
        <v>11811835.970904166</v>
      </c>
      <c r="AM23" s="707">
        <v>17135510.075506344</v>
      </c>
      <c r="AN23" s="707">
        <v>0</v>
      </c>
      <c r="AO23" s="707">
        <v>4251731.3810264198</v>
      </c>
      <c r="AP23" s="707">
        <v>1524422.8420237862</v>
      </c>
      <c r="AQ23" s="707">
        <v>0</v>
      </c>
      <c r="AR23" s="708"/>
      <c r="AT23" s="467">
        <f t="shared" si="0"/>
        <v>0</v>
      </c>
      <c r="AU23" s="468">
        <f t="shared" si="1"/>
        <v>0</v>
      </c>
      <c r="AV23" s="468">
        <f t="shared" si="2"/>
        <v>0</v>
      </c>
      <c r="AW23" s="468">
        <f t="shared" si="3"/>
        <v>43192.432809567596</v>
      </c>
      <c r="AX23" s="468">
        <f t="shared" si="4"/>
        <v>0</v>
      </c>
      <c r="AY23" s="468">
        <f t="shared" si="5"/>
        <v>0</v>
      </c>
      <c r="AZ23" s="468">
        <f t="shared" si="6"/>
        <v>46066.160286526247</v>
      </c>
      <c r="BA23" s="468">
        <f t="shared" si="7"/>
        <v>58260.734256721575</v>
      </c>
      <c r="BB23" s="468">
        <f t="shared" si="8"/>
        <v>0</v>
      </c>
      <c r="BC23" s="468">
        <f t="shared" si="9"/>
        <v>37840.409291135133</v>
      </c>
      <c r="BD23" s="468">
        <f t="shared" si="10"/>
        <v>19817.49694630922</v>
      </c>
      <c r="BE23" s="468">
        <f t="shared" si="11"/>
        <v>0</v>
      </c>
      <c r="BF23" s="468">
        <f t="shared" si="12"/>
        <v>0</v>
      </c>
      <c r="BG23" s="469">
        <f t="shared" si="13"/>
        <v>205177.2335902598</v>
      </c>
      <c r="BI23" s="467">
        <f t="shared" si="14"/>
        <v>0</v>
      </c>
      <c r="BJ23" s="468">
        <f t="shared" si="15"/>
        <v>0</v>
      </c>
      <c r="BK23" s="468">
        <f t="shared" si="16"/>
        <v>0</v>
      </c>
      <c r="BL23" s="468">
        <f t="shared" si="17"/>
        <v>40651.701467828316</v>
      </c>
      <c r="BM23" s="468">
        <f t="shared" si="18"/>
        <v>0</v>
      </c>
      <c r="BN23" s="468">
        <f t="shared" si="19"/>
        <v>0</v>
      </c>
      <c r="BO23" s="468">
        <f t="shared" si="20"/>
        <v>44176.26653118158</v>
      </c>
      <c r="BP23" s="468">
        <f t="shared" si="21"/>
        <v>55519.052644640564</v>
      </c>
      <c r="BQ23" s="468">
        <f t="shared" si="22"/>
        <v>0</v>
      </c>
      <c r="BR23" s="468">
        <f t="shared" si="23"/>
        <v>35757.060914432186</v>
      </c>
      <c r="BS23" s="468">
        <f t="shared" si="24"/>
        <v>18780.889413733046</v>
      </c>
      <c r="BT23" s="468">
        <f t="shared" si="25"/>
        <v>0</v>
      </c>
      <c r="BU23" s="468">
        <f t="shared" si="26"/>
        <v>0</v>
      </c>
      <c r="BV23" s="469">
        <f t="shared" si="27"/>
        <v>194884.9709718157</v>
      </c>
      <c r="BX23" s="614"/>
      <c r="BY23" s="777"/>
      <c r="BZ23" s="614"/>
      <c r="CA23" s="777"/>
    </row>
    <row r="24" spans="2:79" x14ac:dyDescent="0.2">
      <c r="B24" s="634" t="str">
        <f t="shared" si="28"/>
        <v>TOD</v>
      </c>
      <c r="C24" s="464" t="str">
        <f>Est2018DistRev!B24</f>
        <v>TOD</v>
      </c>
      <c r="D24" s="701">
        <v>6.74</v>
      </c>
      <c r="E24" s="702">
        <v>0</v>
      </c>
      <c r="F24" s="702">
        <v>4.93</v>
      </c>
      <c r="G24" s="702">
        <v>17.48</v>
      </c>
      <c r="H24" s="702">
        <v>0</v>
      </c>
      <c r="I24" s="702">
        <v>0</v>
      </c>
      <c r="J24" s="702">
        <v>10.3</v>
      </c>
      <c r="K24" s="702">
        <v>3.37</v>
      </c>
      <c r="L24" s="702">
        <v>3.63</v>
      </c>
      <c r="M24" s="702">
        <v>0</v>
      </c>
      <c r="N24" s="702">
        <v>0</v>
      </c>
      <c r="O24" s="702">
        <v>0</v>
      </c>
      <c r="P24" s="703">
        <v>0</v>
      </c>
      <c r="R24" s="641">
        <f>Est2018DistRev!D24</f>
        <v>6.53</v>
      </c>
      <c r="S24" s="642">
        <f>Est2018DistRev!E24</f>
        <v>0</v>
      </c>
      <c r="T24" s="642">
        <f>Est2018DistRev!F24</f>
        <v>4.4240000000000004</v>
      </c>
      <c r="U24" s="642">
        <f>Est2018DistRev!G24</f>
        <v>15.698</v>
      </c>
      <c r="V24" s="642">
        <f>Est2018DistRev!H24</f>
        <v>0</v>
      </c>
      <c r="W24" s="642">
        <f>Est2018DistRev!I24</f>
        <v>0</v>
      </c>
      <c r="X24" s="642">
        <f>Est2018DistRev!J24</f>
        <v>9.2520000000000007</v>
      </c>
      <c r="Y24" s="642">
        <f>Est2018DistRev!K24</f>
        <v>3.0270000000000001</v>
      </c>
      <c r="Z24" s="642">
        <f>Est2018DistRev!L24</f>
        <v>3.2589999999999999</v>
      </c>
      <c r="AA24" s="642">
        <f>Est2018DistRev!M24</f>
        <v>0</v>
      </c>
      <c r="AB24" s="642">
        <f>Est2018DistRev!N24</f>
        <v>0</v>
      </c>
      <c r="AC24" s="642">
        <f>Est2018DistRev!O24</f>
        <v>0</v>
      </c>
      <c r="AD24" s="643">
        <f>Est2018DistRev!P24</f>
        <v>0</v>
      </c>
      <c r="AF24" s="704">
        <v>14958828.747164952</v>
      </c>
      <c r="AG24" s="707">
        <v>0</v>
      </c>
      <c r="AH24" s="707">
        <v>11157824.725728184</v>
      </c>
      <c r="AI24" s="707">
        <v>21858787.259085819</v>
      </c>
      <c r="AJ24" s="707">
        <v>0</v>
      </c>
      <c r="AK24" s="707">
        <v>0</v>
      </c>
      <c r="AL24" s="707">
        <v>41608118.298785917</v>
      </c>
      <c r="AM24" s="707">
        <v>106719624.5014694</v>
      </c>
      <c r="AN24" s="707">
        <v>23289542.66621675</v>
      </c>
      <c r="AO24" s="707">
        <v>0</v>
      </c>
      <c r="AP24" s="707">
        <v>0</v>
      </c>
      <c r="AQ24" s="707">
        <v>0</v>
      </c>
      <c r="AR24" s="708"/>
      <c r="AT24" s="467">
        <f t="shared" si="0"/>
        <v>1008225.0575589178</v>
      </c>
      <c r="AU24" s="468">
        <f t="shared" si="1"/>
        <v>0</v>
      </c>
      <c r="AV24" s="468">
        <f t="shared" si="2"/>
        <v>550080.75897839945</v>
      </c>
      <c r="AW24" s="468">
        <f t="shared" si="3"/>
        <v>3820916.0128882015</v>
      </c>
      <c r="AX24" s="468">
        <f t="shared" si="4"/>
        <v>0</v>
      </c>
      <c r="AY24" s="468">
        <f t="shared" si="5"/>
        <v>0</v>
      </c>
      <c r="AZ24" s="468">
        <f t="shared" si="6"/>
        <v>4285636.1847749501</v>
      </c>
      <c r="BA24" s="468">
        <f t="shared" si="7"/>
        <v>3596451.3456995189</v>
      </c>
      <c r="BB24" s="468">
        <f t="shared" si="8"/>
        <v>845410.39878366794</v>
      </c>
      <c r="BC24" s="468">
        <f t="shared" si="9"/>
        <v>0</v>
      </c>
      <c r="BD24" s="468">
        <f t="shared" si="10"/>
        <v>0</v>
      </c>
      <c r="BE24" s="468">
        <f t="shared" si="11"/>
        <v>0</v>
      </c>
      <c r="BF24" s="468">
        <f t="shared" si="12"/>
        <v>0</v>
      </c>
      <c r="BG24" s="469">
        <f t="shared" si="13"/>
        <v>14106719.758683655</v>
      </c>
      <c r="BI24" s="467">
        <f t="shared" si="14"/>
        <v>976811.51718987129</v>
      </c>
      <c r="BJ24" s="468">
        <f t="shared" si="15"/>
        <v>0</v>
      </c>
      <c r="BK24" s="468">
        <f t="shared" si="16"/>
        <v>493622.1658662149</v>
      </c>
      <c r="BL24" s="468">
        <f t="shared" si="17"/>
        <v>3431392.4239312923</v>
      </c>
      <c r="BM24" s="468">
        <f t="shared" si="18"/>
        <v>0</v>
      </c>
      <c r="BN24" s="468">
        <f t="shared" si="19"/>
        <v>0</v>
      </c>
      <c r="BO24" s="468">
        <f t="shared" si="20"/>
        <v>3849583.1050036731</v>
      </c>
      <c r="BP24" s="468">
        <f t="shared" si="21"/>
        <v>3230403.0336594791</v>
      </c>
      <c r="BQ24" s="468">
        <f t="shared" si="22"/>
        <v>759006.19549200393</v>
      </c>
      <c r="BR24" s="468">
        <f t="shared" si="23"/>
        <v>0</v>
      </c>
      <c r="BS24" s="468">
        <f t="shared" si="24"/>
        <v>0</v>
      </c>
      <c r="BT24" s="468">
        <f t="shared" si="25"/>
        <v>0</v>
      </c>
      <c r="BU24" s="468">
        <f t="shared" si="26"/>
        <v>0</v>
      </c>
      <c r="BV24" s="469">
        <f t="shared" si="27"/>
        <v>12740818.441142533</v>
      </c>
      <c r="BX24" s="614"/>
      <c r="BY24" s="777"/>
      <c r="BZ24" s="614"/>
      <c r="CA24" s="777"/>
    </row>
    <row r="25" spans="2:79" x14ac:dyDescent="0.2">
      <c r="B25" s="634" t="str">
        <f t="shared" si="28"/>
        <v>TOD9</v>
      </c>
      <c r="C25" s="464" t="str">
        <f>Est2018DistRev!B25</f>
        <v>TOD9</v>
      </c>
      <c r="D25" s="701">
        <v>6.99</v>
      </c>
      <c r="E25" s="702">
        <v>0</v>
      </c>
      <c r="F25" s="702">
        <v>5.1100000000000003</v>
      </c>
      <c r="G25" s="702">
        <v>16.48</v>
      </c>
      <c r="H25" s="702">
        <v>0</v>
      </c>
      <c r="I25" s="702">
        <v>0</v>
      </c>
      <c r="J25" s="702">
        <v>10.24</v>
      </c>
      <c r="K25" s="702">
        <v>3.9</v>
      </c>
      <c r="L25" s="702">
        <v>4.0999999999999996</v>
      </c>
      <c r="M25" s="702">
        <v>0</v>
      </c>
      <c r="N25" s="702">
        <v>0</v>
      </c>
      <c r="O25" s="702">
        <v>0</v>
      </c>
      <c r="P25" s="703">
        <v>0</v>
      </c>
      <c r="R25" s="641">
        <f>Est2018DistRev!D25</f>
        <v>6.774</v>
      </c>
      <c r="S25" s="642">
        <f>Est2018DistRev!E25</f>
        <v>0</v>
      </c>
      <c r="T25" s="642">
        <f>Est2018DistRev!F25</f>
        <v>5.4870000000000001</v>
      </c>
      <c r="U25" s="642">
        <f>Est2018DistRev!G25</f>
        <v>17.7</v>
      </c>
      <c r="V25" s="642">
        <f>Est2018DistRev!H25</f>
        <v>0</v>
      </c>
      <c r="W25" s="642">
        <f>Est2018DistRev!I25</f>
        <v>0</v>
      </c>
      <c r="X25" s="642">
        <f>Est2018DistRev!J25</f>
        <v>11</v>
      </c>
      <c r="Y25" s="642">
        <f>Est2018DistRev!K25</f>
        <v>4.1929999999999996</v>
      </c>
      <c r="Z25" s="642">
        <f>Est2018DistRev!L25</f>
        <v>4.4080000000000004</v>
      </c>
      <c r="AA25" s="642">
        <f>Est2018DistRev!M25</f>
        <v>0</v>
      </c>
      <c r="AB25" s="642">
        <f>Est2018DistRev!N25</f>
        <v>0</v>
      </c>
      <c r="AC25" s="642">
        <f>Est2018DistRev!O25</f>
        <v>0</v>
      </c>
      <c r="AD25" s="643">
        <f>Est2018DistRev!P25</f>
        <v>0</v>
      </c>
      <c r="AF25" s="704">
        <v>1230260.5306997327</v>
      </c>
      <c r="AG25" s="707">
        <v>0</v>
      </c>
      <c r="AH25" s="707">
        <v>591618.83574525896</v>
      </c>
      <c r="AI25" s="707">
        <v>1033562.6891798624</v>
      </c>
      <c r="AJ25" s="707">
        <v>0</v>
      </c>
      <c r="AK25" s="707">
        <v>0</v>
      </c>
      <c r="AL25" s="707">
        <v>2066829.1172340738</v>
      </c>
      <c r="AM25" s="707">
        <v>6482902.6105037043</v>
      </c>
      <c r="AN25" s="707">
        <v>1333840.0952702311</v>
      </c>
      <c r="AO25" s="707">
        <v>0</v>
      </c>
      <c r="AP25" s="707">
        <v>0</v>
      </c>
      <c r="AQ25" s="707">
        <v>0</v>
      </c>
      <c r="AR25" s="708"/>
      <c r="AT25" s="467">
        <f t="shared" si="0"/>
        <v>85995.21109591132</v>
      </c>
      <c r="AU25" s="468">
        <f t="shared" si="1"/>
        <v>0</v>
      </c>
      <c r="AV25" s="468">
        <f t="shared" si="2"/>
        <v>30231.722506582737</v>
      </c>
      <c r="AW25" s="468">
        <f t="shared" si="3"/>
        <v>170331.13117684133</v>
      </c>
      <c r="AX25" s="468">
        <f t="shared" si="4"/>
        <v>0</v>
      </c>
      <c r="AY25" s="468">
        <f t="shared" si="5"/>
        <v>0</v>
      </c>
      <c r="AZ25" s="468">
        <f t="shared" si="6"/>
        <v>211643.30160476916</v>
      </c>
      <c r="BA25" s="468">
        <f t="shared" si="7"/>
        <v>252833.20180964447</v>
      </c>
      <c r="BB25" s="468">
        <f t="shared" si="8"/>
        <v>54687.443906079468</v>
      </c>
      <c r="BC25" s="468">
        <f t="shared" si="9"/>
        <v>0</v>
      </c>
      <c r="BD25" s="468">
        <f t="shared" si="10"/>
        <v>0</v>
      </c>
      <c r="BE25" s="468">
        <f t="shared" si="11"/>
        <v>0</v>
      </c>
      <c r="BF25" s="468">
        <f t="shared" si="12"/>
        <v>0</v>
      </c>
      <c r="BG25" s="469">
        <f t="shared" si="13"/>
        <v>805722.01209982857</v>
      </c>
      <c r="BI25" s="467">
        <f t="shared" si="14"/>
        <v>83337.848349599881</v>
      </c>
      <c r="BJ25" s="468">
        <f t="shared" si="15"/>
        <v>0</v>
      </c>
      <c r="BK25" s="468">
        <f t="shared" si="16"/>
        <v>32462.12551734236</v>
      </c>
      <c r="BL25" s="468">
        <f t="shared" si="17"/>
        <v>182940.59598483564</v>
      </c>
      <c r="BM25" s="468">
        <f t="shared" si="18"/>
        <v>0</v>
      </c>
      <c r="BN25" s="468">
        <f t="shared" si="19"/>
        <v>0</v>
      </c>
      <c r="BO25" s="468">
        <f t="shared" si="20"/>
        <v>227351.20289574811</v>
      </c>
      <c r="BP25" s="468">
        <f t="shared" si="21"/>
        <v>271828.10645842028</v>
      </c>
      <c r="BQ25" s="468">
        <f t="shared" si="22"/>
        <v>58795.67139951179</v>
      </c>
      <c r="BR25" s="468">
        <f t="shared" si="23"/>
        <v>0</v>
      </c>
      <c r="BS25" s="468">
        <f t="shared" si="24"/>
        <v>0</v>
      </c>
      <c r="BT25" s="468">
        <f t="shared" si="25"/>
        <v>0</v>
      </c>
      <c r="BU25" s="468">
        <f t="shared" si="26"/>
        <v>0</v>
      </c>
      <c r="BV25" s="469">
        <f t="shared" si="27"/>
        <v>856715.55060545797</v>
      </c>
      <c r="BX25" s="614"/>
      <c r="BY25" s="777"/>
      <c r="BZ25" s="614"/>
      <c r="CA25" s="777"/>
    </row>
    <row r="26" spans="2:79" x14ac:dyDescent="0.2">
      <c r="B26" s="634" t="str">
        <f t="shared" si="28"/>
        <v>TOU</v>
      </c>
      <c r="C26" s="464" t="str">
        <f>Est2018DistRev!B26</f>
        <v>TOU</v>
      </c>
      <c r="D26" s="701">
        <v>0</v>
      </c>
      <c r="E26" s="702">
        <v>0</v>
      </c>
      <c r="F26" s="702">
        <v>0</v>
      </c>
      <c r="G26" s="702">
        <v>10.14</v>
      </c>
      <c r="H26" s="702">
        <v>0</v>
      </c>
      <c r="I26" s="702">
        <v>0</v>
      </c>
      <c r="J26" s="702">
        <v>6.16</v>
      </c>
      <c r="K26" s="702">
        <v>2.97</v>
      </c>
      <c r="L26" s="702">
        <v>0</v>
      </c>
      <c r="M26" s="702">
        <v>0</v>
      </c>
      <c r="N26" s="702">
        <v>44.02</v>
      </c>
      <c r="O26" s="702">
        <v>0</v>
      </c>
      <c r="P26" s="703">
        <v>0</v>
      </c>
      <c r="R26" s="641">
        <f>Est2018DistRev!D26</f>
        <v>0</v>
      </c>
      <c r="S26" s="642">
        <f>Est2018DistRev!E26</f>
        <v>0</v>
      </c>
      <c r="T26" s="642">
        <f>Est2018DistRev!F26</f>
        <v>0</v>
      </c>
      <c r="U26" s="642">
        <f>Est2018DistRev!G26</f>
        <v>9.6460000000000008</v>
      </c>
      <c r="V26" s="642">
        <f>Est2018DistRev!H26</f>
        <v>0</v>
      </c>
      <c r="W26" s="642">
        <f>Est2018DistRev!I26</f>
        <v>0</v>
      </c>
      <c r="X26" s="642">
        <f>Est2018DistRev!J26</f>
        <v>5.86</v>
      </c>
      <c r="Y26" s="642">
        <f>Est2018DistRev!K26</f>
        <v>2.8290000000000002</v>
      </c>
      <c r="Z26" s="642">
        <f>Est2018DistRev!L26</f>
        <v>0</v>
      </c>
      <c r="AA26" s="642">
        <f>Est2018DistRev!M26</f>
        <v>0</v>
      </c>
      <c r="AB26" s="642">
        <f>Est2018DistRev!N26</f>
        <v>41.890999999999998</v>
      </c>
      <c r="AC26" s="642">
        <f>Est2018DistRev!O26</f>
        <v>0</v>
      </c>
      <c r="AD26" s="643">
        <f>Est2018DistRev!P26</f>
        <v>0</v>
      </c>
      <c r="AF26" s="704">
        <v>245380.33478031383</v>
      </c>
      <c r="AG26" s="707">
        <v>0</v>
      </c>
      <c r="AH26" s="707">
        <v>0</v>
      </c>
      <c r="AI26" s="707">
        <v>4426421.4535574634</v>
      </c>
      <c r="AJ26" s="707">
        <v>0</v>
      </c>
      <c r="AK26" s="707">
        <v>0</v>
      </c>
      <c r="AL26" s="707">
        <v>7275039.4297535019</v>
      </c>
      <c r="AM26" s="707">
        <v>8972065.1354613025</v>
      </c>
      <c r="AN26" s="707">
        <v>0</v>
      </c>
      <c r="AO26" s="707">
        <v>0</v>
      </c>
      <c r="AP26" s="707">
        <v>995491.84716732672</v>
      </c>
      <c r="AQ26" s="707">
        <v>0</v>
      </c>
      <c r="AR26" s="708"/>
      <c r="AT26" s="467">
        <f t="shared" si="0"/>
        <v>0</v>
      </c>
      <c r="AU26" s="468">
        <f t="shared" si="1"/>
        <v>0</v>
      </c>
      <c r="AV26" s="468">
        <f t="shared" si="2"/>
        <v>0</v>
      </c>
      <c r="AW26" s="468">
        <f t="shared" si="3"/>
        <v>448839.13539072679</v>
      </c>
      <c r="AX26" s="468">
        <f t="shared" si="4"/>
        <v>0</v>
      </c>
      <c r="AY26" s="468">
        <f t="shared" si="5"/>
        <v>0</v>
      </c>
      <c r="AZ26" s="468">
        <f t="shared" si="6"/>
        <v>448142.42887281574</v>
      </c>
      <c r="BA26" s="468">
        <f t="shared" si="7"/>
        <v>266470.3345232007</v>
      </c>
      <c r="BB26" s="468">
        <f t="shared" si="8"/>
        <v>0</v>
      </c>
      <c r="BC26" s="468">
        <f t="shared" si="9"/>
        <v>0</v>
      </c>
      <c r="BD26" s="468">
        <f t="shared" si="10"/>
        <v>438215.51112305728</v>
      </c>
      <c r="BE26" s="468">
        <f t="shared" si="11"/>
        <v>0</v>
      </c>
      <c r="BF26" s="468">
        <f t="shared" si="12"/>
        <v>0</v>
      </c>
      <c r="BG26" s="469">
        <f t="shared" si="13"/>
        <v>1601667.4099098004</v>
      </c>
      <c r="BI26" s="467">
        <f t="shared" si="14"/>
        <v>0</v>
      </c>
      <c r="BJ26" s="468">
        <f t="shared" si="15"/>
        <v>0</v>
      </c>
      <c r="BK26" s="468">
        <f t="shared" si="16"/>
        <v>0</v>
      </c>
      <c r="BL26" s="468">
        <f t="shared" si="17"/>
        <v>426972.61341015296</v>
      </c>
      <c r="BM26" s="468">
        <f t="shared" si="18"/>
        <v>0</v>
      </c>
      <c r="BN26" s="468">
        <f t="shared" si="19"/>
        <v>0</v>
      </c>
      <c r="BO26" s="468">
        <f t="shared" si="20"/>
        <v>426317.31058355526</v>
      </c>
      <c r="BP26" s="468">
        <f t="shared" si="21"/>
        <v>253819.72268220028</v>
      </c>
      <c r="BQ26" s="468">
        <f t="shared" si="22"/>
        <v>0</v>
      </c>
      <c r="BR26" s="468">
        <f t="shared" si="23"/>
        <v>0</v>
      </c>
      <c r="BS26" s="468">
        <f t="shared" si="24"/>
        <v>417021.48969686485</v>
      </c>
      <c r="BT26" s="468">
        <f t="shared" si="25"/>
        <v>0</v>
      </c>
      <c r="BU26" s="468">
        <f t="shared" si="26"/>
        <v>0</v>
      </c>
      <c r="BV26" s="469">
        <f t="shared" si="27"/>
        <v>1524131.1363727734</v>
      </c>
      <c r="BX26" s="614"/>
      <c r="BY26" s="777"/>
      <c r="BZ26" s="614"/>
      <c r="CA26" s="777"/>
    </row>
    <row r="27" spans="2:79" x14ac:dyDescent="0.2">
      <c r="B27" s="477" t="str">
        <f t="shared" si="28"/>
        <v>TODFLEX</v>
      </c>
      <c r="C27" s="464" t="str">
        <f>Est2018DistRev!B27</f>
        <v>TODFLEX</v>
      </c>
      <c r="D27" s="701">
        <v>7.53</v>
      </c>
      <c r="E27" s="702">
        <v>0</v>
      </c>
      <c r="F27" s="702">
        <v>4.88</v>
      </c>
      <c r="G27" s="702">
        <v>17.98</v>
      </c>
      <c r="H27" s="702">
        <v>0</v>
      </c>
      <c r="I27" s="702">
        <v>0</v>
      </c>
      <c r="J27" s="702">
        <v>10.32</v>
      </c>
      <c r="K27" s="702">
        <v>4.1399999999999997</v>
      </c>
      <c r="L27" s="702">
        <v>4.88</v>
      </c>
      <c r="M27" s="702">
        <v>0</v>
      </c>
      <c r="N27" s="702">
        <v>0</v>
      </c>
      <c r="O27" s="702">
        <v>0</v>
      </c>
      <c r="P27" s="703">
        <v>0</v>
      </c>
      <c r="R27" s="641">
        <f>Est2018DistRev!D27</f>
        <v>7.2949999999999999</v>
      </c>
      <c r="S27" s="642">
        <f>Est2018DistRev!E27</f>
        <v>0</v>
      </c>
      <c r="T27" s="642">
        <f>Est2018DistRev!F27</f>
        <v>4.7290000000000001</v>
      </c>
      <c r="U27" s="642">
        <f>Est2018DistRev!G27</f>
        <v>17.414000000000001</v>
      </c>
      <c r="V27" s="642">
        <f>Est2018DistRev!H27</f>
        <v>0</v>
      </c>
      <c r="W27" s="642">
        <f>Est2018DistRev!I27</f>
        <v>0</v>
      </c>
      <c r="X27" s="642">
        <f>Est2018DistRev!J27</f>
        <v>9.9960000000000004</v>
      </c>
      <c r="Y27" s="642">
        <f>Est2018DistRev!K27</f>
        <v>4.0090000000000003</v>
      </c>
      <c r="Z27" s="642">
        <f>Est2018DistRev!L27</f>
        <v>4.7290000000000001</v>
      </c>
      <c r="AA27" s="642">
        <f>Est2018DistRev!M27</f>
        <v>0</v>
      </c>
      <c r="AB27" s="642">
        <f>Est2018DistRev!N27</f>
        <v>0</v>
      </c>
      <c r="AC27" s="642">
        <f>Est2018DistRev!O27</f>
        <v>0</v>
      </c>
      <c r="AD27" s="643">
        <f>Est2018DistRev!P27</f>
        <v>0</v>
      </c>
      <c r="AF27" s="704">
        <v>748713.29673777404</v>
      </c>
      <c r="AG27" s="707">
        <v>0</v>
      </c>
      <c r="AH27" s="707">
        <v>1841551.6104571195</v>
      </c>
      <c r="AI27" s="707">
        <v>897829.54665664909</v>
      </c>
      <c r="AJ27" s="707">
        <v>0</v>
      </c>
      <c r="AK27" s="707">
        <v>0</v>
      </c>
      <c r="AL27" s="707">
        <v>1476591.1655552709</v>
      </c>
      <c r="AM27" s="707">
        <v>3741242.0142536671</v>
      </c>
      <c r="AN27" s="707">
        <v>3096046.1684368975</v>
      </c>
      <c r="AO27" s="707">
        <v>0</v>
      </c>
      <c r="AP27" s="707">
        <v>0</v>
      </c>
      <c r="AQ27" s="707">
        <v>0</v>
      </c>
      <c r="AR27" s="708"/>
      <c r="AT27" s="467">
        <f t="shared" si="0"/>
        <v>56378.11124435439</v>
      </c>
      <c r="AU27" s="468">
        <f t="shared" si="1"/>
        <v>0</v>
      </c>
      <c r="AV27" s="468">
        <f t="shared" si="2"/>
        <v>89867.718590307428</v>
      </c>
      <c r="AW27" s="468">
        <f t="shared" si="3"/>
        <v>161429.75248886552</v>
      </c>
      <c r="AX27" s="468">
        <f t="shared" si="4"/>
        <v>0</v>
      </c>
      <c r="AY27" s="468">
        <f t="shared" si="5"/>
        <v>0</v>
      </c>
      <c r="AZ27" s="468">
        <f t="shared" si="6"/>
        <v>152384.20828530396</v>
      </c>
      <c r="BA27" s="468">
        <f t="shared" si="7"/>
        <v>154887.4193901018</v>
      </c>
      <c r="BB27" s="468">
        <f t="shared" si="8"/>
        <v>151087.0530197206</v>
      </c>
      <c r="BC27" s="468">
        <f t="shared" si="9"/>
        <v>0</v>
      </c>
      <c r="BD27" s="468">
        <f t="shared" si="10"/>
        <v>0</v>
      </c>
      <c r="BE27" s="468">
        <f t="shared" si="11"/>
        <v>0</v>
      </c>
      <c r="BF27" s="468">
        <f t="shared" si="12"/>
        <v>0</v>
      </c>
      <c r="BG27" s="469">
        <f t="shared" si="13"/>
        <v>766034.26301865373</v>
      </c>
      <c r="BI27" s="467">
        <f t="shared" si="14"/>
        <v>54618.634997020614</v>
      </c>
      <c r="BJ27" s="468">
        <f t="shared" si="15"/>
        <v>0</v>
      </c>
      <c r="BK27" s="468">
        <f t="shared" si="16"/>
        <v>87086.975658517185</v>
      </c>
      <c r="BL27" s="468">
        <f t="shared" si="17"/>
        <v>156348.03725478888</v>
      </c>
      <c r="BM27" s="468">
        <f t="shared" si="18"/>
        <v>0</v>
      </c>
      <c r="BN27" s="468">
        <f t="shared" si="19"/>
        <v>0</v>
      </c>
      <c r="BO27" s="468">
        <f t="shared" si="20"/>
        <v>147600.05290890488</v>
      </c>
      <c r="BP27" s="468">
        <f t="shared" si="21"/>
        <v>149986.3923514295</v>
      </c>
      <c r="BQ27" s="468">
        <f t="shared" si="22"/>
        <v>146412.02330538086</v>
      </c>
      <c r="BR27" s="468">
        <f t="shared" si="23"/>
        <v>0</v>
      </c>
      <c r="BS27" s="468">
        <f t="shared" si="24"/>
        <v>0</v>
      </c>
      <c r="BT27" s="468">
        <f t="shared" si="25"/>
        <v>0</v>
      </c>
      <c r="BU27" s="468">
        <f t="shared" si="26"/>
        <v>0</v>
      </c>
      <c r="BV27" s="469">
        <f t="shared" si="27"/>
        <v>742052.11647604185</v>
      </c>
      <c r="BX27" s="614"/>
      <c r="BY27" s="777"/>
      <c r="BZ27" s="614"/>
      <c r="CA27" s="777"/>
    </row>
    <row r="28" spans="2:79" x14ac:dyDescent="0.2">
      <c r="B28" s="634" t="str">
        <f t="shared" si="28"/>
        <v>Low Voltage KW 1 rate</v>
      </c>
      <c r="C28" s="464" t="str">
        <f>Est2018DistRev!B28</f>
        <v>Low Voltage KW 1 rate</v>
      </c>
      <c r="D28" s="701">
        <v>0</v>
      </c>
      <c r="E28" s="702">
        <v>2.8</v>
      </c>
      <c r="F28" s="702">
        <v>2.8</v>
      </c>
      <c r="G28" s="702">
        <v>2.8</v>
      </c>
      <c r="H28" s="702">
        <v>2.8</v>
      </c>
      <c r="I28" s="702">
        <v>2.8</v>
      </c>
      <c r="J28" s="702">
        <v>2.8</v>
      </c>
      <c r="K28" s="702">
        <v>2.8</v>
      </c>
      <c r="L28" s="702">
        <v>2.8</v>
      </c>
      <c r="M28" s="702">
        <v>0</v>
      </c>
      <c r="N28" s="702">
        <v>0</v>
      </c>
      <c r="O28" s="702">
        <v>26.98</v>
      </c>
      <c r="P28" s="703">
        <v>10.65</v>
      </c>
      <c r="R28" s="641">
        <f>Est2018DistRev!D28</f>
        <v>0</v>
      </c>
      <c r="S28" s="642">
        <f>Est2018DistRev!E28</f>
        <v>2.7120000000000002</v>
      </c>
      <c r="T28" s="642">
        <f>Est2018DistRev!F28</f>
        <v>2.7120000000000002</v>
      </c>
      <c r="U28" s="642">
        <f>Est2018DistRev!G28</f>
        <v>2.7120000000000002</v>
      </c>
      <c r="V28" s="642">
        <f>Est2018DistRev!H28</f>
        <v>2.7120000000000002</v>
      </c>
      <c r="W28" s="642">
        <f>Est2018DistRev!I28</f>
        <v>2.7120000000000002</v>
      </c>
      <c r="X28" s="642">
        <f>Est2018DistRev!J28</f>
        <v>2.7120000000000002</v>
      </c>
      <c r="Y28" s="642">
        <f>Est2018DistRev!K28</f>
        <v>2.7120000000000002</v>
      </c>
      <c r="Z28" s="642">
        <f>Est2018DistRev!L28</f>
        <v>2.7120000000000002</v>
      </c>
      <c r="AA28" s="642">
        <f>Est2018DistRev!M28</f>
        <v>0</v>
      </c>
      <c r="AB28" s="642">
        <f>Est2018DistRev!N28</f>
        <v>0</v>
      </c>
      <c r="AC28" s="642">
        <f>Est2018DistRev!O28</f>
        <v>26.13</v>
      </c>
      <c r="AD28" s="643">
        <f>Est2018DistRev!P28</f>
        <v>10.311</v>
      </c>
      <c r="AF28" s="704">
        <v>2365.9646033074068</v>
      </c>
      <c r="AG28" s="707">
        <v>0</v>
      </c>
      <c r="AH28" s="707">
        <v>0</v>
      </c>
      <c r="AI28" s="707">
        <v>10094.264329230857</v>
      </c>
      <c r="AJ28" s="707">
        <v>0</v>
      </c>
      <c r="AK28" s="707">
        <v>0</v>
      </c>
      <c r="AL28" s="707">
        <v>19252.676051971259</v>
      </c>
      <c r="AM28" s="707">
        <v>0</v>
      </c>
      <c r="AN28" s="707">
        <v>0</v>
      </c>
      <c r="AO28" s="707">
        <v>0</v>
      </c>
      <c r="AP28" s="707">
        <v>0</v>
      </c>
      <c r="AQ28" s="707">
        <v>2402.7092731857942</v>
      </c>
      <c r="AR28" s="708">
        <v>4357.3066082563137</v>
      </c>
      <c r="AT28" s="467">
        <f t="shared" si="0"/>
        <v>0</v>
      </c>
      <c r="AU28" s="468">
        <f t="shared" si="1"/>
        <v>0</v>
      </c>
      <c r="AV28" s="468">
        <f t="shared" si="2"/>
        <v>0</v>
      </c>
      <c r="AW28" s="468">
        <f t="shared" si="3"/>
        <v>282.63940121846395</v>
      </c>
      <c r="AX28" s="468">
        <f t="shared" si="4"/>
        <v>0</v>
      </c>
      <c r="AY28" s="468">
        <f t="shared" si="5"/>
        <v>0</v>
      </c>
      <c r="AZ28" s="468">
        <f t="shared" si="6"/>
        <v>539.07492945519516</v>
      </c>
      <c r="BA28" s="468">
        <f t="shared" si="7"/>
        <v>0</v>
      </c>
      <c r="BB28" s="468">
        <f t="shared" si="8"/>
        <v>0</v>
      </c>
      <c r="BC28" s="468">
        <f t="shared" si="9"/>
        <v>0</v>
      </c>
      <c r="BD28" s="468">
        <f t="shared" si="10"/>
        <v>0</v>
      </c>
      <c r="BE28" s="468">
        <f t="shared" si="11"/>
        <v>648.25096190552722</v>
      </c>
      <c r="BF28" s="468">
        <f t="shared" si="12"/>
        <v>464.05315377929742</v>
      </c>
      <c r="BG28" s="469">
        <f t="shared" si="13"/>
        <v>1934.0184463584837</v>
      </c>
      <c r="BI28" s="467">
        <f t="shared" si="14"/>
        <v>0</v>
      </c>
      <c r="BJ28" s="468">
        <f t="shared" si="15"/>
        <v>0</v>
      </c>
      <c r="BK28" s="468">
        <f t="shared" si="16"/>
        <v>0</v>
      </c>
      <c r="BL28" s="468">
        <f t="shared" si="17"/>
        <v>273.75644860874087</v>
      </c>
      <c r="BM28" s="468">
        <f t="shared" si="18"/>
        <v>0</v>
      </c>
      <c r="BN28" s="468">
        <f t="shared" si="19"/>
        <v>0</v>
      </c>
      <c r="BO28" s="468">
        <f t="shared" si="20"/>
        <v>522.13257452946061</v>
      </c>
      <c r="BP28" s="468">
        <f t="shared" si="21"/>
        <v>0</v>
      </c>
      <c r="BQ28" s="468">
        <f t="shared" si="22"/>
        <v>0</v>
      </c>
      <c r="BR28" s="468">
        <f t="shared" si="23"/>
        <v>0</v>
      </c>
      <c r="BS28" s="468">
        <f t="shared" si="24"/>
        <v>0</v>
      </c>
      <c r="BT28" s="468">
        <f t="shared" si="25"/>
        <v>627.82793308344799</v>
      </c>
      <c r="BU28" s="468">
        <f t="shared" si="26"/>
        <v>449.28188437730847</v>
      </c>
      <c r="BV28" s="469">
        <f t="shared" si="27"/>
        <v>1872.9988405989579</v>
      </c>
      <c r="BX28" s="614"/>
      <c r="BY28" s="777"/>
      <c r="BZ28" s="614"/>
      <c r="CA28" s="777"/>
    </row>
    <row r="29" spans="2:79" x14ac:dyDescent="0.2">
      <c r="B29" s="634" t="str">
        <f t="shared" si="28"/>
        <v>Low voltage medium KW time of use (opt-in)</v>
      </c>
      <c r="C29" s="464" t="str">
        <f>Est2018DistRev!B29</f>
        <v>Low voltage medium KW time of use (opt-in)</v>
      </c>
      <c r="D29" s="701">
        <v>0</v>
      </c>
      <c r="E29" s="702">
        <v>0</v>
      </c>
      <c r="F29" s="702">
        <v>0</v>
      </c>
      <c r="G29" s="702">
        <v>3.5</v>
      </c>
      <c r="H29" s="702">
        <v>0</v>
      </c>
      <c r="I29" s="702">
        <v>0</v>
      </c>
      <c r="J29" s="702">
        <v>3.5</v>
      </c>
      <c r="K29" s="702">
        <v>0</v>
      </c>
      <c r="L29" s="702">
        <v>0</v>
      </c>
      <c r="M29" s="702">
        <v>0</v>
      </c>
      <c r="N29" s="702">
        <v>0</v>
      </c>
      <c r="O29" s="702">
        <v>39.619999999999997</v>
      </c>
      <c r="P29" s="703">
        <v>26.41</v>
      </c>
      <c r="R29" s="641">
        <f>Est2018DistRev!D29</f>
        <v>0</v>
      </c>
      <c r="S29" s="642">
        <f>Est2018DistRev!E29</f>
        <v>3.6859999999999999</v>
      </c>
      <c r="T29" s="642">
        <f>Est2018DistRev!F29</f>
        <v>3.6859999999999999</v>
      </c>
      <c r="U29" s="642">
        <f>Est2018DistRev!G29</f>
        <v>3.6859999999999999</v>
      </c>
      <c r="V29" s="642">
        <f>Est2018DistRev!H29</f>
        <v>3.6859999999999999</v>
      </c>
      <c r="W29" s="642">
        <f>Est2018DistRev!I29</f>
        <v>3.6859999999999999</v>
      </c>
      <c r="X29" s="642">
        <f>Est2018DistRev!J29</f>
        <v>3.6859999999999999</v>
      </c>
      <c r="Y29" s="642">
        <f>Est2018DistRev!K29</f>
        <v>3.6859999999999999</v>
      </c>
      <c r="Z29" s="642">
        <f>Est2018DistRev!L29</f>
        <v>3.6859999999999999</v>
      </c>
      <c r="AA29" s="642">
        <f>Est2018DistRev!M29</f>
        <v>0</v>
      </c>
      <c r="AB29" s="642">
        <f>Est2018DistRev!N29</f>
        <v>0</v>
      </c>
      <c r="AC29" s="642">
        <f>Est2018DistRev!O29</f>
        <v>30.492000000000001</v>
      </c>
      <c r="AD29" s="643">
        <f>Est2018DistRev!P29</f>
        <v>20.327999999999999</v>
      </c>
      <c r="AF29" s="704">
        <v>61897.887611713682</v>
      </c>
      <c r="AG29" s="707">
        <v>0</v>
      </c>
      <c r="AH29" s="707">
        <v>0</v>
      </c>
      <c r="AI29" s="707">
        <v>6336827.8605712429</v>
      </c>
      <c r="AJ29" s="707">
        <v>0</v>
      </c>
      <c r="AK29" s="707">
        <v>0</v>
      </c>
      <c r="AL29" s="707">
        <v>8872080.0242214594</v>
      </c>
      <c r="AM29" s="707">
        <v>0</v>
      </c>
      <c r="AN29" s="707">
        <v>0</v>
      </c>
      <c r="AO29" s="707">
        <v>0</v>
      </c>
      <c r="AP29" s="707">
        <v>0</v>
      </c>
      <c r="AQ29" s="707">
        <v>602643.80769806355</v>
      </c>
      <c r="AR29" s="708">
        <v>1112070.3845453316</v>
      </c>
      <c r="AT29" s="467">
        <f t="shared" si="0"/>
        <v>0</v>
      </c>
      <c r="AU29" s="468">
        <f t="shared" si="1"/>
        <v>0</v>
      </c>
      <c r="AV29" s="468">
        <f t="shared" si="2"/>
        <v>0</v>
      </c>
      <c r="AW29" s="468">
        <f t="shared" si="3"/>
        <v>221788.97511999353</v>
      </c>
      <c r="AX29" s="468">
        <f t="shared" si="4"/>
        <v>0</v>
      </c>
      <c r="AY29" s="468">
        <f t="shared" si="5"/>
        <v>0</v>
      </c>
      <c r="AZ29" s="468">
        <f t="shared" si="6"/>
        <v>310522.80084775109</v>
      </c>
      <c r="BA29" s="468">
        <f t="shared" si="7"/>
        <v>0</v>
      </c>
      <c r="BB29" s="468">
        <f t="shared" si="8"/>
        <v>0</v>
      </c>
      <c r="BC29" s="468">
        <f t="shared" si="9"/>
        <v>0</v>
      </c>
      <c r="BD29" s="468">
        <f t="shared" si="10"/>
        <v>0</v>
      </c>
      <c r="BE29" s="468">
        <f t="shared" si="11"/>
        <v>238767.47660997277</v>
      </c>
      <c r="BF29" s="468">
        <f t="shared" si="12"/>
        <v>293697.78855842206</v>
      </c>
      <c r="BG29" s="469">
        <f t="shared" si="13"/>
        <v>1064777.0411361395</v>
      </c>
      <c r="BI29" s="467">
        <f t="shared" si="14"/>
        <v>0</v>
      </c>
      <c r="BJ29" s="468">
        <f t="shared" si="15"/>
        <v>0</v>
      </c>
      <c r="BK29" s="468">
        <f t="shared" si="16"/>
        <v>0</v>
      </c>
      <c r="BL29" s="468">
        <f t="shared" si="17"/>
        <v>233575.47494065599</v>
      </c>
      <c r="BM29" s="468">
        <f t="shared" si="18"/>
        <v>0</v>
      </c>
      <c r="BN29" s="468">
        <f t="shared" si="19"/>
        <v>0</v>
      </c>
      <c r="BO29" s="468">
        <f t="shared" si="20"/>
        <v>327024.86969280295</v>
      </c>
      <c r="BP29" s="468">
        <f t="shared" si="21"/>
        <v>0</v>
      </c>
      <c r="BQ29" s="468">
        <f t="shared" si="22"/>
        <v>0</v>
      </c>
      <c r="BR29" s="468">
        <f t="shared" si="23"/>
        <v>0</v>
      </c>
      <c r="BS29" s="468">
        <f t="shared" si="24"/>
        <v>0</v>
      </c>
      <c r="BT29" s="468">
        <f t="shared" si="25"/>
        <v>183758.14984329356</v>
      </c>
      <c r="BU29" s="468">
        <f t="shared" si="26"/>
        <v>226061.667770375</v>
      </c>
      <c r="BV29" s="469">
        <f t="shared" si="27"/>
        <v>970420.1622471275</v>
      </c>
      <c r="BX29" s="614"/>
      <c r="BY29" s="777"/>
      <c r="BZ29" s="614"/>
      <c r="CA29" s="777"/>
    </row>
    <row r="30" spans="2:79" x14ac:dyDescent="0.2">
      <c r="B30" s="634" t="str">
        <f t="shared" si="28"/>
        <v>Low voltage medium KW 1 rate (mandatory)</v>
      </c>
      <c r="C30" s="464" t="str">
        <f>Est2018DistRev!B30</f>
        <v>Low voltage medium KW 1 rate (mandatory)</v>
      </c>
      <c r="D30" s="701">
        <v>0</v>
      </c>
      <c r="E30" s="702">
        <v>0</v>
      </c>
      <c r="F30" s="702">
        <v>0</v>
      </c>
      <c r="G30" s="702">
        <v>3.5</v>
      </c>
      <c r="H30" s="702">
        <v>0</v>
      </c>
      <c r="I30" s="702">
        <v>0</v>
      </c>
      <c r="J30" s="702">
        <v>3.5</v>
      </c>
      <c r="K30" s="702">
        <v>0</v>
      </c>
      <c r="L30" s="702">
        <v>0</v>
      </c>
      <c r="M30" s="702">
        <v>0</v>
      </c>
      <c r="N30" s="702">
        <v>0</v>
      </c>
      <c r="O30" s="702">
        <v>39.619999999999997</v>
      </c>
      <c r="P30" s="703">
        <v>26.41</v>
      </c>
      <c r="R30" s="641">
        <f>Est2018DistRev!D30</f>
        <v>0</v>
      </c>
      <c r="S30" s="642">
        <f>Est2018DistRev!E30</f>
        <v>5.657</v>
      </c>
      <c r="T30" s="642">
        <f>Est2018DistRev!F30</f>
        <v>5.657</v>
      </c>
      <c r="U30" s="642">
        <f>Est2018DistRev!G30</f>
        <v>5.657</v>
      </c>
      <c r="V30" s="642">
        <f>Est2018DistRev!H30</f>
        <v>5.657</v>
      </c>
      <c r="W30" s="642">
        <f>Est2018DistRev!I30</f>
        <v>5.657</v>
      </c>
      <c r="X30" s="642">
        <f>Est2018DistRev!J30</f>
        <v>5.657</v>
      </c>
      <c r="Y30" s="642">
        <f>Est2018DistRev!K30</f>
        <v>5.657</v>
      </c>
      <c r="Z30" s="642">
        <f>Est2018DistRev!L30</f>
        <v>5.657</v>
      </c>
      <c r="AA30" s="642">
        <f>Est2018DistRev!M30</f>
        <v>0</v>
      </c>
      <c r="AB30" s="642">
        <f>Est2018DistRev!N30</f>
        <v>0</v>
      </c>
      <c r="AC30" s="642">
        <f>Est2018DistRev!O30</f>
        <v>18.954999999999998</v>
      </c>
      <c r="AD30" s="643">
        <f>Est2018DistRev!P30</f>
        <v>12.635999999999999</v>
      </c>
      <c r="AF30" s="704">
        <v>2660202.422626602</v>
      </c>
      <c r="AG30" s="707">
        <v>0</v>
      </c>
      <c r="AH30" s="707">
        <v>0</v>
      </c>
      <c r="AI30" s="707">
        <v>283591412.6637975</v>
      </c>
      <c r="AJ30" s="707">
        <v>0</v>
      </c>
      <c r="AK30" s="707">
        <v>0</v>
      </c>
      <c r="AL30" s="707">
        <v>392448914.09896255</v>
      </c>
      <c r="AM30" s="707">
        <v>0</v>
      </c>
      <c r="AN30" s="707">
        <v>0</v>
      </c>
      <c r="AO30" s="707">
        <v>0</v>
      </c>
      <c r="AP30" s="707">
        <v>0</v>
      </c>
      <c r="AQ30" s="707">
        <v>27235556.85946399</v>
      </c>
      <c r="AR30" s="708">
        <v>49015175.380939752</v>
      </c>
      <c r="AT30" s="467">
        <f t="shared" si="0"/>
        <v>0</v>
      </c>
      <c r="AU30" s="468">
        <f t="shared" si="1"/>
        <v>0</v>
      </c>
      <c r="AV30" s="468">
        <f t="shared" si="2"/>
        <v>0</v>
      </c>
      <c r="AW30" s="468">
        <f t="shared" si="3"/>
        <v>9925699.4432329126</v>
      </c>
      <c r="AX30" s="468">
        <f t="shared" si="4"/>
        <v>0</v>
      </c>
      <c r="AY30" s="468">
        <f t="shared" si="5"/>
        <v>0</v>
      </c>
      <c r="AZ30" s="468">
        <f t="shared" si="6"/>
        <v>13735711.993463691</v>
      </c>
      <c r="BA30" s="468">
        <f t="shared" si="7"/>
        <v>0</v>
      </c>
      <c r="BB30" s="468">
        <f t="shared" si="8"/>
        <v>0</v>
      </c>
      <c r="BC30" s="468">
        <f t="shared" si="9"/>
        <v>0</v>
      </c>
      <c r="BD30" s="468">
        <f t="shared" si="10"/>
        <v>0</v>
      </c>
      <c r="BE30" s="468">
        <f t="shared" si="11"/>
        <v>10790727.627719633</v>
      </c>
      <c r="BF30" s="468">
        <f t="shared" si="12"/>
        <v>12944907.818106189</v>
      </c>
      <c r="BG30" s="469">
        <f t="shared" si="13"/>
        <v>47397046.882522427</v>
      </c>
      <c r="BI30" s="467">
        <f t="shared" si="14"/>
        <v>0</v>
      </c>
      <c r="BJ30" s="468">
        <f t="shared" si="15"/>
        <v>0</v>
      </c>
      <c r="BK30" s="468">
        <f t="shared" si="16"/>
        <v>0</v>
      </c>
      <c r="BL30" s="468">
        <f t="shared" si="17"/>
        <v>16042766.214391025</v>
      </c>
      <c r="BM30" s="468">
        <f t="shared" si="18"/>
        <v>0</v>
      </c>
      <c r="BN30" s="468">
        <f t="shared" si="19"/>
        <v>0</v>
      </c>
      <c r="BO30" s="468">
        <f t="shared" si="20"/>
        <v>22200835.070578311</v>
      </c>
      <c r="BP30" s="468">
        <f t="shared" si="21"/>
        <v>0</v>
      </c>
      <c r="BQ30" s="468">
        <f t="shared" si="22"/>
        <v>0</v>
      </c>
      <c r="BR30" s="468">
        <f t="shared" si="23"/>
        <v>0</v>
      </c>
      <c r="BS30" s="468">
        <f t="shared" si="24"/>
        <v>0</v>
      </c>
      <c r="BT30" s="468">
        <f t="shared" si="25"/>
        <v>5162499.8027113993</v>
      </c>
      <c r="BU30" s="468">
        <f t="shared" si="26"/>
        <v>6193557.5611355472</v>
      </c>
      <c r="BV30" s="469">
        <f t="shared" si="27"/>
        <v>49599658.64881628</v>
      </c>
      <c r="BX30" s="614"/>
      <c r="BY30" s="777"/>
      <c r="BZ30" s="614"/>
      <c r="CA30" s="777"/>
    </row>
    <row r="31" spans="2:79" x14ac:dyDescent="0.2">
      <c r="B31" s="464"/>
      <c r="C31" s="464"/>
      <c r="D31" s="470"/>
      <c r="E31" s="471"/>
      <c r="F31" s="471"/>
      <c r="G31" s="471"/>
      <c r="H31" s="471"/>
      <c r="I31" s="471"/>
      <c r="J31" s="471"/>
      <c r="K31" s="471"/>
      <c r="L31" s="471"/>
      <c r="M31" s="471"/>
      <c r="N31" s="471"/>
      <c r="O31" s="471"/>
      <c r="P31" s="472"/>
      <c r="R31" s="470"/>
      <c r="S31" s="471"/>
      <c r="T31" s="471"/>
      <c r="U31" s="471"/>
      <c r="V31" s="471"/>
      <c r="W31" s="471"/>
      <c r="X31" s="471"/>
      <c r="Y31" s="471"/>
      <c r="Z31" s="471"/>
      <c r="AA31" s="471"/>
      <c r="AB31" s="471"/>
      <c r="AC31" s="471"/>
      <c r="AD31" s="472"/>
      <c r="AF31" s="466"/>
      <c r="AG31" s="474"/>
      <c r="AH31" s="474"/>
      <c r="AI31" s="474"/>
      <c r="AJ31" s="474"/>
      <c r="AK31" s="474"/>
      <c r="AL31" s="474"/>
      <c r="AM31" s="474"/>
      <c r="AN31" s="474"/>
      <c r="AO31" s="474"/>
      <c r="AP31" s="474"/>
      <c r="AQ31" s="474"/>
      <c r="AR31" s="475"/>
      <c r="AT31" s="467">
        <f t="shared" si="0"/>
        <v>0</v>
      </c>
      <c r="AU31" s="468">
        <f t="shared" si="1"/>
        <v>0</v>
      </c>
      <c r="AV31" s="468">
        <f t="shared" si="2"/>
        <v>0</v>
      </c>
      <c r="AW31" s="468">
        <f t="shared" si="3"/>
        <v>0</v>
      </c>
      <c r="AX31" s="468">
        <f t="shared" si="4"/>
        <v>0</v>
      </c>
      <c r="AY31" s="468">
        <f t="shared" si="5"/>
        <v>0</v>
      </c>
      <c r="AZ31" s="468">
        <f t="shared" si="6"/>
        <v>0</v>
      </c>
      <c r="BA31" s="468">
        <f t="shared" si="7"/>
        <v>0</v>
      </c>
      <c r="BB31" s="468">
        <f t="shared" si="8"/>
        <v>0</v>
      </c>
      <c r="BC31" s="468">
        <f t="shared" si="9"/>
        <v>0</v>
      </c>
      <c r="BD31" s="468">
        <f t="shared" si="10"/>
        <v>0</v>
      </c>
      <c r="BE31" s="468">
        <f t="shared" si="11"/>
        <v>0</v>
      </c>
      <c r="BF31" s="468">
        <f t="shared" si="12"/>
        <v>0</v>
      </c>
      <c r="BG31" s="469">
        <f t="shared" si="13"/>
        <v>0</v>
      </c>
      <c r="BI31" s="467">
        <f t="shared" si="14"/>
        <v>0</v>
      </c>
      <c r="BJ31" s="468">
        <f t="shared" si="15"/>
        <v>0</v>
      </c>
      <c r="BK31" s="468">
        <f t="shared" si="16"/>
        <v>0</v>
      </c>
      <c r="BL31" s="468">
        <f t="shared" si="17"/>
        <v>0</v>
      </c>
      <c r="BM31" s="468">
        <f t="shared" si="18"/>
        <v>0</v>
      </c>
      <c r="BN31" s="468">
        <f t="shared" si="19"/>
        <v>0</v>
      </c>
      <c r="BO31" s="468">
        <f t="shared" si="20"/>
        <v>0</v>
      </c>
      <c r="BP31" s="468">
        <f t="shared" si="21"/>
        <v>0</v>
      </c>
      <c r="BQ31" s="468">
        <f t="shared" si="22"/>
        <v>0</v>
      </c>
      <c r="BR31" s="468">
        <f t="shared" si="23"/>
        <v>0</v>
      </c>
      <c r="BS31" s="468">
        <f t="shared" si="24"/>
        <v>0</v>
      </c>
      <c r="BT31" s="468">
        <f t="shared" si="25"/>
        <v>0</v>
      </c>
      <c r="BU31" s="468">
        <f t="shared" si="26"/>
        <v>0</v>
      </c>
      <c r="BV31" s="469">
        <f t="shared" si="27"/>
        <v>0</v>
      </c>
    </row>
    <row r="32" spans="2:79" x14ac:dyDescent="0.2">
      <c r="B32" s="464"/>
      <c r="C32" s="464"/>
      <c r="D32" s="470"/>
      <c r="E32" s="471"/>
      <c r="F32" s="471"/>
      <c r="G32" s="471"/>
      <c r="H32" s="471"/>
      <c r="I32" s="471"/>
      <c r="J32" s="471"/>
      <c r="K32" s="471"/>
      <c r="L32" s="471"/>
      <c r="M32" s="471"/>
      <c r="N32" s="471"/>
      <c r="O32" s="471"/>
      <c r="P32" s="472"/>
      <c r="R32" s="470"/>
      <c r="S32" s="471"/>
      <c r="T32" s="471"/>
      <c r="U32" s="471"/>
      <c r="V32" s="471"/>
      <c r="W32" s="471"/>
      <c r="X32" s="471"/>
      <c r="Y32" s="471"/>
      <c r="Z32" s="471"/>
      <c r="AA32" s="471"/>
      <c r="AB32" s="471"/>
      <c r="AC32" s="471"/>
      <c r="AD32" s="472"/>
      <c r="AF32" s="466"/>
      <c r="AG32" s="474"/>
      <c r="AH32" s="474"/>
      <c r="AI32" s="474"/>
      <c r="AJ32" s="474"/>
      <c r="AK32" s="474"/>
      <c r="AL32" s="474"/>
      <c r="AM32" s="474"/>
      <c r="AN32" s="474"/>
      <c r="AO32" s="474"/>
      <c r="AP32" s="474"/>
      <c r="AQ32" s="474"/>
      <c r="AR32" s="475"/>
      <c r="AT32" s="467">
        <f t="shared" si="0"/>
        <v>0</v>
      </c>
      <c r="AU32" s="468">
        <f t="shared" si="1"/>
        <v>0</v>
      </c>
      <c r="AV32" s="468">
        <f t="shared" si="2"/>
        <v>0</v>
      </c>
      <c r="AW32" s="468">
        <f t="shared" si="3"/>
        <v>0</v>
      </c>
      <c r="AX32" s="468">
        <f t="shared" si="4"/>
        <v>0</v>
      </c>
      <c r="AY32" s="468">
        <f t="shared" si="5"/>
        <v>0</v>
      </c>
      <c r="AZ32" s="468">
        <f t="shared" si="6"/>
        <v>0</v>
      </c>
      <c r="BA32" s="468">
        <f t="shared" si="7"/>
        <v>0</v>
      </c>
      <c r="BB32" s="468">
        <f t="shared" si="8"/>
        <v>0</v>
      </c>
      <c r="BC32" s="468">
        <f t="shared" si="9"/>
        <v>0</v>
      </c>
      <c r="BD32" s="468">
        <f t="shared" si="10"/>
        <v>0</v>
      </c>
      <c r="BE32" s="468">
        <f t="shared" si="11"/>
        <v>0</v>
      </c>
      <c r="BF32" s="468">
        <f t="shared" si="12"/>
        <v>0</v>
      </c>
      <c r="BG32" s="469">
        <f t="shared" si="13"/>
        <v>0</v>
      </c>
      <c r="BI32" s="467">
        <f t="shared" si="14"/>
        <v>0</v>
      </c>
      <c r="BJ32" s="468">
        <f t="shared" si="15"/>
        <v>0</v>
      </c>
      <c r="BK32" s="468">
        <f t="shared" si="16"/>
        <v>0</v>
      </c>
      <c r="BL32" s="468">
        <f t="shared" si="17"/>
        <v>0</v>
      </c>
      <c r="BM32" s="468">
        <f t="shared" si="18"/>
        <v>0</v>
      </c>
      <c r="BN32" s="468">
        <f t="shared" si="19"/>
        <v>0</v>
      </c>
      <c r="BO32" s="468">
        <f t="shared" si="20"/>
        <v>0</v>
      </c>
      <c r="BP32" s="468">
        <f t="shared" si="21"/>
        <v>0</v>
      </c>
      <c r="BQ32" s="468">
        <f t="shared" si="22"/>
        <v>0</v>
      </c>
      <c r="BR32" s="468">
        <f t="shared" si="23"/>
        <v>0</v>
      </c>
      <c r="BS32" s="468">
        <f t="shared" si="24"/>
        <v>0</v>
      </c>
      <c r="BT32" s="468">
        <f t="shared" si="25"/>
        <v>0</v>
      </c>
      <c r="BU32" s="468">
        <f t="shared" si="26"/>
        <v>0</v>
      </c>
      <c r="BV32" s="469">
        <f t="shared" si="27"/>
        <v>0</v>
      </c>
    </row>
    <row r="33" spans="2:74" x14ac:dyDescent="0.2">
      <c r="B33" s="464"/>
      <c r="C33" s="464"/>
      <c r="D33" s="470"/>
      <c r="E33" s="471"/>
      <c r="F33" s="471"/>
      <c r="G33" s="471"/>
      <c r="H33" s="471"/>
      <c r="I33" s="471"/>
      <c r="J33" s="471"/>
      <c r="K33" s="471"/>
      <c r="L33" s="471"/>
      <c r="M33" s="471"/>
      <c r="N33" s="471"/>
      <c r="O33" s="471"/>
      <c r="P33" s="472"/>
      <c r="R33" s="478"/>
      <c r="S33" s="473"/>
      <c r="T33" s="473"/>
      <c r="U33" s="473"/>
      <c r="V33" s="473"/>
      <c r="W33" s="473"/>
      <c r="X33" s="473"/>
      <c r="Y33" s="473"/>
      <c r="Z33" s="473"/>
      <c r="AA33" s="473"/>
      <c r="AB33" s="473"/>
      <c r="AC33" s="473"/>
      <c r="AD33" s="472"/>
      <c r="AF33" s="466"/>
      <c r="AG33" s="474"/>
      <c r="AH33" s="474"/>
      <c r="AI33" s="474"/>
      <c r="AJ33" s="474"/>
      <c r="AK33" s="474"/>
      <c r="AL33" s="474"/>
      <c r="AM33" s="474"/>
      <c r="AN33" s="474"/>
      <c r="AO33" s="474"/>
      <c r="AP33" s="474"/>
      <c r="AQ33" s="474"/>
      <c r="AR33" s="475"/>
      <c r="AT33" s="467">
        <f t="shared" si="0"/>
        <v>0</v>
      </c>
      <c r="AU33" s="468">
        <f t="shared" si="1"/>
        <v>0</v>
      </c>
      <c r="AV33" s="468">
        <f t="shared" si="2"/>
        <v>0</v>
      </c>
      <c r="AW33" s="468">
        <f t="shared" si="3"/>
        <v>0</v>
      </c>
      <c r="AX33" s="468">
        <f t="shared" si="4"/>
        <v>0</v>
      </c>
      <c r="AY33" s="468">
        <f t="shared" si="5"/>
        <v>0</v>
      </c>
      <c r="AZ33" s="468">
        <f t="shared" si="6"/>
        <v>0</v>
      </c>
      <c r="BA33" s="468">
        <f t="shared" si="7"/>
        <v>0</v>
      </c>
      <c r="BB33" s="468">
        <f t="shared" si="8"/>
        <v>0</v>
      </c>
      <c r="BC33" s="468">
        <f t="shared" si="9"/>
        <v>0</v>
      </c>
      <c r="BD33" s="468">
        <f t="shared" si="10"/>
        <v>0</v>
      </c>
      <c r="BE33" s="468">
        <f t="shared" si="11"/>
        <v>0</v>
      </c>
      <c r="BF33" s="468">
        <f t="shared" si="12"/>
        <v>0</v>
      </c>
      <c r="BG33" s="469">
        <f t="shared" si="13"/>
        <v>0</v>
      </c>
      <c r="BI33" s="467">
        <f t="shared" si="14"/>
        <v>0</v>
      </c>
      <c r="BJ33" s="468">
        <f t="shared" si="15"/>
        <v>0</v>
      </c>
      <c r="BK33" s="468">
        <f t="shared" si="16"/>
        <v>0</v>
      </c>
      <c r="BL33" s="468">
        <f t="shared" si="17"/>
        <v>0</v>
      </c>
      <c r="BM33" s="468">
        <f t="shared" si="18"/>
        <v>0</v>
      </c>
      <c r="BN33" s="468">
        <f t="shared" si="19"/>
        <v>0</v>
      </c>
      <c r="BO33" s="468">
        <f t="shared" si="20"/>
        <v>0</v>
      </c>
      <c r="BP33" s="468">
        <f t="shared" si="21"/>
        <v>0</v>
      </c>
      <c r="BQ33" s="468">
        <f t="shared" si="22"/>
        <v>0</v>
      </c>
      <c r="BR33" s="468">
        <f t="shared" si="23"/>
        <v>0</v>
      </c>
      <c r="BS33" s="468">
        <f t="shared" si="24"/>
        <v>0</v>
      </c>
      <c r="BT33" s="468">
        <f t="shared" si="25"/>
        <v>0</v>
      </c>
      <c r="BU33" s="468">
        <f t="shared" si="26"/>
        <v>0</v>
      </c>
      <c r="BV33" s="469">
        <f t="shared" si="27"/>
        <v>0</v>
      </c>
    </row>
    <row r="34" spans="2:74" x14ac:dyDescent="0.2">
      <c r="B34" s="464"/>
      <c r="C34" s="464"/>
      <c r="D34" s="470"/>
      <c r="E34" s="471"/>
      <c r="F34" s="471"/>
      <c r="G34" s="471"/>
      <c r="H34" s="471"/>
      <c r="I34" s="471"/>
      <c r="J34" s="471"/>
      <c r="K34" s="471"/>
      <c r="L34" s="471"/>
      <c r="M34" s="471"/>
      <c r="N34" s="471"/>
      <c r="O34" s="471"/>
      <c r="P34" s="472"/>
      <c r="R34" s="478"/>
      <c r="S34" s="473"/>
      <c r="T34" s="473"/>
      <c r="U34" s="473"/>
      <c r="V34" s="473"/>
      <c r="W34" s="473"/>
      <c r="X34" s="473"/>
      <c r="Y34" s="473"/>
      <c r="Z34" s="473"/>
      <c r="AA34" s="473"/>
      <c r="AB34" s="473"/>
      <c r="AC34" s="473"/>
      <c r="AD34" s="472"/>
      <c r="AF34" s="466"/>
      <c r="AG34" s="474"/>
      <c r="AH34" s="474"/>
      <c r="AI34" s="474"/>
      <c r="AJ34" s="474"/>
      <c r="AK34" s="474"/>
      <c r="AL34" s="474"/>
      <c r="AM34" s="474"/>
      <c r="AN34" s="474"/>
      <c r="AO34" s="474"/>
      <c r="AP34" s="474"/>
      <c r="AQ34" s="474"/>
      <c r="AR34" s="475"/>
      <c r="AT34" s="467">
        <f t="shared" si="0"/>
        <v>0</v>
      </c>
      <c r="AU34" s="468">
        <f t="shared" si="1"/>
        <v>0</v>
      </c>
      <c r="AV34" s="468">
        <f t="shared" si="2"/>
        <v>0</v>
      </c>
      <c r="AW34" s="468">
        <f t="shared" si="3"/>
        <v>0</v>
      </c>
      <c r="AX34" s="468">
        <f t="shared" si="4"/>
        <v>0</v>
      </c>
      <c r="AY34" s="468">
        <f t="shared" si="5"/>
        <v>0</v>
      </c>
      <c r="AZ34" s="468">
        <f t="shared" si="6"/>
        <v>0</v>
      </c>
      <c r="BA34" s="468">
        <f t="shared" si="7"/>
        <v>0</v>
      </c>
      <c r="BB34" s="468">
        <f t="shared" si="8"/>
        <v>0</v>
      </c>
      <c r="BC34" s="468">
        <f t="shared" si="9"/>
        <v>0</v>
      </c>
      <c r="BD34" s="468">
        <f t="shared" si="10"/>
        <v>0</v>
      </c>
      <c r="BE34" s="468">
        <f t="shared" si="11"/>
        <v>0</v>
      </c>
      <c r="BF34" s="468">
        <f t="shared" si="12"/>
        <v>0</v>
      </c>
      <c r="BG34" s="469">
        <f t="shared" si="13"/>
        <v>0</v>
      </c>
      <c r="BI34" s="467">
        <f t="shared" si="14"/>
        <v>0</v>
      </c>
      <c r="BJ34" s="468">
        <f t="shared" si="15"/>
        <v>0</v>
      </c>
      <c r="BK34" s="468">
        <f t="shared" si="16"/>
        <v>0</v>
      </c>
      <c r="BL34" s="468">
        <f t="shared" si="17"/>
        <v>0</v>
      </c>
      <c r="BM34" s="468">
        <f t="shared" si="18"/>
        <v>0</v>
      </c>
      <c r="BN34" s="468">
        <f t="shared" si="19"/>
        <v>0</v>
      </c>
      <c r="BO34" s="468">
        <f t="shared" si="20"/>
        <v>0</v>
      </c>
      <c r="BP34" s="468">
        <f t="shared" si="21"/>
        <v>0</v>
      </c>
      <c r="BQ34" s="468">
        <f t="shared" si="22"/>
        <v>0</v>
      </c>
      <c r="BR34" s="468">
        <f t="shared" si="23"/>
        <v>0</v>
      </c>
      <c r="BS34" s="468">
        <f t="shared" si="24"/>
        <v>0</v>
      </c>
      <c r="BT34" s="468">
        <f t="shared" si="25"/>
        <v>0</v>
      </c>
      <c r="BU34" s="468">
        <f t="shared" si="26"/>
        <v>0</v>
      </c>
      <c r="BV34" s="469">
        <f t="shared" si="27"/>
        <v>0</v>
      </c>
    </row>
    <row r="35" spans="2:74" x14ac:dyDescent="0.2">
      <c r="B35" s="464"/>
      <c r="C35" s="464"/>
      <c r="D35" s="470"/>
      <c r="E35" s="471"/>
      <c r="F35" s="471"/>
      <c r="G35" s="471"/>
      <c r="H35" s="471"/>
      <c r="I35" s="471"/>
      <c r="J35" s="471"/>
      <c r="K35" s="471"/>
      <c r="L35" s="471"/>
      <c r="M35" s="471"/>
      <c r="N35" s="471"/>
      <c r="O35" s="471"/>
      <c r="P35" s="472"/>
      <c r="R35" s="478"/>
      <c r="S35" s="473"/>
      <c r="T35" s="473"/>
      <c r="U35" s="473"/>
      <c r="V35" s="473"/>
      <c r="W35" s="473"/>
      <c r="X35" s="473"/>
      <c r="Y35" s="473"/>
      <c r="Z35" s="473"/>
      <c r="AA35" s="473"/>
      <c r="AB35" s="473"/>
      <c r="AC35" s="473"/>
      <c r="AD35" s="472"/>
      <c r="AF35" s="466"/>
      <c r="AG35" s="474"/>
      <c r="AH35" s="474"/>
      <c r="AI35" s="474"/>
      <c r="AJ35" s="474"/>
      <c r="AK35" s="474"/>
      <c r="AL35" s="474"/>
      <c r="AM35" s="474"/>
      <c r="AN35" s="474"/>
      <c r="AO35" s="474"/>
      <c r="AP35" s="474"/>
      <c r="AQ35" s="474"/>
      <c r="AR35" s="475"/>
      <c r="AT35" s="467">
        <f t="shared" si="0"/>
        <v>0</v>
      </c>
      <c r="AU35" s="468">
        <f t="shared" si="1"/>
        <v>0</v>
      </c>
      <c r="AV35" s="468">
        <f t="shared" si="2"/>
        <v>0</v>
      </c>
      <c r="AW35" s="468">
        <f t="shared" si="3"/>
        <v>0</v>
      </c>
      <c r="AX35" s="468">
        <f t="shared" si="4"/>
        <v>0</v>
      </c>
      <c r="AY35" s="468">
        <f t="shared" si="5"/>
        <v>0</v>
      </c>
      <c r="AZ35" s="468">
        <f t="shared" si="6"/>
        <v>0</v>
      </c>
      <c r="BA35" s="468">
        <f t="shared" si="7"/>
        <v>0</v>
      </c>
      <c r="BB35" s="468">
        <f t="shared" si="8"/>
        <v>0</v>
      </c>
      <c r="BC35" s="468">
        <f t="shared" si="9"/>
        <v>0</v>
      </c>
      <c r="BD35" s="468">
        <f t="shared" si="10"/>
        <v>0</v>
      </c>
      <c r="BE35" s="468">
        <f t="shared" si="11"/>
        <v>0</v>
      </c>
      <c r="BF35" s="468">
        <f t="shared" si="12"/>
        <v>0</v>
      </c>
      <c r="BG35" s="469">
        <f t="shared" si="13"/>
        <v>0</v>
      </c>
      <c r="BI35" s="467">
        <f t="shared" si="14"/>
        <v>0</v>
      </c>
      <c r="BJ35" s="468">
        <f t="shared" si="15"/>
        <v>0</v>
      </c>
      <c r="BK35" s="468">
        <f t="shared" si="16"/>
        <v>0</v>
      </c>
      <c r="BL35" s="468">
        <f t="shared" si="17"/>
        <v>0</v>
      </c>
      <c r="BM35" s="468">
        <f t="shared" si="18"/>
        <v>0</v>
      </c>
      <c r="BN35" s="468">
        <f t="shared" si="19"/>
        <v>0</v>
      </c>
      <c r="BO35" s="468">
        <f t="shared" si="20"/>
        <v>0</v>
      </c>
      <c r="BP35" s="468">
        <f t="shared" si="21"/>
        <v>0</v>
      </c>
      <c r="BQ35" s="468">
        <f t="shared" si="22"/>
        <v>0</v>
      </c>
      <c r="BR35" s="468">
        <f t="shared" si="23"/>
        <v>0</v>
      </c>
      <c r="BS35" s="468">
        <f t="shared" si="24"/>
        <v>0</v>
      </c>
      <c r="BT35" s="468">
        <f t="shared" si="25"/>
        <v>0</v>
      </c>
      <c r="BU35" s="468">
        <f t="shared" si="26"/>
        <v>0</v>
      </c>
      <c r="BV35" s="469">
        <f t="shared" si="27"/>
        <v>0</v>
      </c>
    </row>
    <row r="36" spans="2:74" x14ac:dyDescent="0.2">
      <c r="B36" s="464"/>
      <c r="C36" s="464"/>
      <c r="D36" s="470"/>
      <c r="E36" s="471"/>
      <c r="F36" s="471"/>
      <c r="G36" s="471"/>
      <c r="H36" s="471"/>
      <c r="I36" s="471"/>
      <c r="J36" s="471"/>
      <c r="K36" s="471"/>
      <c r="L36" s="471"/>
      <c r="M36" s="471"/>
      <c r="N36" s="471"/>
      <c r="O36" s="471"/>
      <c r="P36" s="472"/>
      <c r="R36" s="478"/>
      <c r="S36" s="473"/>
      <c r="T36" s="473"/>
      <c r="U36" s="473"/>
      <c r="V36" s="473"/>
      <c r="W36" s="473"/>
      <c r="X36" s="473"/>
      <c r="Y36" s="473"/>
      <c r="Z36" s="473"/>
      <c r="AA36" s="473"/>
      <c r="AB36" s="473"/>
      <c r="AC36" s="473"/>
      <c r="AD36" s="472"/>
      <c r="AF36" s="466"/>
      <c r="AG36" s="474"/>
      <c r="AH36" s="474"/>
      <c r="AI36" s="474"/>
      <c r="AJ36" s="474"/>
      <c r="AK36" s="474"/>
      <c r="AL36" s="474"/>
      <c r="AM36" s="474"/>
      <c r="AN36" s="474"/>
      <c r="AO36" s="474"/>
      <c r="AP36" s="474"/>
      <c r="AQ36" s="474"/>
      <c r="AR36" s="475"/>
      <c r="AT36" s="467">
        <f t="shared" si="0"/>
        <v>0</v>
      </c>
      <c r="AU36" s="468">
        <f t="shared" si="1"/>
        <v>0</v>
      </c>
      <c r="AV36" s="468">
        <f t="shared" si="2"/>
        <v>0</v>
      </c>
      <c r="AW36" s="468">
        <f t="shared" si="3"/>
        <v>0</v>
      </c>
      <c r="AX36" s="468">
        <f t="shared" si="4"/>
        <v>0</v>
      </c>
      <c r="AY36" s="468">
        <f t="shared" si="5"/>
        <v>0</v>
      </c>
      <c r="AZ36" s="468">
        <f t="shared" si="6"/>
        <v>0</v>
      </c>
      <c r="BA36" s="468">
        <f t="shared" si="7"/>
        <v>0</v>
      </c>
      <c r="BB36" s="468">
        <f t="shared" si="8"/>
        <v>0</v>
      </c>
      <c r="BC36" s="468">
        <f t="shared" si="9"/>
        <v>0</v>
      </c>
      <c r="BD36" s="468">
        <f t="shared" si="10"/>
        <v>0</v>
      </c>
      <c r="BE36" s="468">
        <f t="shared" si="11"/>
        <v>0</v>
      </c>
      <c r="BF36" s="468">
        <f t="shared" si="12"/>
        <v>0</v>
      </c>
      <c r="BG36" s="469">
        <f t="shared" si="13"/>
        <v>0</v>
      </c>
      <c r="BI36" s="467">
        <f t="shared" si="14"/>
        <v>0</v>
      </c>
      <c r="BJ36" s="468">
        <f t="shared" si="15"/>
        <v>0</v>
      </c>
      <c r="BK36" s="468">
        <f t="shared" si="16"/>
        <v>0</v>
      </c>
      <c r="BL36" s="468">
        <f t="shared" si="17"/>
        <v>0</v>
      </c>
      <c r="BM36" s="468">
        <f t="shared" si="18"/>
        <v>0</v>
      </c>
      <c r="BN36" s="468">
        <f t="shared" si="19"/>
        <v>0</v>
      </c>
      <c r="BO36" s="468">
        <f t="shared" si="20"/>
        <v>0</v>
      </c>
      <c r="BP36" s="468">
        <f t="shared" si="21"/>
        <v>0</v>
      </c>
      <c r="BQ36" s="468">
        <f t="shared" si="22"/>
        <v>0</v>
      </c>
      <c r="BR36" s="468">
        <f t="shared" si="23"/>
        <v>0</v>
      </c>
      <c r="BS36" s="468">
        <f t="shared" si="24"/>
        <v>0</v>
      </c>
      <c r="BT36" s="468">
        <f t="shared" si="25"/>
        <v>0</v>
      </c>
      <c r="BU36" s="468">
        <f t="shared" si="26"/>
        <v>0</v>
      </c>
      <c r="BV36" s="469">
        <f t="shared" si="27"/>
        <v>0</v>
      </c>
    </row>
    <row r="37" spans="2:74" x14ac:dyDescent="0.2">
      <c r="B37" s="464"/>
      <c r="C37" s="464"/>
      <c r="D37" s="470"/>
      <c r="E37" s="471"/>
      <c r="F37" s="471"/>
      <c r="G37" s="471"/>
      <c r="H37" s="471"/>
      <c r="I37" s="471"/>
      <c r="J37" s="471"/>
      <c r="K37" s="471"/>
      <c r="L37" s="471"/>
      <c r="M37" s="471"/>
      <c r="N37" s="471"/>
      <c r="O37" s="471"/>
      <c r="P37" s="472"/>
      <c r="R37" s="478"/>
      <c r="S37" s="473"/>
      <c r="T37" s="473"/>
      <c r="U37" s="473"/>
      <c r="V37" s="473"/>
      <c r="W37" s="473"/>
      <c r="X37" s="473"/>
      <c r="Y37" s="473"/>
      <c r="Z37" s="473"/>
      <c r="AA37" s="473"/>
      <c r="AB37" s="473"/>
      <c r="AC37" s="473"/>
      <c r="AD37" s="472"/>
      <c r="AF37" s="466"/>
      <c r="AG37" s="474"/>
      <c r="AH37" s="474"/>
      <c r="AI37" s="474"/>
      <c r="AJ37" s="474"/>
      <c r="AK37" s="474"/>
      <c r="AL37" s="474"/>
      <c r="AM37" s="474"/>
      <c r="AN37" s="474"/>
      <c r="AO37" s="474"/>
      <c r="AP37" s="474"/>
      <c r="AQ37" s="474"/>
      <c r="AR37" s="475"/>
      <c r="AT37" s="467">
        <f t="shared" si="0"/>
        <v>0</v>
      </c>
      <c r="AU37" s="468">
        <f t="shared" si="1"/>
        <v>0</v>
      </c>
      <c r="AV37" s="468">
        <f t="shared" si="2"/>
        <v>0</v>
      </c>
      <c r="AW37" s="468">
        <f t="shared" si="3"/>
        <v>0</v>
      </c>
      <c r="AX37" s="468">
        <f t="shared" si="4"/>
        <v>0</v>
      </c>
      <c r="AY37" s="468">
        <f t="shared" si="5"/>
        <v>0</v>
      </c>
      <c r="AZ37" s="468">
        <f t="shared" si="6"/>
        <v>0</v>
      </c>
      <c r="BA37" s="468">
        <f t="shared" si="7"/>
        <v>0</v>
      </c>
      <c r="BB37" s="468">
        <f t="shared" si="8"/>
        <v>0</v>
      </c>
      <c r="BC37" s="468">
        <f t="shared" si="9"/>
        <v>0</v>
      </c>
      <c r="BD37" s="468">
        <f t="shared" si="10"/>
        <v>0</v>
      </c>
      <c r="BE37" s="468">
        <f t="shared" si="11"/>
        <v>0</v>
      </c>
      <c r="BF37" s="468">
        <f t="shared" si="12"/>
        <v>0</v>
      </c>
      <c r="BG37" s="469">
        <f t="shared" si="13"/>
        <v>0</v>
      </c>
      <c r="BI37" s="467">
        <f t="shared" si="14"/>
        <v>0</v>
      </c>
      <c r="BJ37" s="468">
        <f t="shared" si="15"/>
        <v>0</v>
      </c>
      <c r="BK37" s="468">
        <f t="shared" si="16"/>
        <v>0</v>
      </c>
      <c r="BL37" s="468">
        <f t="shared" si="17"/>
        <v>0</v>
      </c>
      <c r="BM37" s="468">
        <f t="shared" si="18"/>
        <v>0</v>
      </c>
      <c r="BN37" s="468">
        <f t="shared" si="19"/>
        <v>0</v>
      </c>
      <c r="BO37" s="468">
        <f t="shared" si="20"/>
        <v>0</v>
      </c>
      <c r="BP37" s="468">
        <f t="shared" si="21"/>
        <v>0</v>
      </c>
      <c r="BQ37" s="468">
        <f t="shared" si="22"/>
        <v>0</v>
      </c>
      <c r="BR37" s="468">
        <f t="shared" si="23"/>
        <v>0</v>
      </c>
      <c r="BS37" s="468">
        <f t="shared" si="24"/>
        <v>0</v>
      </c>
      <c r="BT37" s="468">
        <f t="shared" si="25"/>
        <v>0</v>
      </c>
      <c r="BU37" s="468">
        <f t="shared" si="26"/>
        <v>0</v>
      </c>
      <c r="BV37" s="469">
        <f t="shared" si="27"/>
        <v>0</v>
      </c>
    </row>
    <row r="38" spans="2:74" x14ac:dyDescent="0.2">
      <c r="B38" s="464"/>
      <c r="C38" s="464"/>
      <c r="D38" s="470"/>
      <c r="E38" s="471"/>
      <c r="F38" s="471"/>
      <c r="G38" s="471"/>
      <c r="H38" s="471"/>
      <c r="I38" s="471"/>
      <c r="J38" s="471"/>
      <c r="K38" s="471"/>
      <c r="L38" s="471"/>
      <c r="M38" s="471"/>
      <c r="N38" s="471"/>
      <c r="O38" s="471"/>
      <c r="P38" s="472"/>
      <c r="R38" s="478"/>
      <c r="S38" s="473"/>
      <c r="T38" s="473"/>
      <c r="U38" s="473"/>
      <c r="V38" s="473"/>
      <c r="W38" s="473"/>
      <c r="X38" s="473"/>
      <c r="Y38" s="473"/>
      <c r="Z38" s="473"/>
      <c r="AA38" s="473"/>
      <c r="AB38" s="473"/>
      <c r="AC38" s="473"/>
      <c r="AD38" s="472"/>
      <c r="AF38" s="466"/>
      <c r="AG38" s="474"/>
      <c r="AH38" s="474"/>
      <c r="AI38" s="474"/>
      <c r="AJ38" s="474"/>
      <c r="AK38" s="474"/>
      <c r="AL38" s="474"/>
      <c r="AM38" s="474"/>
      <c r="AN38" s="474"/>
      <c r="AO38" s="474"/>
      <c r="AP38" s="474"/>
      <c r="AQ38" s="474"/>
      <c r="AR38" s="475"/>
      <c r="AT38" s="467">
        <f t="shared" si="0"/>
        <v>0</v>
      </c>
      <c r="AU38" s="468">
        <f t="shared" si="1"/>
        <v>0</v>
      </c>
      <c r="AV38" s="468">
        <f t="shared" si="2"/>
        <v>0</v>
      </c>
      <c r="AW38" s="468">
        <f t="shared" si="3"/>
        <v>0</v>
      </c>
      <c r="AX38" s="468">
        <f t="shared" si="4"/>
        <v>0</v>
      </c>
      <c r="AY38" s="468">
        <f t="shared" si="5"/>
        <v>0</v>
      </c>
      <c r="AZ38" s="468">
        <f t="shared" si="6"/>
        <v>0</v>
      </c>
      <c r="BA38" s="468">
        <f t="shared" si="7"/>
        <v>0</v>
      </c>
      <c r="BB38" s="468">
        <f t="shared" si="8"/>
        <v>0</v>
      </c>
      <c r="BC38" s="468">
        <f t="shared" si="9"/>
        <v>0</v>
      </c>
      <c r="BD38" s="468">
        <f t="shared" si="10"/>
        <v>0</v>
      </c>
      <c r="BE38" s="468">
        <f t="shared" si="11"/>
        <v>0</v>
      </c>
      <c r="BF38" s="468">
        <f t="shared" si="12"/>
        <v>0</v>
      </c>
      <c r="BG38" s="469">
        <f t="shared" si="13"/>
        <v>0</v>
      </c>
      <c r="BI38" s="467">
        <f t="shared" ref="BI38:BI65" si="29">R38/100*AF38</f>
        <v>0</v>
      </c>
      <c r="BJ38" s="468">
        <f t="shared" si="15"/>
        <v>0</v>
      </c>
      <c r="BK38" s="468">
        <f t="shared" si="16"/>
        <v>0</v>
      </c>
      <c r="BL38" s="468">
        <f t="shared" si="17"/>
        <v>0</v>
      </c>
      <c r="BM38" s="468">
        <f t="shared" si="18"/>
        <v>0</v>
      </c>
      <c r="BN38" s="468">
        <f t="shared" si="19"/>
        <v>0</v>
      </c>
      <c r="BO38" s="468">
        <f t="shared" si="20"/>
        <v>0</v>
      </c>
      <c r="BP38" s="468">
        <f t="shared" si="21"/>
        <v>0</v>
      </c>
      <c r="BQ38" s="468">
        <f t="shared" si="22"/>
        <v>0</v>
      </c>
      <c r="BR38" s="468">
        <f t="shared" si="23"/>
        <v>0</v>
      </c>
      <c r="BS38" s="468">
        <f t="shared" si="24"/>
        <v>0</v>
      </c>
      <c r="BT38" s="468">
        <f t="shared" si="25"/>
        <v>0</v>
      </c>
      <c r="BU38" s="468">
        <f t="shared" si="26"/>
        <v>0</v>
      </c>
      <c r="BV38" s="469">
        <f t="shared" si="27"/>
        <v>0</v>
      </c>
    </row>
    <row r="39" spans="2:74" x14ac:dyDescent="0.2">
      <c r="B39" s="464"/>
      <c r="C39" s="464"/>
      <c r="D39" s="470"/>
      <c r="E39" s="471"/>
      <c r="F39" s="471"/>
      <c r="G39" s="471"/>
      <c r="H39" s="471"/>
      <c r="I39" s="471"/>
      <c r="J39" s="471"/>
      <c r="K39" s="471"/>
      <c r="L39" s="471"/>
      <c r="M39" s="471"/>
      <c r="N39" s="471"/>
      <c r="O39" s="471"/>
      <c r="P39" s="472"/>
      <c r="R39" s="478"/>
      <c r="S39" s="473"/>
      <c r="T39" s="473"/>
      <c r="U39" s="473"/>
      <c r="V39" s="473"/>
      <c r="W39" s="473"/>
      <c r="X39" s="473"/>
      <c r="Y39" s="473"/>
      <c r="Z39" s="473"/>
      <c r="AA39" s="473"/>
      <c r="AB39" s="473"/>
      <c r="AC39" s="473"/>
      <c r="AD39" s="472"/>
      <c r="AF39" s="466"/>
      <c r="AG39" s="474"/>
      <c r="AH39" s="474"/>
      <c r="AI39" s="474"/>
      <c r="AJ39" s="474"/>
      <c r="AK39" s="474"/>
      <c r="AL39" s="474"/>
      <c r="AM39" s="474"/>
      <c r="AN39" s="474"/>
      <c r="AO39" s="474"/>
      <c r="AP39" s="474"/>
      <c r="AQ39" s="474"/>
      <c r="AR39" s="475"/>
      <c r="AT39" s="467">
        <f t="shared" si="0"/>
        <v>0</v>
      </c>
      <c r="AU39" s="468">
        <f t="shared" si="1"/>
        <v>0</v>
      </c>
      <c r="AV39" s="468">
        <f t="shared" si="2"/>
        <v>0</v>
      </c>
      <c r="AW39" s="468">
        <f t="shared" si="3"/>
        <v>0</v>
      </c>
      <c r="AX39" s="468">
        <f t="shared" si="4"/>
        <v>0</v>
      </c>
      <c r="AY39" s="468">
        <f t="shared" si="5"/>
        <v>0</v>
      </c>
      <c r="AZ39" s="468">
        <f t="shared" si="6"/>
        <v>0</v>
      </c>
      <c r="BA39" s="468">
        <f t="shared" si="7"/>
        <v>0</v>
      </c>
      <c r="BB39" s="468">
        <f t="shared" si="8"/>
        <v>0</v>
      </c>
      <c r="BC39" s="468">
        <f t="shared" si="9"/>
        <v>0</v>
      </c>
      <c r="BD39" s="468">
        <f t="shared" si="10"/>
        <v>0</v>
      </c>
      <c r="BE39" s="468">
        <f t="shared" si="11"/>
        <v>0</v>
      </c>
      <c r="BF39" s="468">
        <f t="shared" si="12"/>
        <v>0</v>
      </c>
      <c r="BG39" s="469">
        <f t="shared" si="13"/>
        <v>0</v>
      </c>
      <c r="BI39" s="467">
        <f t="shared" si="29"/>
        <v>0</v>
      </c>
      <c r="BJ39" s="468">
        <f t="shared" si="15"/>
        <v>0</v>
      </c>
      <c r="BK39" s="468">
        <f t="shared" si="16"/>
        <v>0</v>
      </c>
      <c r="BL39" s="468">
        <f t="shared" si="17"/>
        <v>0</v>
      </c>
      <c r="BM39" s="468">
        <f t="shared" si="18"/>
        <v>0</v>
      </c>
      <c r="BN39" s="468">
        <f t="shared" si="19"/>
        <v>0</v>
      </c>
      <c r="BO39" s="468">
        <f t="shared" si="20"/>
        <v>0</v>
      </c>
      <c r="BP39" s="468">
        <f t="shared" si="21"/>
        <v>0</v>
      </c>
      <c r="BQ39" s="468">
        <f t="shared" si="22"/>
        <v>0</v>
      </c>
      <c r="BR39" s="468">
        <f t="shared" si="23"/>
        <v>0</v>
      </c>
      <c r="BS39" s="468">
        <f t="shared" si="24"/>
        <v>0</v>
      </c>
      <c r="BT39" s="468">
        <f t="shared" si="25"/>
        <v>0</v>
      </c>
      <c r="BU39" s="468">
        <f t="shared" si="26"/>
        <v>0</v>
      </c>
      <c r="BV39" s="469">
        <f t="shared" si="27"/>
        <v>0</v>
      </c>
    </row>
    <row r="40" spans="2:74" x14ac:dyDescent="0.2">
      <c r="B40" s="464"/>
      <c r="C40" s="464"/>
      <c r="D40" s="470"/>
      <c r="E40" s="471"/>
      <c r="F40" s="471"/>
      <c r="G40" s="471"/>
      <c r="H40" s="471"/>
      <c r="I40" s="471"/>
      <c r="J40" s="471"/>
      <c r="K40" s="471"/>
      <c r="L40" s="471"/>
      <c r="M40" s="471"/>
      <c r="N40" s="471"/>
      <c r="O40" s="471"/>
      <c r="P40" s="472"/>
      <c r="R40" s="478"/>
      <c r="S40" s="473"/>
      <c r="T40" s="473"/>
      <c r="U40" s="473"/>
      <c r="V40" s="473"/>
      <c r="W40" s="473"/>
      <c r="X40" s="473"/>
      <c r="Y40" s="473"/>
      <c r="Z40" s="473"/>
      <c r="AA40" s="473"/>
      <c r="AB40" s="473"/>
      <c r="AC40" s="473"/>
      <c r="AD40" s="472"/>
      <c r="AF40" s="466"/>
      <c r="AG40" s="474"/>
      <c r="AH40" s="474"/>
      <c r="AI40" s="474"/>
      <c r="AJ40" s="474"/>
      <c r="AK40" s="474"/>
      <c r="AL40" s="474"/>
      <c r="AM40" s="474"/>
      <c r="AN40" s="474"/>
      <c r="AO40" s="474"/>
      <c r="AP40" s="474"/>
      <c r="AQ40" s="474"/>
      <c r="AR40" s="475"/>
      <c r="AT40" s="467">
        <f t="shared" si="0"/>
        <v>0</v>
      </c>
      <c r="AU40" s="468">
        <f t="shared" si="1"/>
        <v>0</v>
      </c>
      <c r="AV40" s="468">
        <f t="shared" si="2"/>
        <v>0</v>
      </c>
      <c r="AW40" s="468">
        <f t="shared" si="3"/>
        <v>0</v>
      </c>
      <c r="AX40" s="468">
        <f t="shared" si="4"/>
        <v>0</v>
      </c>
      <c r="AY40" s="468">
        <f t="shared" si="5"/>
        <v>0</v>
      </c>
      <c r="AZ40" s="468">
        <f t="shared" si="6"/>
        <v>0</v>
      </c>
      <c r="BA40" s="468">
        <f t="shared" si="7"/>
        <v>0</v>
      </c>
      <c r="BB40" s="468">
        <f t="shared" si="8"/>
        <v>0</v>
      </c>
      <c r="BC40" s="468">
        <f t="shared" si="9"/>
        <v>0</v>
      </c>
      <c r="BD40" s="468">
        <f t="shared" si="10"/>
        <v>0</v>
      </c>
      <c r="BE40" s="468">
        <f t="shared" si="11"/>
        <v>0</v>
      </c>
      <c r="BF40" s="468">
        <f t="shared" si="12"/>
        <v>0</v>
      </c>
      <c r="BG40" s="469">
        <f t="shared" si="13"/>
        <v>0</v>
      </c>
      <c r="BI40" s="467">
        <f t="shared" si="29"/>
        <v>0</v>
      </c>
      <c r="BJ40" s="468">
        <f t="shared" si="15"/>
        <v>0</v>
      </c>
      <c r="BK40" s="468">
        <f t="shared" si="16"/>
        <v>0</v>
      </c>
      <c r="BL40" s="468">
        <f t="shared" si="17"/>
        <v>0</v>
      </c>
      <c r="BM40" s="468">
        <f t="shared" si="18"/>
        <v>0</v>
      </c>
      <c r="BN40" s="468">
        <f t="shared" si="19"/>
        <v>0</v>
      </c>
      <c r="BO40" s="468">
        <f t="shared" si="20"/>
        <v>0</v>
      </c>
      <c r="BP40" s="468">
        <f t="shared" si="21"/>
        <v>0</v>
      </c>
      <c r="BQ40" s="468">
        <f t="shared" si="22"/>
        <v>0</v>
      </c>
      <c r="BR40" s="468">
        <f t="shared" si="23"/>
        <v>0</v>
      </c>
      <c r="BS40" s="468">
        <f t="shared" si="24"/>
        <v>0</v>
      </c>
      <c r="BT40" s="468">
        <f t="shared" si="25"/>
        <v>0</v>
      </c>
      <c r="BU40" s="468">
        <f t="shared" si="26"/>
        <v>0</v>
      </c>
      <c r="BV40" s="469">
        <f t="shared" si="27"/>
        <v>0</v>
      </c>
    </row>
    <row r="41" spans="2:74" x14ac:dyDescent="0.2">
      <c r="B41" s="464"/>
      <c r="C41" s="464"/>
      <c r="D41" s="470"/>
      <c r="E41" s="471"/>
      <c r="F41" s="471"/>
      <c r="G41" s="471"/>
      <c r="H41" s="471"/>
      <c r="I41" s="471"/>
      <c r="J41" s="471"/>
      <c r="K41" s="471"/>
      <c r="L41" s="471"/>
      <c r="M41" s="471"/>
      <c r="N41" s="471"/>
      <c r="O41" s="471"/>
      <c r="P41" s="472"/>
      <c r="R41" s="478"/>
      <c r="S41" s="473"/>
      <c r="T41" s="473"/>
      <c r="U41" s="473"/>
      <c r="V41" s="473"/>
      <c r="W41" s="473"/>
      <c r="X41" s="473"/>
      <c r="Y41" s="473"/>
      <c r="Z41" s="473"/>
      <c r="AA41" s="473"/>
      <c r="AB41" s="473"/>
      <c r="AC41" s="473"/>
      <c r="AD41" s="472"/>
      <c r="AF41" s="466"/>
      <c r="AG41" s="474"/>
      <c r="AH41" s="474"/>
      <c r="AI41" s="474"/>
      <c r="AJ41" s="474"/>
      <c r="AK41" s="474"/>
      <c r="AL41" s="474"/>
      <c r="AM41" s="474"/>
      <c r="AN41" s="474"/>
      <c r="AO41" s="474"/>
      <c r="AP41" s="474"/>
      <c r="AQ41" s="474"/>
      <c r="AR41" s="475"/>
      <c r="AT41" s="467">
        <f t="shared" si="0"/>
        <v>0</v>
      </c>
      <c r="AU41" s="468">
        <f t="shared" si="1"/>
        <v>0</v>
      </c>
      <c r="AV41" s="468">
        <f t="shared" si="2"/>
        <v>0</v>
      </c>
      <c r="AW41" s="468">
        <f t="shared" si="3"/>
        <v>0</v>
      </c>
      <c r="AX41" s="468">
        <f t="shared" si="4"/>
        <v>0</v>
      </c>
      <c r="AY41" s="468">
        <f t="shared" si="5"/>
        <v>0</v>
      </c>
      <c r="AZ41" s="468">
        <f t="shared" si="6"/>
        <v>0</v>
      </c>
      <c r="BA41" s="468">
        <f t="shared" si="7"/>
        <v>0</v>
      </c>
      <c r="BB41" s="468">
        <f t="shared" si="8"/>
        <v>0</v>
      </c>
      <c r="BC41" s="468">
        <f t="shared" si="9"/>
        <v>0</v>
      </c>
      <c r="BD41" s="468">
        <f t="shared" si="10"/>
        <v>0</v>
      </c>
      <c r="BE41" s="468">
        <f t="shared" si="11"/>
        <v>0</v>
      </c>
      <c r="BF41" s="468">
        <f t="shared" si="12"/>
        <v>0</v>
      </c>
      <c r="BG41" s="469">
        <f t="shared" si="13"/>
        <v>0</v>
      </c>
      <c r="BI41" s="467">
        <f t="shared" si="29"/>
        <v>0</v>
      </c>
      <c r="BJ41" s="468">
        <f t="shared" si="15"/>
        <v>0</v>
      </c>
      <c r="BK41" s="468">
        <f t="shared" si="16"/>
        <v>0</v>
      </c>
      <c r="BL41" s="468">
        <f t="shared" si="17"/>
        <v>0</v>
      </c>
      <c r="BM41" s="468">
        <f t="shared" si="18"/>
        <v>0</v>
      </c>
      <c r="BN41" s="468">
        <f t="shared" si="19"/>
        <v>0</v>
      </c>
      <c r="BO41" s="468">
        <f t="shared" si="20"/>
        <v>0</v>
      </c>
      <c r="BP41" s="468">
        <f t="shared" si="21"/>
        <v>0</v>
      </c>
      <c r="BQ41" s="468">
        <f t="shared" si="22"/>
        <v>0</v>
      </c>
      <c r="BR41" s="468">
        <f t="shared" si="23"/>
        <v>0</v>
      </c>
      <c r="BS41" s="468">
        <f t="shared" si="24"/>
        <v>0</v>
      </c>
      <c r="BT41" s="468">
        <f t="shared" si="25"/>
        <v>0</v>
      </c>
      <c r="BU41" s="468">
        <f t="shared" si="26"/>
        <v>0</v>
      </c>
      <c r="BV41" s="469">
        <f t="shared" si="27"/>
        <v>0</v>
      </c>
    </row>
    <row r="42" spans="2:74" x14ac:dyDescent="0.2">
      <c r="B42" s="464"/>
      <c r="C42" s="464"/>
      <c r="D42" s="470"/>
      <c r="E42" s="471"/>
      <c r="F42" s="471"/>
      <c r="G42" s="471"/>
      <c r="H42" s="471"/>
      <c r="I42" s="471"/>
      <c r="J42" s="471"/>
      <c r="K42" s="471"/>
      <c r="L42" s="471"/>
      <c r="M42" s="471"/>
      <c r="N42" s="471"/>
      <c r="O42" s="471"/>
      <c r="P42" s="472"/>
      <c r="R42" s="478"/>
      <c r="S42" s="473"/>
      <c r="T42" s="473"/>
      <c r="U42" s="473"/>
      <c r="V42" s="473"/>
      <c r="W42" s="473"/>
      <c r="X42" s="473"/>
      <c r="Y42" s="473"/>
      <c r="Z42" s="473"/>
      <c r="AA42" s="473"/>
      <c r="AB42" s="473"/>
      <c r="AC42" s="473"/>
      <c r="AD42" s="472"/>
      <c r="AF42" s="466"/>
      <c r="AG42" s="474"/>
      <c r="AH42" s="474"/>
      <c r="AI42" s="474"/>
      <c r="AJ42" s="474"/>
      <c r="AK42" s="474"/>
      <c r="AL42" s="474"/>
      <c r="AM42" s="474"/>
      <c r="AN42" s="474"/>
      <c r="AO42" s="474"/>
      <c r="AP42" s="474"/>
      <c r="AQ42" s="474"/>
      <c r="AR42" s="475"/>
      <c r="AT42" s="467">
        <f t="shared" si="0"/>
        <v>0</v>
      </c>
      <c r="AU42" s="468">
        <f t="shared" si="1"/>
        <v>0</v>
      </c>
      <c r="AV42" s="468">
        <f t="shared" si="2"/>
        <v>0</v>
      </c>
      <c r="AW42" s="468">
        <f t="shared" si="3"/>
        <v>0</v>
      </c>
      <c r="AX42" s="468">
        <f t="shared" si="4"/>
        <v>0</v>
      </c>
      <c r="AY42" s="468">
        <f t="shared" si="5"/>
        <v>0</v>
      </c>
      <c r="AZ42" s="468">
        <f t="shared" si="6"/>
        <v>0</v>
      </c>
      <c r="BA42" s="468">
        <f t="shared" si="7"/>
        <v>0</v>
      </c>
      <c r="BB42" s="468">
        <f t="shared" si="8"/>
        <v>0</v>
      </c>
      <c r="BC42" s="468">
        <f t="shared" si="9"/>
        <v>0</v>
      </c>
      <c r="BD42" s="468">
        <f t="shared" si="10"/>
        <v>0</v>
      </c>
      <c r="BE42" s="468">
        <f t="shared" si="11"/>
        <v>0</v>
      </c>
      <c r="BF42" s="468">
        <f t="shared" si="12"/>
        <v>0</v>
      </c>
      <c r="BG42" s="469">
        <f t="shared" si="13"/>
        <v>0</v>
      </c>
      <c r="BI42" s="467">
        <f t="shared" si="29"/>
        <v>0</v>
      </c>
      <c r="BJ42" s="468">
        <f t="shared" si="15"/>
        <v>0</v>
      </c>
      <c r="BK42" s="468">
        <f t="shared" si="16"/>
        <v>0</v>
      </c>
      <c r="BL42" s="468">
        <f t="shared" si="17"/>
        <v>0</v>
      </c>
      <c r="BM42" s="468">
        <f t="shared" si="18"/>
        <v>0</v>
      </c>
      <c r="BN42" s="468">
        <f t="shared" si="19"/>
        <v>0</v>
      </c>
      <c r="BO42" s="468">
        <f t="shared" si="20"/>
        <v>0</v>
      </c>
      <c r="BP42" s="468">
        <f t="shared" si="21"/>
        <v>0</v>
      </c>
      <c r="BQ42" s="468">
        <f t="shared" si="22"/>
        <v>0</v>
      </c>
      <c r="BR42" s="468">
        <f t="shared" si="23"/>
        <v>0</v>
      </c>
      <c r="BS42" s="468">
        <f t="shared" si="24"/>
        <v>0</v>
      </c>
      <c r="BT42" s="468">
        <f t="shared" si="25"/>
        <v>0</v>
      </c>
      <c r="BU42" s="468">
        <f t="shared" si="26"/>
        <v>0</v>
      </c>
      <c r="BV42" s="469">
        <f t="shared" si="27"/>
        <v>0</v>
      </c>
    </row>
    <row r="43" spans="2:74" x14ac:dyDescent="0.2">
      <c r="B43" s="464"/>
      <c r="C43" s="464"/>
      <c r="D43" s="470"/>
      <c r="E43" s="471"/>
      <c r="F43" s="471"/>
      <c r="G43" s="471"/>
      <c r="H43" s="471"/>
      <c r="I43" s="471"/>
      <c r="J43" s="471"/>
      <c r="K43" s="471"/>
      <c r="L43" s="471"/>
      <c r="M43" s="471"/>
      <c r="N43" s="471"/>
      <c r="O43" s="471"/>
      <c r="P43" s="472"/>
      <c r="R43" s="478"/>
      <c r="S43" s="473"/>
      <c r="T43" s="473"/>
      <c r="U43" s="473"/>
      <c r="V43" s="473"/>
      <c r="W43" s="473"/>
      <c r="X43" s="473"/>
      <c r="Y43" s="473"/>
      <c r="Z43" s="473"/>
      <c r="AA43" s="473"/>
      <c r="AB43" s="473"/>
      <c r="AC43" s="473"/>
      <c r="AD43" s="472"/>
      <c r="AF43" s="466"/>
      <c r="AG43" s="474"/>
      <c r="AH43" s="474"/>
      <c r="AI43" s="474"/>
      <c r="AJ43" s="474"/>
      <c r="AK43" s="474"/>
      <c r="AL43" s="474"/>
      <c r="AM43" s="474"/>
      <c r="AN43" s="474"/>
      <c r="AO43" s="474"/>
      <c r="AP43" s="474"/>
      <c r="AQ43" s="474"/>
      <c r="AR43" s="475"/>
      <c r="AT43" s="467">
        <f t="shared" si="0"/>
        <v>0</v>
      </c>
      <c r="AU43" s="468">
        <f t="shared" si="1"/>
        <v>0</v>
      </c>
      <c r="AV43" s="468">
        <f t="shared" si="2"/>
        <v>0</v>
      </c>
      <c r="AW43" s="468">
        <f t="shared" si="3"/>
        <v>0</v>
      </c>
      <c r="AX43" s="468">
        <f t="shared" si="4"/>
        <v>0</v>
      </c>
      <c r="AY43" s="468">
        <f t="shared" si="5"/>
        <v>0</v>
      </c>
      <c r="AZ43" s="468">
        <f t="shared" si="6"/>
        <v>0</v>
      </c>
      <c r="BA43" s="468">
        <f t="shared" si="7"/>
        <v>0</v>
      </c>
      <c r="BB43" s="468">
        <f t="shared" si="8"/>
        <v>0</v>
      </c>
      <c r="BC43" s="468">
        <f t="shared" si="9"/>
        <v>0</v>
      </c>
      <c r="BD43" s="468">
        <f t="shared" si="10"/>
        <v>0</v>
      </c>
      <c r="BE43" s="468">
        <f t="shared" si="11"/>
        <v>0</v>
      </c>
      <c r="BF43" s="468">
        <f t="shared" si="12"/>
        <v>0</v>
      </c>
      <c r="BG43" s="469">
        <f t="shared" si="13"/>
        <v>0</v>
      </c>
      <c r="BI43" s="467">
        <f t="shared" si="29"/>
        <v>0</v>
      </c>
      <c r="BJ43" s="468">
        <f t="shared" si="15"/>
        <v>0</v>
      </c>
      <c r="BK43" s="468">
        <f t="shared" si="16"/>
        <v>0</v>
      </c>
      <c r="BL43" s="468">
        <f t="shared" si="17"/>
        <v>0</v>
      </c>
      <c r="BM43" s="468">
        <f t="shared" si="18"/>
        <v>0</v>
      </c>
      <c r="BN43" s="468">
        <f t="shared" si="19"/>
        <v>0</v>
      </c>
      <c r="BO43" s="468">
        <f t="shared" si="20"/>
        <v>0</v>
      </c>
      <c r="BP43" s="468">
        <f t="shared" si="21"/>
        <v>0</v>
      </c>
      <c r="BQ43" s="468">
        <f t="shared" si="22"/>
        <v>0</v>
      </c>
      <c r="BR43" s="468">
        <f t="shared" si="23"/>
        <v>0</v>
      </c>
      <c r="BS43" s="468">
        <f t="shared" si="24"/>
        <v>0</v>
      </c>
      <c r="BT43" s="468">
        <f t="shared" si="25"/>
        <v>0</v>
      </c>
      <c r="BU43" s="468">
        <f t="shared" si="26"/>
        <v>0</v>
      </c>
      <c r="BV43" s="469">
        <f t="shared" si="27"/>
        <v>0</v>
      </c>
    </row>
    <row r="44" spans="2:74" x14ac:dyDescent="0.2">
      <c r="B44" s="464"/>
      <c r="C44" s="464"/>
      <c r="D44" s="470"/>
      <c r="E44" s="471"/>
      <c r="F44" s="471"/>
      <c r="G44" s="471"/>
      <c r="H44" s="471"/>
      <c r="I44" s="471"/>
      <c r="J44" s="471"/>
      <c r="K44" s="471"/>
      <c r="L44" s="471"/>
      <c r="M44" s="471"/>
      <c r="N44" s="471"/>
      <c r="O44" s="471"/>
      <c r="P44" s="472"/>
      <c r="R44" s="478"/>
      <c r="S44" s="473"/>
      <c r="T44" s="473"/>
      <c r="U44" s="473"/>
      <c r="V44" s="473"/>
      <c r="W44" s="473"/>
      <c r="X44" s="473"/>
      <c r="Y44" s="473"/>
      <c r="Z44" s="473"/>
      <c r="AA44" s="473"/>
      <c r="AB44" s="473"/>
      <c r="AC44" s="473"/>
      <c r="AD44" s="472"/>
      <c r="AF44" s="466"/>
      <c r="AG44" s="474"/>
      <c r="AH44" s="474"/>
      <c r="AI44" s="474"/>
      <c r="AJ44" s="474"/>
      <c r="AK44" s="474"/>
      <c r="AL44" s="474"/>
      <c r="AM44" s="474"/>
      <c r="AN44" s="474"/>
      <c r="AO44" s="474"/>
      <c r="AP44" s="474"/>
      <c r="AQ44" s="474"/>
      <c r="AR44" s="475"/>
      <c r="AT44" s="467">
        <f t="shared" si="0"/>
        <v>0</v>
      </c>
      <c r="AU44" s="468">
        <f t="shared" si="1"/>
        <v>0</v>
      </c>
      <c r="AV44" s="468">
        <f t="shared" si="2"/>
        <v>0</v>
      </c>
      <c r="AW44" s="468">
        <f t="shared" si="3"/>
        <v>0</v>
      </c>
      <c r="AX44" s="468">
        <f t="shared" si="4"/>
        <v>0</v>
      </c>
      <c r="AY44" s="468">
        <f t="shared" si="5"/>
        <v>0</v>
      </c>
      <c r="AZ44" s="468">
        <f t="shared" si="6"/>
        <v>0</v>
      </c>
      <c r="BA44" s="468">
        <f t="shared" si="7"/>
        <v>0</v>
      </c>
      <c r="BB44" s="468">
        <f t="shared" si="8"/>
        <v>0</v>
      </c>
      <c r="BC44" s="468">
        <f t="shared" si="9"/>
        <v>0</v>
      </c>
      <c r="BD44" s="468">
        <f t="shared" si="10"/>
        <v>0</v>
      </c>
      <c r="BE44" s="468">
        <f t="shared" si="11"/>
        <v>0</v>
      </c>
      <c r="BF44" s="468">
        <f t="shared" si="12"/>
        <v>0</v>
      </c>
      <c r="BG44" s="469">
        <f t="shared" si="13"/>
        <v>0</v>
      </c>
      <c r="BI44" s="467">
        <f t="shared" si="29"/>
        <v>0</v>
      </c>
      <c r="BJ44" s="468">
        <f t="shared" si="15"/>
        <v>0</v>
      </c>
      <c r="BK44" s="468">
        <f t="shared" si="16"/>
        <v>0</v>
      </c>
      <c r="BL44" s="468">
        <f t="shared" si="17"/>
        <v>0</v>
      </c>
      <c r="BM44" s="468">
        <f t="shared" si="18"/>
        <v>0</v>
      </c>
      <c r="BN44" s="468">
        <f t="shared" si="19"/>
        <v>0</v>
      </c>
      <c r="BO44" s="468">
        <f t="shared" si="20"/>
        <v>0</v>
      </c>
      <c r="BP44" s="468">
        <f t="shared" si="21"/>
        <v>0</v>
      </c>
      <c r="BQ44" s="468">
        <f t="shared" si="22"/>
        <v>0</v>
      </c>
      <c r="BR44" s="468">
        <f t="shared" si="23"/>
        <v>0</v>
      </c>
      <c r="BS44" s="468">
        <f t="shared" si="24"/>
        <v>0</v>
      </c>
      <c r="BT44" s="468">
        <f t="shared" si="25"/>
        <v>0</v>
      </c>
      <c r="BU44" s="468">
        <f t="shared" si="26"/>
        <v>0</v>
      </c>
      <c r="BV44" s="469">
        <f t="shared" si="27"/>
        <v>0</v>
      </c>
    </row>
    <row r="45" spans="2:74" x14ac:dyDescent="0.2">
      <c r="B45" s="464"/>
      <c r="C45" s="464"/>
      <c r="D45" s="470"/>
      <c r="E45" s="471"/>
      <c r="F45" s="471"/>
      <c r="G45" s="471"/>
      <c r="H45" s="471"/>
      <c r="I45" s="471"/>
      <c r="J45" s="471"/>
      <c r="K45" s="471"/>
      <c r="L45" s="471"/>
      <c r="M45" s="471"/>
      <c r="N45" s="471"/>
      <c r="O45" s="471"/>
      <c r="P45" s="472"/>
      <c r="R45" s="478"/>
      <c r="S45" s="473"/>
      <c r="T45" s="473"/>
      <c r="U45" s="473"/>
      <c r="V45" s="473"/>
      <c r="W45" s="473"/>
      <c r="X45" s="473"/>
      <c r="Y45" s="473"/>
      <c r="Z45" s="473"/>
      <c r="AA45" s="473"/>
      <c r="AB45" s="473"/>
      <c r="AC45" s="473"/>
      <c r="AD45" s="472"/>
      <c r="AF45" s="466"/>
      <c r="AG45" s="474"/>
      <c r="AH45" s="474"/>
      <c r="AI45" s="474"/>
      <c r="AJ45" s="474"/>
      <c r="AK45" s="474"/>
      <c r="AL45" s="474"/>
      <c r="AM45" s="474"/>
      <c r="AN45" s="474"/>
      <c r="AO45" s="474"/>
      <c r="AP45" s="474"/>
      <c r="AQ45" s="474"/>
      <c r="AR45" s="475"/>
      <c r="AT45" s="467">
        <f t="shared" si="0"/>
        <v>0</v>
      </c>
      <c r="AU45" s="468">
        <f t="shared" si="1"/>
        <v>0</v>
      </c>
      <c r="AV45" s="468">
        <f t="shared" si="2"/>
        <v>0</v>
      </c>
      <c r="AW45" s="468">
        <f t="shared" si="3"/>
        <v>0</v>
      </c>
      <c r="AX45" s="468">
        <f t="shared" si="4"/>
        <v>0</v>
      </c>
      <c r="AY45" s="468">
        <f t="shared" si="5"/>
        <v>0</v>
      </c>
      <c r="AZ45" s="468">
        <f t="shared" si="6"/>
        <v>0</v>
      </c>
      <c r="BA45" s="468">
        <f t="shared" si="7"/>
        <v>0</v>
      </c>
      <c r="BB45" s="468">
        <f t="shared" si="8"/>
        <v>0</v>
      </c>
      <c r="BC45" s="468">
        <f t="shared" si="9"/>
        <v>0</v>
      </c>
      <c r="BD45" s="468">
        <f t="shared" si="10"/>
        <v>0</v>
      </c>
      <c r="BE45" s="468">
        <f t="shared" si="11"/>
        <v>0</v>
      </c>
      <c r="BF45" s="468">
        <f t="shared" si="12"/>
        <v>0</v>
      </c>
      <c r="BG45" s="469">
        <f t="shared" si="13"/>
        <v>0</v>
      </c>
      <c r="BI45" s="467">
        <f t="shared" si="29"/>
        <v>0</v>
      </c>
      <c r="BJ45" s="468">
        <f t="shared" si="15"/>
        <v>0</v>
      </c>
      <c r="BK45" s="468">
        <f t="shared" si="16"/>
        <v>0</v>
      </c>
      <c r="BL45" s="468">
        <f t="shared" si="17"/>
        <v>0</v>
      </c>
      <c r="BM45" s="468">
        <f t="shared" si="18"/>
        <v>0</v>
      </c>
      <c r="BN45" s="468">
        <f t="shared" si="19"/>
        <v>0</v>
      </c>
      <c r="BO45" s="468">
        <f t="shared" si="20"/>
        <v>0</v>
      </c>
      <c r="BP45" s="468">
        <f t="shared" si="21"/>
        <v>0</v>
      </c>
      <c r="BQ45" s="468">
        <f t="shared" si="22"/>
        <v>0</v>
      </c>
      <c r="BR45" s="468">
        <f t="shared" si="23"/>
        <v>0</v>
      </c>
      <c r="BS45" s="468">
        <f t="shared" si="24"/>
        <v>0</v>
      </c>
      <c r="BT45" s="468">
        <f t="shared" si="25"/>
        <v>0</v>
      </c>
      <c r="BU45" s="468">
        <f t="shared" si="26"/>
        <v>0</v>
      </c>
      <c r="BV45" s="469">
        <f t="shared" si="27"/>
        <v>0</v>
      </c>
    </row>
    <row r="46" spans="2:74" x14ac:dyDescent="0.2">
      <c r="B46" s="464"/>
      <c r="C46" s="464"/>
      <c r="D46" s="470"/>
      <c r="E46" s="471"/>
      <c r="F46" s="471"/>
      <c r="G46" s="471"/>
      <c r="H46" s="471"/>
      <c r="I46" s="471"/>
      <c r="J46" s="471"/>
      <c r="K46" s="471"/>
      <c r="L46" s="471"/>
      <c r="M46" s="471"/>
      <c r="N46" s="471"/>
      <c r="O46" s="471"/>
      <c r="P46" s="472"/>
      <c r="R46" s="478"/>
      <c r="S46" s="473"/>
      <c r="T46" s="473"/>
      <c r="U46" s="473"/>
      <c r="V46" s="473"/>
      <c r="W46" s="473"/>
      <c r="X46" s="473"/>
      <c r="Y46" s="473"/>
      <c r="Z46" s="473"/>
      <c r="AA46" s="473"/>
      <c r="AB46" s="473"/>
      <c r="AC46" s="473"/>
      <c r="AD46" s="472"/>
      <c r="AF46" s="466"/>
      <c r="AG46" s="474"/>
      <c r="AH46" s="474"/>
      <c r="AI46" s="474"/>
      <c r="AJ46" s="474"/>
      <c r="AK46" s="474"/>
      <c r="AL46" s="474"/>
      <c r="AM46" s="474"/>
      <c r="AN46" s="474"/>
      <c r="AO46" s="474"/>
      <c r="AP46" s="474"/>
      <c r="AQ46" s="474"/>
      <c r="AR46" s="475"/>
      <c r="AT46" s="467">
        <f t="shared" si="0"/>
        <v>0</v>
      </c>
      <c r="AU46" s="468">
        <f t="shared" si="1"/>
        <v>0</v>
      </c>
      <c r="AV46" s="468">
        <f t="shared" si="2"/>
        <v>0</v>
      </c>
      <c r="AW46" s="468">
        <f t="shared" si="3"/>
        <v>0</v>
      </c>
      <c r="AX46" s="468">
        <f t="shared" si="4"/>
        <v>0</v>
      </c>
      <c r="AY46" s="468">
        <f t="shared" si="5"/>
        <v>0</v>
      </c>
      <c r="AZ46" s="468">
        <f t="shared" si="6"/>
        <v>0</v>
      </c>
      <c r="BA46" s="468">
        <f t="shared" si="7"/>
        <v>0</v>
      </c>
      <c r="BB46" s="468">
        <f t="shared" si="8"/>
        <v>0</v>
      </c>
      <c r="BC46" s="468">
        <f t="shared" si="9"/>
        <v>0</v>
      </c>
      <c r="BD46" s="468">
        <f t="shared" si="10"/>
        <v>0</v>
      </c>
      <c r="BE46" s="468">
        <f t="shared" si="11"/>
        <v>0</v>
      </c>
      <c r="BF46" s="468">
        <f t="shared" si="12"/>
        <v>0</v>
      </c>
      <c r="BG46" s="469">
        <f t="shared" si="13"/>
        <v>0</v>
      </c>
      <c r="BI46" s="467">
        <f t="shared" si="29"/>
        <v>0</v>
      </c>
      <c r="BJ46" s="468">
        <f t="shared" si="15"/>
        <v>0</v>
      </c>
      <c r="BK46" s="468">
        <f t="shared" si="16"/>
        <v>0</v>
      </c>
      <c r="BL46" s="468">
        <f t="shared" si="17"/>
        <v>0</v>
      </c>
      <c r="BM46" s="468">
        <f t="shared" si="18"/>
        <v>0</v>
      </c>
      <c r="BN46" s="468">
        <f t="shared" si="19"/>
        <v>0</v>
      </c>
      <c r="BO46" s="468">
        <f t="shared" si="20"/>
        <v>0</v>
      </c>
      <c r="BP46" s="468">
        <f t="shared" si="21"/>
        <v>0</v>
      </c>
      <c r="BQ46" s="468">
        <f t="shared" si="22"/>
        <v>0</v>
      </c>
      <c r="BR46" s="468">
        <f t="shared" si="23"/>
        <v>0</v>
      </c>
      <c r="BS46" s="468">
        <f t="shared" si="24"/>
        <v>0</v>
      </c>
      <c r="BT46" s="468">
        <f t="shared" si="25"/>
        <v>0</v>
      </c>
      <c r="BU46" s="468">
        <f t="shared" si="26"/>
        <v>0</v>
      </c>
      <c r="BV46" s="469">
        <f t="shared" si="27"/>
        <v>0</v>
      </c>
    </row>
    <row r="47" spans="2:74" x14ac:dyDescent="0.2">
      <c r="B47" s="464"/>
      <c r="C47" s="464"/>
      <c r="D47" s="470"/>
      <c r="E47" s="471"/>
      <c r="F47" s="471"/>
      <c r="G47" s="471"/>
      <c r="H47" s="471"/>
      <c r="I47" s="471"/>
      <c r="J47" s="471"/>
      <c r="K47" s="471"/>
      <c r="L47" s="471"/>
      <c r="M47" s="471"/>
      <c r="N47" s="471"/>
      <c r="O47" s="471"/>
      <c r="P47" s="472"/>
      <c r="R47" s="478"/>
      <c r="S47" s="473"/>
      <c r="T47" s="473"/>
      <c r="U47" s="473"/>
      <c r="V47" s="473"/>
      <c r="W47" s="473"/>
      <c r="X47" s="473"/>
      <c r="Y47" s="473"/>
      <c r="Z47" s="473"/>
      <c r="AA47" s="473"/>
      <c r="AB47" s="473"/>
      <c r="AC47" s="473"/>
      <c r="AD47" s="472"/>
      <c r="AF47" s="466"/>
      <c r="AG47" s="474"/>
      <c r="AH47" s="474"/>
      <c r="AI47" s="474"/>
      <c r="AJ47" s="474"/>
      <c r="AK47" s="474"/>
      <c r="AL47" s="474"/>
      <c r="AM47" s="474"/>
      <c r="AN47" s="474"/>
      <c r="AO47" s="474"/>
      <c r="AP47" s="474"/>
      <c r="AQ47" s="474"/>
      <c r="AR47" s="475"/>
      <c r="AT47" s="467">
        <f t="shared" si="0"/>
        <v>0</v>
      </c>
      <c r="AU47" s="468">
        <f t="shared" si="1"/>
        <v>0</v>
      </c>
      <c r="AV47" s="468">
        <f t="shared" si="2"/>
        <v>0</v>
      </c>
      <c r="AW47" s="468">
        <f t="shared" si="3"/>
        <v>0</v>
      </c>
      <c r="AX47" s="468">
        <f t="shared" si="4"/>
        <v>0</v>
      </c>
      <c r="AY47" s="468">
        <f t="shared" si="5"/>
        <v>0</v>
      </c>
      <c r="AZ47" s="468">
        <f t="shared" si="6"/>
        <v>0</v>
      </c>
      <c r="BA47" s="468">
        <f t="shared" si="7"/>
        <v>0</v>
      </c>
      <c r="BB47" s="468">
        <f t="shared" si="8"/>
        <v>0</v>
      </c>
      <c r="BC47" s="468">
        <f t="shared" si="9"/>
        <v>0</v>
      </c>
      <c r="BD47" s="468">
        <f t="shared" si="10"/>
        <v>0</v>
      </c>
      <c r="BE47" s="468">
        <f t="shared" si="11"/>
        <v>0</v>
      </c>
      <c r="BF47" s="468">
        <f t="shared" si="12"/>
        <v>0</v>
      </c>
      <c r="BG47" s="469">
        <f t="shared" si="13"/>
        <v>0</v>
      </c>
      <c r="BI47" s="467">
        <f t="shared" si="29"/>
        <v>0</v>
      </c>
      <c r="BJ47" s="468">
        <f t="shared" si="15"/>
        <v>0</v>
      </c>
      <c r="BK47" s="468">
        <f t="shared" si="16"/>
        <v>0</v>
      </c>
      <c r="BL47" s="468">
        <f t="shared" si="17"/>
        <v>0</v>
      </c>
      <c r="BM47" s="468">
        <f t="shared" si="18"/>
        <v>0</v>
      </c>
      <c r="BN47" s="468">
        <f t="shared" si="19"/>
        <v>0</v>
      </c>
      <c r="BO47" s="468">
        <f t="shared" si="20"/>
        <v>0</v>
      </c>
      <c r="BP47" s="468">
        <f t="shared" si="21"/>
        <v>0</v>
      </c>
      <c r="BQ47" s="468">
        <f t="shared" si="22"/>
        <v>0</v>
      </c>
      <c r="BR47" s="468">
        <f t="shared" si="23"/>
        <v>0</v>
      </c>
      <c r="BS47" s="468">
        <f t="shared" si="24"/>
        <v>0</v>
      </c>
      <c r="BT47" s="468">
        <f t="shared" si="25"/>
        <v>0</v>
      </c>
      <c r="BU47" s="468">
        <f t="shared" si="26"/>
        <v>0</v>
      </c>
      <c r="BV47" s="469">
        <f t="shared" si="27"/>
        <v>0</v>
      </c>
    </row>
    <row r="48" spans="2:74" x14ac:dyDescent="0.2">
      <c r="B48" s="464"/>
      <c r="C48" s="464"/>
      <c r="D48" s="470"/>
      <c r="E48" s="471"/>
      <c r="F48" s="471"/>
      <c r="G48" s="471"/>
      <c r="H48" s="471"/>
      <c r="I48" s="471"/>
      <c r="J48" s="471"/>
      <c r="K48" s="471"/>
      <c r="L48" s="471"/>
      <c r="M48" s="471"/>
      <c r="N48" s="471"/>
      <c r="O48" s="471"/>
      <c r="P48" s="472"/>
      <c r="R48" s="478"/>
      <c r="S48" s="473"/>
      <c r="T48" s="473"/>
      <c r="U48" s="473"/>
      <c r="V48" s="473"/>
      <c r="W48" s="473"/>
      <c r="X48" s="473"/>
      <c r="Y48" s="473"/>
      <c r="Z48" s="473"/>
      <c r="AA48" s="473"/>
      <c r="AB48" s="473"/>
      <c r="AC48" s="473"/>
      <c r="AD48" s="472"/>
      <c r="AF48" s="466"/>
      <c r="AG48" s="474"/>
      <c r="AH48" s="474"/>
      <c r="AI48" s="474"/>
      <c r="AJ48" s="474"/>
      <c r="AK48" s="474"/>
      <c r="AL48" s="474"/>
      <c r="AM48" s="474"/>
      <c r="AN48" s="474"/>
      <c r="AO48" s="474"/>
      <c r="AP48" s="474"/>
      <c r="AQ48" s="474"/>
      <c r="AR48" s="475"/>
      <c r="AT48" s="467">
        <f t="shared" si="0"/>
        <v>0</v>
      </c>
      <c r="AU48" s="468">
        <f t="shared" si="1"/>
        <v>0</v>
      </c>
      <c r="AV48" s="468">
        <f t="shared" si="2"/>
        <v>0</v>
      </c>
      <c r="AW48" s="468">
        <f t="shared" si="3"/>
        <v>0</v>
      </c>
      <c r="AX48" s="468">
        <f t="shared" si="4"/>
        <v>0</v>
      </c>
      <c r="AY48" s="468">
        <f t="shared" si="5"/>
        <v>0</v>
      </c>
      <c r="AZ48" s="468">
        <f t="shared" si="6"/>
        <v>0</v>
      </c>
      <c r="BA48" s="468">
        <f t="shared" si="7"/>
        <v>0</v>
      </c>
      <c r="BB48" s="468">
        <f t="shared" si="8"/>
        <v>0</v>
      </c>
      <c r="BC48" s="468">
        <f t="shared" si="9"/>
        <v>0</v>
      </c>
      <c r="BD48" s="468">
        <f t="shared" si="10"/>
        <v>0</v>
      </c>
      <c r="BE48" s="468">
        <f t="shared" si="11"/>
        <v>0</v>
      </c>
      <c r="BF48" s="468">
        <f t="shared" si="12"/>
        <v>0</v>
      </c>
      <c r="BG48" s="469">
        <f t="shared" si="13"/>
        <v>0</v>
      </c>
      <c r="BI48" s="467">
        <f t="shared" si="29"/>
        <v>0</v>
      </c>
      <c r="BJ48" s="468">
        <f t="shared" si="15"/>
        <v>0</v>
      </c>
      <c r="BK48" s="468">
        <f t="shared" si="16"/>
        <v>0</v>
      </c>
      <c r="BL48" s="468">
        <f t="shared" si="17"/>
        <v>0</v>
      </c>
      <c r="BM48" s="468">
        <f t="shared" si="18"/>
        <v>0</v>
      </c>
      <c r="BN48" s="468">
        <f t="shared" si="19"/>
        <v>0</v>
      </c>
      <c r="BO48" s="468">
        <f t="shared" si="20"/>
        <v>0</v>
      </c>
      <c r="BP48" s="468">
        <f t="shared" si="21"/>
        <v>0</v>
      </c>
      <c r="BQ48" s="468">
        <f t="shared" si="22"/>
        <v>0</v>
      </c>
      <c r="BR48" s="468">
        <f t="shared" si="23"/>
        <v>0</v>
      </c>
      <c r="BS48" s="468">
        <f t="shared" si="24"/>
        <v>0</v>
      </c>
      <c r="BT48" s="468">
        <f t="shared" si="25"/>
        <v>0</v>
      </c>
      <c r="BU48" s="468">
        <f t="shared" si="26"/>
        <v>0</v>
      </c>
      <c r="BV48" s="469">
        <f t="shared" si="27"/>
        <v>0</v>
      </c>
    </row>
    <row r="49" spans="2:74" x14ac:dyDescent="0.2">
      <c r="B49" s="464"/>
      <c r="C49" s="464"/>
      <c r="D49" s="470"/>
      <c r="E49" s="471"/>
      <c r="F49" s="471"/>
      <c r="G49" s="471"/>
      <c r="H49" s="471"/>
      <c r="I49" s="471"/>
      <c r="J49" s="471"/>
      <c r="K49" s="471"/>
      <c r="L49" s="471"/>
      <c r="M49" s="471"/>
      <c r="N49" s="471"/>
      <c r="O49" s="471"/>
      <c r="P49" s="472"/>
      <c r="R49" s="478"/>
      <c r="S49" s="473"/>
      <c r="T49" s="473"/>
      <c r="U49" s="473"/>
      <c r="V49" s="473"/>
      <c r="W49" s="473"/>
      <c r="X49" s="473"/>
      <c r="Y49" s="473"/>
      <c r="Z49" s="473"/>
      <c r="AA49" s="473"/>
      <c r="AB49" s="473"/>
      <c r="AC49" s="473"/>
      <c r="AD49" s="472"/>
      <c r="AF49" s="466"/>
      <c r="AG49" s="474"/>
      <c r="AH49" s="474"/>
      <c r="AI49" s="474"/>
      <c r="AJ49" s="474"/>
      <c r="AK49" s="474"/>
      <c r="AL49" s="474"/>
      <c r="AM49" s="474"/>
      <c r="AN49" s="474"/>
      <c r="AO49" s="474"/>
      <c r="AP49" s="474"/>
      <c r="AQ49" s="474"/>
      <c r="AR49" s="475"/>
      <c r="AT49" s="467">
        <f t="shared" si="0"/>
        <v>0</v>
      </c>
      <c r="AU49" s="468">
        <f t="shared" si="1"/>
        <v>0</v>
      </c>
      <c r="AV49" s="468">
        <f t="shared" si="2"/>
        <v>0</v>
      </c>
      <c r="AW49" s="468">
        <f t="shared" si="3"/>
        <v>0</v>
      </c>
      <c r="AX49" s="468">
        <f t="shared" si="4"/>
        <v>0</v>
      </c>
      <c r="AY49" s="468">
        <f t="shared" si="5"/>
        <v>0</v>
      </c>
      <c r="AZ49" s="468">
        <f t="shared" si="6"/>
        <v>0</v>
      </c>
      <c r="BA49" s="468">
        <f t="shared" si="7"/>
        <v>0</v>
      </c>
      <c r="BB49" s="468">
        <f t="shared" si="8"/>
        <v>0</v>
      </c>
      <c r="BC49" s="468">
        <f t="shared" si="9"/>
        <v>0</v>
      </c>
      <c r="BD49" s="468">
        <f t="shared" si="10"/>
        <v>0</v>
      </c>
      <c r="BE49" s="468">
        <f t="shared" si="11"/>
        <v>0</v>
      </c>
      <c r="BF49" s="468">
        <f t="shared" si="12"/>
        <v>0</v>
      </c>
      <c r="BG49" s="469">
        <f t="shared" si="13"/>
        <v>0</v>
      </c>
      <c r="BI49" s="467">
        <f t="shared" si="29"/>
        <v>0</v>
      </c>
      <c r="BJ49" s="468">
        <f t="shared" si="15"/>
        <v>0</v>
      </c>
      <c r="BK49" s="468">
        <f t="shared" si="16"/>
        <v>0</v>
      </c>
      <c r="BL49" s="468">
        <f t="shared" si="17"/>
        <v>0</v>
      </c>
      <c r="BM49" s="468">
        <f t="shared" si="18"/>
        <v>0</v>
      </c>
      <c r="BN49" s="468">
        <f t="shared" si="19"/>
        <v>0</v>
      </c>
      <c r="BO49" s="468">
        <f t="shared" si="20"/>
        <v>0</v>
      </c>
      <c r="BP49" s="468">
        <f t="shared" si="21"/>
        <v>0</v>
      </c>
      <c r="BQ49" s="468">
        <f t="shared" si="22"/>
        <v>0</v>
      </c>
      <c r="BR49" s="468">
        <f t="shared" si="23"/>
        <v>0</v>
      </c>
      <c r="BS49" s="468">
        <f t="shared" si="24"/>
        <v>0</v>
      </c>
      <c r="BT49" s="468">
        <f t="shared" si="25"/>
        <v>0</v>
      </c>
      <c r="BU49" s="468">
        <f t="shared" si="26"/>
        <v>0</v>
      </c>
      <c r="BV49" s="469">
        <f t="shared" si="27"/>
        <v>0</v>
      </c>
    </row>
    <row r="50" spans="2:74" x14ac:dyDescent="0.2">
      <c r="B50" s="464"/>
      <c r="C50" s="464"/>
      <c r="D50" s="470"/>
      <c r="E50" s="471"/>
      <c r="F50" s="471"/>
      <c r="G50" s="471"/>
      <c r="H50" s="471"/>
      <c r="I50" s="471"/>
      <c r="J50" s="471"/>
      <c r="K50" s="471"/>
      <c r="L50" s="471"/>
      <c r="M50" s="471"/>
      <c r="N50" s="471"/>
      <c r="O50" s="471"/>
      <c r="P50" s="472"/>
      <c r="R50" s="478"/>
      <c r="S50" s="473"/>
      <c r="T50" s="473"/>
      <c r="U50" s="473"/>
      <c r="V50" s="473"/>
      <c r="W50" s="473"/>
      <c r="X50" s="473"/>
      <c r="Y50" s="473"/>
      <c r="Z50" s="473"/>
      <c r="AA50" s="473"/>
      <c r="AB50" s="473"/>
      <c r="AC50" s="473"/>
      <c r="AD50" s="472"/>
      <c r="AF50" s="466"/>
      <c r="AG50" s="474"/>
      <c r="AH50" s="474"/>
      <c r="AI50" s="474"/>
      <c r="AJ50" s="474"/>
      <c r="AK50" s="474"/>
      <c r="AL50" s="474"/>
      <c r="AM50" s="474"/>
      <c r="AN50" s="474"/>
      <c r="AO50" s="474"/>
      <c r="AP50" s="474"/>
      <c r="AQ50" s="474"/>
      <c r="AR50" s="475"/>
      <c r="AT50" s="467">
        <f t="shared" si="0"/>
        <v>0</v>
      </c>
      <c r="AU50" s="468">
        <f t="shared" si="1"/>
        <v>0</v>
      </c>
      <c r="AV50" s="468">
        <f t="shared" si="2"/>
        <v>0</v>
      </c>
      <c r="AW50" s="468">
        <f t="shared" si="3"/>
        <v>0</v>
      </c>
      <c r="AX50" s="468">
        <f t="shared" si="4"/>
        <v>0</v>
      </c>
      <c r="AY50" s="468">
        <f t="shared" si="5"/>
        <v>0</v>
      </c>
      <c r="AZ50" s="468">
        <f t="shared" si="6"/>
        <v>0</v>
      </c>
      <c r="BA50" s="468">
        <f t="shared" si="7"/>
        <v>0</v>
      </c>
      <c r="BB50" s="468">
        <f t="shared" si="8"/>
        <v>0</v>
      </c>
      <c r="BC50" s="468">
        <f t="shared" si="9"/>
        <v>0</v>
      </c>
      <c r="BD50" s="468">
        <f t="shared" si="10"/>
        <v>0</v>
      </c>
      <c r="BE50" s="468">
        <f t="shared" si="11"/>
        <v>0</v>
      </c>
      <c r="BF50" s="468">
        <f t="shared" si="12"/>
        <v>0</v>
      </c>
      <c r="BG50" s="469">
        <f t="shared" si="13"/>
        <v>0</v>
      </c>
      <c r="BI50" s="467">
        <f t="shared" si="29"/>
        <v>0</v>
      </c>
      <c r="BJ50" s="468">
        <f t="shared" si="15"/>
        <v>0</v>
      </c>
      <c r="BK50" s="468">
        <f t="shared" si="16"/>
        <v>0</v>
      </c>
      <c r="BL50" s="468">
        <f t="shared" si="17"/>
        <v>0</v>
      </c>
      <c r="BM50" s="468">
        <f t="shared" si="18"/>
        <v>0</v>
      </c>
      <c r="BN50" s="468">
        <f t="shared" si="19"/>
        <v>0</v>
      </c>
      <c r="BO50" s="468">
        <f t="shared" si="20"/>
        <v>0</v>
      </c>
      <c r="BP50" s="468">
        <f t="shared" si="21"/>
        <v>0</v>
      </c>
      <c r="BQ50" s="468">
        <f t="shared" si="22"/>
        <v>0</v>
      </c>
      <c r="BR50" s="468">
        <f t="shared" si="23"/>
        <v>0</v>
      </c>
      <c r="BS50" s="468">
        <f t="shared" si="24"/>
        <v>0</v>
      </c>
      <c r="BT50" s="468">
        <f t="shared" si="25"/>
        <v>0</v>
      </c>
      <c r="BU50" s="468">
        <f t="shared" si="26"/>
        <v>0</v>
      </c>
      <c r="BV50" s="469">
        <f t="shared" si="27"/>
        <v>0</v>
      </c>
    </row>
    <row r="51" spans="2:74" x14ac:dyDescent="0.2">
      <c r="B51" s="464"/>
      <c r="C51" s="464"/>
      <c r="D51" s="470"/>
      <c r="E51" s="471"/>
      <c r="F51" s="471"/>
      <c r="G51" s="471"/>
      <c r="H51" s="471"/>
      <c r="I51" s="471"/>
      <c r="J51" s="471"/>
      <c r="K51" s="471"/>
      <c r="L51" s="471"/>
      <c r="M51" s="471"/>
      <c r="N51" s="471"/>
      <c r="O51" s="471"/>
      <c r="P51" s="472"/>
      <c r="R51" s="478"/>
      <c r="S51" s="473"/>
      <c r="T51" s="473"/>
      <c r="U51" s="473"/>
      <c r="V51" s="473"/>
      <c r="W51" s="473"/>
      <c r="X51" s="473"/>
      <c r="Y51" s="473"/>
      <c r="Z51" s="473"/>
      <c r="AA51" s="473"/>
      <c r="AB51" s="473"/>
      <c r="AC51" s="473"/>
      <c r="AD51" s="472"/>
      <c r="AF51" s="466"/>
      <c r="AG51" s="474"/>
      <c r="AH51" s="474"/>
      <c r="AI51" s="474"/>
      <c r="AJ51" s="474"/>
      <c r="AK51" s="474"/>
      <c r="AL51" s="474"/>
      <c r="AM51" s="474"/>
      <c r="AN51" s="474"/>
      <c r="AO51" s="474"/>
      <c r="AP51" s="474"/>
      <c r="AQ51" s="474"/>
      <c r="AR51" s="475"/>
      <c r="AT51" s="467">
        <f t="shared" si="0"/>
        <v>0</v>
      </c>
      <c r="AU51" s="468">
        <f t="shared" si="1"/>
        <v>0</v>
      </c>
      <c r="AV51" s="468">
        <f t="shared" si="2"/>
        <v>0</v>
      </c>
      <c r="AW51" s="468">
        <f t="shared" si="3"/>
        <v>0</v>
      </c>
      <c r="AX51" s="468">
        <f t="shared" si="4"/>
        <v>0</v>
      </c>
      <c r="AY51" s="468">
        <f t="shared" si="5"/>
        <v>0</v>
      </c>
      <c r="AZ51" s="468">
        <f t="shared" si="6"/>
        <v>0</v>
      </c>
      <c r="BA51" s="468">
        <f t="shared" si="7"/>
        <v>0</v>
      </c>
      <c r="BB51" s="468">
        <f t="shared" si="8"/>
        <v>0</v>
      </c>
      <c r="BC51" s="468">
        <f t="shared" si="9"/>
        <v>0</v>
      </c>
      <c r="BD51" s="468">
        <f t="shared" si="10"/>
        <v>0</v>
      </c>
      <c r="BE51" s="468">
        <f t="shared" si="11"/>
        <v>0</v>
      </c>
      <c r="BF51" s="468">
        <f t="shared" si="12"/>
        <v>0</v>
      </c>
      <c r="BG51" s="469">
        <f t="shared" si="13"/>
        <v>0</v>
      </c>
      <c r="BI51" s="467">
        <f t="shared" si="29"/>
        <v>0</v>
      </c>
      <c r="BJ51" s="468">
        <f t="shared" si="15"/>
        <v>0</v>
      </c>
      <c r="BK51" s="468">
        <f t="shared" si="16"/>
        <v>0</v>
      </c>
      <c r="BL51" s="468">
        <f t="shared" si="17"/>
        <v>0</v>
      </c>
      <c r="BM51" s="468">
        <f t="shared" si="18"/>
        <v>0</v>
      </c>
      <c r="BN51" s="468">
        <f t="shared" si="19"/>
        <v>0</v>
      </c>
      <c r="BO51" s="468">
        <f t="shared" si="20"/>
        <v>0</v>
      </c>
      <c r="BP51" s="468">
        <f t="shared" si="21"/>
        <v>0</v>
      </c>
      <c r="BQ51" s="468">
        <f t="shared" si="22"/>
        <v>0</v>
      </c>
      <c r="BR51" s="468">
        <f t="shared" si="23"/>
        <v>0</v>
      </c>
      <c r="BS51" s="468">
        <f t="shared" si="24"/>
        <v>0</v>
      </c>
      <c r="BT51" s="468">
        <f t="shared" si="25"/>
        <v>0</v>
      </c>
      <c r="BU51" s="468">
        <f t="shared" si="26"/>
        <v>0</v>
      </c>
      <c r="BV51" s="469">
        <f t="shared" si="27"/>
        <v>0</v>
      </c>
    </row>
    <row r="52" spans="2:74" x14ac:dyDescent="0.2">
      <c r="B52" s="464"/>
      <c r="C52" s="464"/>
      <c r="D52" s="470"/>
      <c r="E52" s="471"/>
      <c r="F52" s="471"/>
      <c r="G52" s="471"/>
      <c r="H52" s="471"/>
      <c r="I52" s="471"/>
      <c r="J52" s="471"/>
      <c r="K52" s="471"/>
      <c r="L52" s="471"/>
      <c r="M52" s="471"/>
      <c r="N52" s="471"/>
      <c r="O52" s="471"/>
      <c r="P52" s="472"/>
      <c r="R52" s="478"/>
      <c r="S52" s="473"/>
      <c r="T52" s="473"/>
      <c r="U52" s="473"/>
      <c r="V52" s="473"/>
      <c r="W52" s="473"/>
      <c r="X52" s="473"/>
      <c r="Y52" s="473"/>
      <c r="Z52" s="473"/>
      <c r="AA52" s="473"/>
      <c r="AB52" s="473"/>
      <c r="AC52" s="473"/>
      <c r="AD52" s="472"/>
      <c r="AF52" s="466"/>
      <c r="AG52" s="474"/>
      <c r="AH52" s="474"/>
      <c r="AI52" s="474"/>
      <c r="AJ52" s="474"/>
      <c r="AK52" s="474"/>
      <c r="AL52" s="474"/>
      <c r="AM52" s="474"/>
      <c r="AN52" s="474"/>
      <c r="AO52" s="474"/>
      <c r="AP52" s="474"/>
      <c r="AQ52" s="474"/>
      <c r="AR52" s="475"/>
      <c r="AT52" s="467">
        <f t="shared" si="0"/>
        <v>0</v>
      </c>
      <c r="AU52" s="468">
        <f t="shared" si="1"/>
        <v>0</v>
      </c>
      <c r="AV52" s="468">
        <f t="shared" si="2"/>
        <v>0</v>
      </c>
      <c r="AW52" s="468">
        <f t="shared" si="3"/>
        <v>0</v>
      </c>
      <c r="AX52" s="468">
        <f t="shared" si="4"/>
        <v>0</v>
      </c>
      <c r="AY52" s="468">
        <f t="shared" si="5"/>
        <v>0</v>
      </c>
      <c r="AZ52" s="468">
        <f t="shared" si="6"/>
        <v>0</v>
      </c>
      <c r="BA52" s="468">
        <f t="shared" si="7"/>
        <v>0</v>
      </c>
      <c r="BB52" s="468">
        <f t="shared" si="8"/>
        <v>0</v>
      </c>
      <c r="BC52" s="468">
        <f t="shared" si="9"/>
        <v>0</v>
      </c>
      <c r="BD52" s="468">
        <f t="shared" si="10"/>
        <v>0</v>
      </c>
      <c r="BE52" s="468">
        <f t="shared" si="11"/>
        <v>0</v>
      </c>
      <c r="BF52" s="468">
        <f t="shared" si="12"/>
        <v>0</v>
      </c>
      <c r="BG52" s="469">
        <f t="shared" si="13"/>
        <v>0</v>
      </c>
      <c r="BI52" s="467">
        <f t="shared" si="29"/>
        <v>0</v>
      </c>
      <c r="BJ52" s="468">
        <f t="shared" si="15"/>
        <v>0</v>
      </c>
      <c r="BK52" s="468">
        <f t="shared" si="16"/>
        <v>0</v>
      </c>
      <c r="BL52" s="468">
        <f t="shared" si="17"/>
        <v>0</v>
      </c>
      <c r="BM52" s="468">
        <f t="shared" si="18"/>
        <v>0</v>
      </c>
      <c r="BN52" s="468">
        <f t="shared" si="19"/>
        <v>0</v>
      </c>
      <c r="BO52" s="468">
        <f t="shared" si="20"/>
        <v>0</v>
      </c>
      <c r="BP52" s="468">
        <f t="shared" si="21"/>
        <v>0</v>
      </c>
      <c r="BQ52" s="468">
        <f t="shared" si="22"/>
        <v>0</v>
      </c>
      <c r="BR52" s="468">
        <f t="shared" si="23"/>
        <v>0</v>
      </c>
      <c r="BS52" s="468">
        <f t="shared" si="24"/>
        <v>0</v>
      </c>
      <c r="BT52" s="468">
        <f t="shared" si="25"/>
        <v>0</v>
      </c>
      <c r="BU52" s="468">
        <f t="shared" si="26"/>
        <v>0</v>
      </c>
      <c r="BV52" s="469">
        <f t="shared" si="27"/>
        <v>0</v>
      </c>
    </row>
    <row r="53" spans="2:74" x14ac:dyDescent="0.2">
      <c r="B53" s="464"/>
      <c r="C53" s="464"/>
      <c r="D53" s="470"/>
      <c r="E53" s="471"/>
      <c r="F53" s="471"/>
      <c r="G53" s="471"/>
      <c r="H53" s="471"/>
      <c r="I53" s="471"/>
      <c r="J53" s="471"/>
      <c r="K53" s="471"/>
      <c r="L53" s="471"/>
      <c r="M53" s="471"/>
      <c r="N53" s="471"/>
      <c r="O53" s="471"/>
      <c r="P53" s="472"/>
      <c r="R53" s="478"/>
      <c r="S53" s="473"/>
      <c r="T53" s="473"/>
      <c r="U53" s="473"/>
      <c r="V53" s="473"/>
      <c r="W53" s="473"/>
      <c r="X53" s="473"/>
      <c r="Y53" s="473"/>
      <c r="Z53" s="473"/>
      <c r="AA53" s="473"/>
      <c r="AB53" s="473"/>
      <c r="AC53" s="473"/>
      <c r="AD53" s="472"/>
      <c r="AF53" s="466"/>
      <c r="AG53" s="474"/>
      <c r="AH53" s="474"/>
      <c r="AI53" s="474"/>
      <c r="AJ53" s="474"/>
      <c r="AK53" s="474"/>
      <c r="AL53" s="474"/>
      <c r="AM53" s="474"/>
      <c r="AN53" s="474"/>
      <c r="AO53" s="474"/>
      <c r="AP53" s="474"/>
      <c r="AQ53" s="474"/>
      <c r="AR53" s="475"/>
      <c r="AT53" s="467">
        <f t="shared" si="0"/>
        <v>0</v>
      </c>
      <c r="AU53" s="468">
        <f t="shared" si="1"/>
        <v>0</v>
      </c>
      <c r="AV53" s="468">
        <f t="shared" si="2"/>
        <v>0</v>
      </c>
      <c r="AW53" s="468">
        <f t="shared" si="3"/>
        <v>0</v>
      </c>
      <c r="AX53" s="468">
        <f t="shared" si="4"/>
        <v>0</v>
      </c>
      <c r="AY53" s="468">
        <f t="shared" si="5"/>
        <v>0</v>
      </c>
      <c r="AZ53" s="468">
        <f t="shared" si="6"/>
        <v>0</v>
      </c>
      <c r="BA53" s="468">
        <f t="shared" si="7"/>
        <v>0</v>
      </c>
      <c r="BB53" s="468">
        <f t="shared" si="8"/>
        <v>0</v>
      </c>
      <c r="BC53" s="468">
        <f t="shared" si="9"/>
        <v>0</v>
      </c>
      <c r="BD53" s="468">
        <f t="shared" si="10"/>
        <v>0</v>
      </c>
      <c r="BE53" s="468">
        <f t="shared" si="11"/>
        <v>0</v>
      </c>
      <c r="BF53" s="468">
        <f t="shared" si="12"/>
        <v>0</v>
      </c>
      <c r="BG53" s="469">
        <f t="shared" si="13"/>
        <v>0</v>
      </c>
      <c r="BI53" s="467">
        <f t="shared" si="29"/>
        <v>0</v>
      </c>
      <c r="BJ53" s="468">
        <f t="shared" si="15"/>
        <v>0</v>
      </c>
      <c r="BK53" s="468">
        <f t="shared" si="16"/>
        <v>0</v>
      </c>
      <c r="BL53" s="468">
        <f t="shared" si="17"/>
        <v>0</v>
      </c>
      <c r="BM53" s="468">
        <f t="shared" si="18"/>
        <v>0</v>
      </c>
      <c r="BN53" s="468">
        <f t="shared" si="19"/>
        <v>0</v>
      </c>
      <c r="BO53" s="468">
        <f t="shared" si="20"/>
        <v>0</v>
      </c>
      <c r="BP53" s="468">
        <f t="shared" si="21"/>
        <v>0</v>
      </c>
      <c r="BQ53" s="468">
        <f t="shared" si="22"/>
        <v>0</v>
      </c>
      <c r="BR53" s="468">
        <f t="shared" si="23"/>
        <v>0</v>
      </c>
      <c r="BS53" s="468">
        <f t="shared" si="24"/>
        <v>0</v>
      </c>
      <c r="BT53" s="468">
        <f t="shared" si="25"/>
        <v>0</v>
      </c>
      <c r="BU53" s="468">
        <f t="shared" si="26"/>
        <v>0</v>
      </c>
      <c r="BV53" s="469">
        <f t="shared" si="27"/>
        <v>0</v>
      </c>
    </row>
    <row r="54" spans="2:74" x14ac:dyDescent="0.2">
      <c r="B54" s="464"/>
      <c r="C54" s="464"/>
      <c r="D54" s="470"/>
      <c r="E54" s="471"/>
      <c r="F54" s="471"/>
      <c r="G54" s="471"/>
      <c r="H54" s="471"/>
      <c r="I54" s="471"/>
      <c r="J54" s="471"/>
      <c r="K54" s="471"/>
      <c r="L54" s="471"/>
      <c r="M54" s="471"/>
      <c r="N54" s="471"/>
      <c r="O54" s="471"/>
      <c r="P54" s="472"/>
      <c r="R54" s="478"/>
      <c r="S54" s="473"/>
      <c r="T54" s="473"/>
      <c r="U54" s="473"/>
      <c r="V54" s="473"/>
      <c r="W54" s="473"/>
      <c r="X54" s="473"/>
      <c r="Y54" s="473"/>
      <c r="Z54" s="473"/>
      <c r="AA54" s="473"/>
      <c r="AB54" s="473"/>
      <c r="AC54" s="473"/>
      <c r="AD54" s="472"/>
      <c r="AF54" s="466"/>
      <c r="AG54" s="474"/>
      <c r="AH54" s="474"/>
      <c r="AI54" s="474"/>
      <c r="AJ54" s="474"/>
      <c r="AK54" s="474"/>
      <c r="AL54" s="474"/>
      <c r="AM54" s="474"/>
      <c r="AN54" s="474"/>
      <c r="AO54" s="474"/>
      <c r="AP54" s="474"/>
      <c r="AQ54" s="474"/>
      <c r="AR54" s="475"/>
      <c r="AT54" s="467">
        <f t="shared" si="0"/>
        <v>0</v>
      </c>
      <c r="AU54" s="468">
        <f t="shared" si="1"/>
        <v>0</v>
      </c>
      <c r="AV54" s="468">
        <f t="shared" si="2"/>
        <v>0</v>
      </c>
      <c r="AW54" s="468">
        <f t="shared" si="3"/>
        <v>0</v>
      </c>
      <c r="AX54" s="468">
        <f t="shared" si="4"/>
        <v>0</v>
      </c>
      <c r="AY54" s="468">
        <f t="shared" si="5"/>
        <v>0</v>
      </c>
      <c r="AZ54" s="468">
        <f t="shared" si="6"/>
        <v>0</v>
      </c>
      <c r="BA54" s="468">
        <f t="shared" si="7"/>
        <v>0</v>
      </c>
      <c r="BB54" s="468">
        <f t="shared" si="8"/>
        <v>0</v>
      </c>
      <c r="BC54" s="468">
        <f t="shared" si="9"/>
        <v>0</v>
      </c>
      <c r="BD54" s="468">
        <f t="shared" si="10"/>
        <v>0</v>
      </c>
      <c r="BE54" s="468">
        <f t="shared" si="11"/>
        <v>0</v>
      </c>
      <c r="BF54" s="468">
        <f t="shared" si="12"/>
        <v>0</v>
      </c>
      <c r="BG54" s="469">
        <f t="shared" si="13"/>
        <v>0</v>
      </c>
      <c r="BI54" s="467">
        <f t="shared" si="29"/>
        <v>0</v>
      </c>
      <c r="BJ54" s="468">
        <f t="shared" si="15"/>
        <v>0</v>
      </c>
      <c r="BK54" s="468">
        <f t="shared" si="16"/>
        <v>0</v>
      </c>
      <c r="BL54" s="468">
        <f t="shared" si="17"/>
        <v>0</v>
      </c>
      <c r="BM54" s="468">
        <f t="shared" si="18"/>
        <v>0</v>
      </c>
      <c r="BN54" s="468">
        <f t="shared" si="19"/>
        <v>0</v>
      </c>
      <c r="BO54" s="468">
        <f t="shared" si="20"/>
        <v>0</v>
      </c>
      <c r="BP54" s="468">
        <f t="shared" si="21"/>
        <v>0</v>
      </c>
      <c r="BQ54" s="468">
        <f t="shared" si="22"/>
        <v>0</v>
      </c>
      <c r="BR54" s="468">
        <f t="shared" si="23"/>
        <v>0</v>
      </c>
      <c r="BS54" s="468">
        <f t="shared" si="24"/>
        <v>0</v>
      </c>
      <c r="BT54" s="468">
        <f t="shared" si="25"/>
        <v>0</v>
      </c>
      <c r="BU54" s="468">
        <f t="shared" si="26"/>
        <v>0</v>
      </c>
      <c r="BV54" s="469">
        <f t="shared" si="27"/>
        <v>0</v>
      </c>
    </row>
    <row r="55" spans="2:74" x14ac:dyDescent="0.2">
      <c r="B55" s="464"/>
      <c r="C55" s="464"/>
      <c r="D55" s="470"/>
      <c r="E55" s="471"/>
      <c r="F55" s="471"/>
      <c r="G55" s="471"/>
      <c r="H55" s="471"/>
      <c r="I55" s="471"/>
      <c r="J55" s="471"/>
      <c r="K55" s="471"/>
      <c r="L55" s="471"/>
      <c r="M55" s="471"/>
      <c r="N55" s="471"/>
      <c r="O55" s="471"/>
      <c r="P55" s="472"/>
      <c r="R55" s="478"/>
      <c r="S55" s="473"/>
      <c r="T55" s="473"/>
      <c r="U55" s="473"/>
      <c r="V55" s="473"/>
      <c r="W55" s="473"/>
      <c r="X55" s="473"/>
      <c r="Y55" s="473"/>
      <c r="Z55" s="473"/>
      <c r="AA55" s="473"/>
      <c r="AB55" s="473"/>
      <c r="AC55" s="473"/>
      <c r="AD55" s="472"/>
      <c r="AF55" s="466"/>
      <c r="AG55" s="474"/>
      <c r="AH55" s="474"/>
      <c r="AI55" s="474"/>
      <c r="AJ55" s="474"/>
      <c r="AK55" s="474"/>
      <c r="AL55" s="474"/>
      <c r="AM55" s="474"/>
      <c r="AN55" s="474"/>
      <c r="AO55" s="474"/>
      <c r="AP55" s="474"/>
      <c r="AQ55" s="474"/>
      <c r="AR55" s="475"/>
      <c r="AT55" s="467">
        <f t="shared" si="0"/>
        <v>0</v>
      </c>
      <c r="AU55" s="468">
        <f t="shared" si="1"/>
        <v>0</v>
      </c>
      <c r="AV55" s="468">
        <f t="shared" si="2"/>
        <v>0</v>
      </c>
      <c r="AW55" s="468">
        <f t="shared" si="3"/>
        <v>0</v>
      </c>
      <c r="AX55" s="468">
        <f t="shared" si="4"/>
        <v>0</v>
      </c>
      <c r="AY55" s="468">
        <f t="shared" si="5"/>
        <v>0</v>
      </c>
      <c r="AZ55" s="468">
        <f t="shared" si="6"/>
        <v>0</v>
      </c>
      <c r="BA55" s="468">
        <f t="shared" si="7"/>
        <v>0</v>
      </c>
      <c r="BB55" s="468">
        <f t="shared" si="8"/>
        <v>0</v>
      </c>
      <c r="BC55" s="468">
        <f t="shared" si="9"/>
        <v>0</v>
      </c>
      <c r="BD55" s="468">
        <f t="shared" si="10"/>
        <v>0</v>
      </c>
      <c r="BE55" s="468">
        <f t="shared" si="11"/>
        <v>0</v>
      </c>
      <c r="BF55" s="468">
        <f t="shared" si="12"/>
        <v>0</v>
      </c>
      <c r="BG55" s="469">
        <f t="shared" si="13"/>
        <v>0</v>
      </c>
      <c r="BI55" s="467">
        <f t="shared" si="29"/>
        <v>0</v>
      </c>
      <c r="BJ55" s="468">
        <f t="shared" si="15"/>
        <v>0</v>
      </c>
      <c r="BK55" s="468">
        <f t="shared" si="16"/>
        <v>0</v>
      </c>
      <c r="BL55" s="468">
        <f t="shared" si="17"/>
        <v>0</v>
      </c>
      <c r="BM55" s="468">
        <f t="shared" si="18"/>
        <v>0</v>
      </c>
      <c r="BN55" s="468">
        <f t="shared" si="19"/>
        <v>0</v>
      </c>
      <c r="BO55" s="468">
        <f t="shared" si="20"/>
        <v>0</v>
      </c>
      <c r="BP55" s="468">
        <f t="shared" si="21"/>
        <v>0</v>
      </c>
      <c r="BQ55" s="468">
        <f t="shared" si="22"/>
        <v>0</v>
      </c>
      <c r="BR55" s="468">
        <f t="shared" si="23"/>
        <v>0</v>
      </c>
      <c r="BS55" s="468">
        <f t="shared" si="24"/>
        <v>0</v>
      </c>
      <c r="BT55" s="468">
        <f t="shared" si="25"/>
        <v>0</v>
      </c>
      <c r="BU55" s="468">
        <f t="shared" si="26"/>
        <v>0</v>
      </c>
      <c r="BV55" s="469">
        <f t="shared" si="27"/>
        <v>0</v>
      </c>
    </row>
    <row r="56" spans="2:74" x14ac:dyDescent="0.2">
      <c r="B56" s="464"/>
      <c r="C56" s="464"/>
      <c r="D56" s="470"/>
      <c r="E56" s="471"/>
      <c r="F56" s="471"/>
      <c r="G56" s="471"/>
      <c r="H56" s="471"/>
      <c r="I56" s="471"/>
      <c r="J56" s="471"/>
      <c r="K56" s="471"/>
      <c r="L56" s="471"/>
      <c r="M56" s="471"/>
      <c r="N56" s="471"/>
      <c r="O56" s="471"/>
      <c r="P56" s="472"/>
      <c r="R56" s="478"/>
      <c r="S56" s="473"/>
      <c r="T56" s="473"/>
      <c r="U56" s="473"/>
      <c r="V56" s="473"/>
      <c r="W56" s="473"/>
      <c r="X56" s="473"/>
      <c r="Y56" s="473"/>
      <c r="Z56" s="473"/>
      <c r="AA56" s="473"/>
      <c r="AB56" s="473"/>
      <c r="AC56" s="473"/>
      <c r="AD56" s="472"/>
      <c r="AF56" s="466"/>
      <c r="AG56" s="474"/>
      <c r="AH56" s="474"/>
      <c r="AI56" s="474"/>
      <c r="AJ56" s="474"/>
      <c r="AK56" s="474"/>
      <c r="AL56" s="474"/>
      <c r="AM56" s="474"/>
      <c r="AN56" s="474"/>
      <c r="AO56" s="474"/>
      <c r="AP56" s="474"/>
      <c r="AQ56" s="474"/>
      <c r="AR56" s="475"/>
      <c r="AT56" s="467">
        <f t="shared" si="0"/>
        <v>0</v>
      </c>
      <c r="AU56" s="468">
        <f t="shared" si="1"/>
        <v>0</v>
      </c>
      <c r="AV56" s="468">
        <f t="shared" si="2"/>
        <v>0</v>
      </c>
      <c r="AW56" s="468">
        <f t="shared" si="3"/>
        <v>0</v>
      </c>
      <c r="AX56" s="468">
        <f t="shared" si="4"/>
        <v>0</v>
      </c>
      <c r="AY56" s="468">
        <f t="shared" si="5"/>
        <v>0</v>
      </c>
      <c r="AZ56" s="468">
        <f t="shared" si="6"/>
        <v>0</v>
      </c>
      <c r="BA56" s="468">
        <f t="shared" si="7"/>
        <v>0</v>
      </c>
      <c r="BB56" s="468">
        <f t="shared" si="8"/>
        <v>0</v>
      </c>
      <c r="BC56" s="468">
        <f t="shared" si="9"/>
        <v>0</v>
      </c>
      <c r="BD56" s="468">
        <f t="shared" si="10"/>
        <v>0</v>
      </c>
      <c r="BE56" s="468">
        <f t="shared" si="11"/>
        <v>0</v>
      </c>
      <c r="BF56" s="468">
        <f t="shared" si="12"/>
        <v>0</v>
      </c>
      <c r="BG56" s="469">
        <f t="shared" si="13"/>
        <v>0</v>
      </c>
      <c r="BI56" s="467">
        <f t="shared" si="29"/>
        <v>0</v>
      </c>
      <c r="BJ56" s="468">
        <f t="shared" si="15"/>
        <v>0</v>
      </c>
      <c r="BK56" s="468">
        <f t="shared" si="16"/>
        <v>0</v>
      </c>
      <c r="BL56" s="468">
        <f t="shared" si="17"/>
        <v>0</v>
      </c>
      <c r="BM56" s="468">
        <f t="shared" si="18"/>
        <v>0</v>
      </c>
      <c r="BN56" s="468">
        <f t="shared" si="19"/>
        <v>0</v>
      </c>
      <c r="BO56" s="468">
        <f t="shared" si="20"/>
        <v>0</v>
      </c>
      <c r="BP56" s="468">
        <f t="shared" si="21"/>
        <v>0</v>
      </c>
      <c r="BQ56" s="468">
        <f t="shared" si="22"/>
        <v>0</v>
      </c>
      <c r="BR56" s="468">
        <f t="shared" si="23"/>
        <v>0</v>
      </c>
      <c r="BS56" s="468">
        <f t="shared" si="24"/>
        <v>0</v>
      </c>
      <c r="BT56" s="468">
        <f t="shared" si="25"/>
        <v>0</v>
      </c>
      <c r="BU56" s="468">
        <f t="shared" si="26"/>
        <v>0</v>
      </c>
      <c r="BV56" s="469">
        <f t="shared" si="27"/>
        <v>0</v>
      </c>
    </row>
    <row r="57" spans="2:74" x14ac:dyDescent="0.2">
      <c r="B57" s="464"/>
      <c r="C57" s="464"/>
      <c r="D57" s="470"/>
      <c r="E57" s="471"/>
      <c r="F57" s="471"/>
      <c r="G57" s="471"/>
      <c r="H57" s="471"/>
      <c r="I57" s="471"/>
      <c r="J57" s="471"/>
      <c r="K57" s="471"/>
      <c r="L57" s="471"/>
      <c r="M57" s="471"/>
      <c r="N57" s="471"/>
      <c r="O57" s="471"/>
      <c r="P57" s="472"/>
      <c r="R57" s="478"/>
      <c r="S57" s="473"/>
      <c r="T57" s="473"/>
      <c r="U57" s="473"/>
      <c r="V57" s="473"/>
      <c r="W57" s="473"/>
      <c r="X57" s="473"/>
      <c r="Y57" s="473"/>
      <c r="Z57" s="473"/>
      <c r="AA57" s="473"/>
      <c r="AB57" s="473"/>
      <c r="AC57" s="473"/>
      <c r="AD57" s="472"/>
      <c r="AF57" s="466"/>
      <c r="AG57" s="474"/>
      <c r="AH57" s="474"/>
      <c r="AI57" s="474"/>
      <c r="AJ57" s="474"/>
      <c r="AK57" s="474"/>
      <c r="AL57" s="474"/>
      <c r="AM57" s="474"/>
      <c r="AN57" s="474"/>
      <c r="AO57" s="474"/>
      <c r="AP57" s="474"/>
      <c r="AQ57" s="474"/>
      <c r="AR57" s="475"/>
      <c r="AT57" s="467">
        <f t="shared" si="0"/>
        <v>0</v>
      </c>
      <c r="AU57" s="468">
        <f t="shared" si="1"/>
        <v>0</v>
      </c>
      <c r="AV57" s="468">
        <f t="shared" si="2"/>
        <v>0</v>
      </c>
      <c r="AW57" s="468">
        <f t="shared" si="3"/>
        <v>0</v>
      </c>
      <c r="AX57" s="468">
        <f t="shared" si="4"/>
        <v>0</v>
      </c>
      <c r="AY57" s="468">
        <f t="shared" si="5"/>
        <v>0</v>
      </c>
      <c r="AZ57" s="468">
        <f t="shared" si="6"/>
        <v>0</v>
      </c>
      <c r="BA57" s="468">
        <f t="shared" si="7"/>
        <v>0</v>
      </c>
      <c r="BB57" s="468">
        <f t="shared" si="8"/>
        <v>0</v>
      </c>
      <c r="BC57" s="468">
        <f t="shared" si="9"/>
        <v>0</v>
      </c>
      <c r="BD57" s="468">
        <f t="shared" si="10"/>
        <v>0</v>
      </c>
      <c r="BE57" s="468">
        <f t="shared" si="11"/>
        <v>0</v>
      </c>
      <c r="BF57" s="468">
        <f t="shared" si="12"/>
        <v>0</v>
      </c>
      <c r="BG57" s="469">
        <f t="shared" si="13"/>
        <v>0</v>
      </c>
      <c r="BI57" s="467">
        <f t="shared" si="29"/>
        <v>0</v>
      </c>
      <c r="BJ57" s="468">
        <f t="shared" si="15"/>
        <v>0</v>
      </c>
      <c r="BK57" s="468">
        <f t="shared" si="16"/>
        <v>0</v>
      </c>
      <c r="BL57" s="468">
        <f t="shared" si="17"/>
        <v>0</v>
      </c>
      <c r="BM57" s="468">
        <f t="shared" si="18"/>
        <v>0</v>
      </c>
      <c r="BN57" s="468">
        <f t="shared" si="19"/>
        <v>0</v>
      </c>
      <c r="BO57" s="468">
        <f t="shared" si="20"/>
        <v>0</v>
      </c>
      <c r="BP57" s="468">
        <f t="shared" si="21"/>
        <v>0</v>
      </c>
      <c r="BQ57" s="468">
        <f t="shared" si="22"/>
        <v>0</v>
      </c>
      <c r="BR57" s="468">
        <f t="shared" si="23"/>
        <v>0</v>
      </c>
      <c r="BS57" s="468">
        <f t="shared" si="24"/>
        <v>0</v>
      </c>
      <c r="BT57" s="468">
        <f t="shared" si="25"/>
        <v>0</v>
      </c>
      <c r="BU57" s="468">
        <f t="shared" si="26"/>
        <v>0</v>
      </c>
      <c r="BV57" s="469">
        <f t="shared" si="27"/>
        <v>0</v>
      </c>
    </row>
    <row r="58" spans="2:74" x14ac:dyDescent="0.2">
      <c r="B58" s="464"/>
      <c r="C58" s="464"/>
      <c r="D58" s="470"/>
      <c r="E58" s="471"/>
      <c r="F58" s="471"/>
      <c r="G58" s="471"/>
      <c r="H58" s="471"/>
      <c r="I58" s="471"/>
      <c r="J58" s="471"/>
      <c r="K58" s="471"/>
      <c r="L58" s="471"/>
      <c r="M58" s="471"/>
      <c r="N58" s="471"/>
      <c r="O58" s="471"/>
      <c r="P58" s="472"/>
      <c r="R58" s="478"/>
      <c r="S58" s="473"/>
      <c r="T58" s="473"/>
      <c r="U58" s="473"/>
      <c r="V58" s="473"/>
      <c r="W58" s="473"/>
      <c r="X58" s="473"/>
      <c r="Y58" s="473"/>
      <c r="Z58" s="473"/>
      <c r="AA58" s="473"/>
      <c r="AB58" s="473"/>
      <c r="AC58" s="473"/>
      <c r="AD58" s="472"/>
      <c r="AF58" s="466"/>
      <c r="AG58" s="474"/>
      <c r="AH58" s="474"/>
      <c r="AI58" s="474"/>
      <c r="AJ58" s="474"/>
      <c r="AK58" s="474"/>
      <c r="AL58" s="474"/>
      <c r="AM58" s="474"/>
      <c r="AN58" s="474"/>
      <c r="AO58" s="474"/>
      <c r="AP58" s="474"/>
      <c r="AQ58" s="474"/>
      <c r="AR58" s="475"/>
      <c r="AT58" s="467">
        <f t="shared" si="0"/>
        <v>0</v>
      </c>
      <c r="AU58" s="468">
        <f t="shared" si="1"/>
        <v>0</v>
      </c>
      <c r="AV58" s="468">
        <f t="shared" si="2"/>
        <v>0</v>
      </c>
      <c r="AW58" s="468">
        <f t="shared" si="3"/>
        <v>0</v>
      </c>
      <c r="AX58" s="468">
        <f t="shared" si="4"/>
        <v>0</v>
      </c>
      <c r="AY58" s="468">
        <f t="shared" si="5"/>
        <v>0</v>
      </c>
      <c r="AZ58" s="468">
        <f t="shared" si="6"/>
        <v>0</v>
      </c>
      <c r="BA58" s="468">
        <f t="shared" si="7"/>
        <v>0</v>
      </c>
      <c r="BB58" s="468">
        <f t="shared" si="8"/>
        <v>0</v>
      </c>
      <c r="BC58" s="468">
        <f t="shared" si="9"/>
        <v>0</v>
      </c>
      <c r="BD58" s="468">
        <f t="shared" si="10"/>
        <v>0</v>
      </c>
      <c r="BE58" s="468">
        <f t="shared" si="11"/>
        <v>0</v>
      </c>
      <c r="BF58" s="468">
        <f t="shared" si="12"/>
        <v>0</v>
      </c>
      <c r="BG58" s="469">
        <f t="shared" si="13"/>
        <v>0</v>
      </c>
      <c r="BI58" s="467">
        <f t="shared" si="29"/>
        <v>0</v>
      </c>
      <c r="BJ58" s="468">
        <f t="shared" si="15"/>
        <v>0</v>
      </c>
      <c r="BK58" s="468">
        <f t="shared" si="16"/>
        <v>0</v>
      </c>
      <c r="BL58" s="468">
        <f t="shared" si="17"/>
        <v>0</v>
      </c>
      <c r="BM58" s="468">
        <f t="shared" si="18"/>
        <v>0</v>
      </c>
      <c r="BN58" s="468">
        <f t="shared" si="19"/>
        <v>0</v>
      </c>
      <c r="BO58" s="468">
        <f t="shared" si="20"/>
        <v>0</v>
      </c>
      <c r="BP58" s="468">
        <f t="shared" si="21"/>
        <v>0</v>
      </c>
      <c r="BQ58" s="468">
        <f t="shared" si="22"/>
        <v>0</v>
      </c>
      <c r="BR58" s="468">
        <f t="shared" si="23"/>
        <v>0</v>
      </c>
      <c r="BS58" s="468">
        <f t="shared" si="24"/>
        <v>0</v>
      </c>
      <c r="BT58" s="468">
        <f t="shared" si="25"/>
        <v>0</v>
      </c>
      <c r="BU58" s="468">
        <f t="shared" si="26"/>
        <v>0</v>
      </c>
      <c r="BV58" s="469">
        <f t="shared" si="27"/>
        <v>0</v>
      </c>
    </row>
    <row r="59" spans="2:74" x14ac:dyDescent="0.2">
      <c r="B59" s="464"/>
      <c r="C59" s="479"/>
      <c r="D59" s="476"/>
      <c r="E59" s="465"/>
      <c r="F59" s="465"/>
      <c r="G59" s="465"/>
      <c r="H59" s="465"/>
      <c r="I59" s="465"/>
      <c r="J59" s="465"/>
      <c r="K59" s="465"/>
      <c r="L59" s="465"/>
      <c r="M59" s="465"/>
      <c r="N59" s="465"/>
      <c r="O59" s="465"/>
      <c r="P59" s="480"/>
      <c r="R59" s="481"/>
      <c r="S59" s="482"/>
      <c r="T59" s="482"/>
      <c r="U59" s="482"/>
      <c r="V59" s="482"/>
      <c r="W59" s="482"/>
      <c r="X59" s="482"/>
      <c r="Y59" s="482"/>
      <c r="Z59" s="482"/>
      <c r="AA59" s="483"/>
      <c r="AB59" s="483"/>
      <c r="AC59" s="483"/>
      <c r="AD59" s="484"/>
      <c r="AF59" s="485"/>
      <c r="AG59" s="474"/>
      <c r="AH59" s="474"/>
      <c r="AI59" s="474"/>
      <c r="AJ59" s="474"/>
      <c r="AK59" s="474"/>
      <c r="AL59" s="474"/>
      <c r="AM59" s="474"/>
      <c r="AN59" s="474"/>
      <c r="AO59" s="474"/>
      <c r="AP59" s="474"/>
      <c r="AQ59" s="474"/>
      <c r="AR59" s="475"/>
      <c r="AT59" s="467">
        <f t="shared" si="0"/>
        <v>0</v>
      </c>
      <c r="AU59" s="468">
        <f t="shared" si="1"/>
        <v>0</v>
      </c>
      <c r="AV59" s="468">
        <f t="shared" si="2"/>
        <v>0</v>
      </c>
      <c r="AW59" s="468">
        <f t="shared" si="3"/>
        <v>0</v>
      </c>
      <c r="AX59" s="468">
        <f t="shared" si="4"/>
        <v>0</v>
      </c>
      <c r="AY59" s="468">
        <f t="shared" si="5"/>
        <v>0</v>
      </c>
      <c r="AZ59" s="468">
        <f t="shared" si="6"/>
        <v>0</v>
      </c>
      <c r="BA59" s="468">
        <f t="shared" si="7"/>
        <v>0</v>
      </c>
      <c r="BB59" s="468">
        <f t="shared" si="8"/>
        <v>0</v>
      </c>
      <c r="BC59" s="468">
        <f t="shared" si="9"/>
        <v>0</v>
      </c>
      <c r="BD59" s="468">
        <f t="shared" si="10"/>
        <v>0</v>
      </c>
      <c r="BE59" s="468">
        <f t="shared" si="11"/>
        <v>0</v>
      </c>
      <c r="BF59" s="468">
        <f t="shared" si="12"/>
        <v>0</v>
      </c>
      <c r="BG59" s="469">
        <f t="shared" si="13"/>
        <v>0</v>
      </c>
      <c r="BI59" s="467">
        <f t="shared" si="29"/>
        <v>0</v>
      </c>
      <c r="BJ59" s="468">
        <f t="shared" si="15"/>
        <v>0</v>
      </c>
      <c r="BK59" s="468">
        <f t="shared" si="16"/>
        <v>0</v>
      </c>
      <c r="BL59" s="468">
        <f t="shared" si="17"/>
        <v>0</v>
      </c>
      <c r="BM59" s="468">
        <f t="shared" si="18"/>
        <v>0</v>
      </c>
      <c r="BN59" s="468">
        <f t="shared" si="19"/>
        <v>0</v>
      </c>
      <c r="BO59" s="468">
        <f t="shared" si="20"/>
        <v>0</v>
      </c>
      <c r="BP59" s="468">
        <f t="shared" si="21"/>
        <v>0</v>
      </c>
      <c r="BQ59" s="468">
        <f t="shared" si="22"/>
        <v>0</v>
      </c>
      <c r="BR59" s="468">
        <f t="shared" si="23"/>
        <v>0</v>
      </c>
      <c r="BS59" s="468">
        <f t="shared" si="24"/>
        <v>0</v>
      </c>
      <c r="BT59" s="468">
        <f t="shared" si="25"/>
        <v>0</v>
      </c>
      <c r="BU59" s="468">
        <f t="shared" si="26"/>
        <v>0</v>
      </c>
      <c r="BV59" s="469">
        <f t="shared" si="27"/>
        <v>0</v>
      </c>
    </row>
    <row r="60" spans="2:74" x14ac:dyDescent="0.2">
      <c r="B60" s="464"/>
      <c r="C60" s="479"/>
      <c r="D60" s="476"/>
      <c r="E60" s="465"/>
      <c r="F60" s="465"/>
      <c r="G60" s="465"/>
      <c r="H60" s="465"/>
      <c r="I60" s="465"/>
      <c r="J60" s="465"/>
      <c r="K60" s="465"/>
      <c r="L60" s="465"/>
      <c r="M60" s="465"/>
      <c r="N60" s="465"/>
      <c r="O60" s="465"/>
      <c r="P60" s="480"/>
      <c r="R60" s="481"/>
      <c r="S60" s="482"/>
      <c r="T60" s="482"/>
      <c r="U60" s="482"/>
      <c r="V60" s="482"/>
      <c r="W60" s="482"/>
      <c r="X60" s="482"/>
      <c r="Y60" s="482"/>
      <c r="Z60" s="482"/>
      <c r="AA60" s="483"/>
      <c r="AB60" s="483"/>
      <c r="AC60" s="483"/>
      <c r="AD60" s="484"/>
      <c r="AF60" s="485"/>
      <c r="AG60" s="474"/>
      <c r="AH60" s="474"/>
      <c r="AI60" s="474"/>
      <c r="AJ60" s="474"/>
      <c r="AK60" s="474"/>
      <c r="AL60" s="474"/>
      <c r="AM60" s="474"/>
      <c r="AN60" s="474"/>
      <c r="AO60" s="474"/>
      <c r="AP60" s="474"/>
      <c r="AQ60" s="474"/>
      <c r="AR60" s="475"/>
      <c r="AT60" s="467">
        <f t="shared" si="0"/>
        <v>0</v>
      </c>
      <c r="AU60" s="468">
        <f t="shared" si="1"/>
        <v>0</v>
      </c>
      <c r="AV60" s="468">
        <f t="shared" si="2"/>
        <v>0</v>
      </c>
      <c r="AW60" s="468">
        <f t="shared" si="3"/>
        <v>0</v>
      </c>
      <c r="AX60" s="468">
        <f t="shared" si="4"/>
        <v>0</v>
      </c>
      <c r="AY60" s="468">
        <f t="shared" si="5"/>
        <v>0</v>
      </c>
      <c r="AZ60" s="468">
        <f t="shared" si="6"/>
        <v>0</v>
      </c>
      <c r="BA60" s="468">
        <f t="shared" si="7"/>
        <v>0</v>
      </c>
      <c r="BB60" s="468">
        <f t="shared" si="8"/>
        <v>0</v>
      </c>
      <c r="BC60" s="468">
        <f t="shared" si="9"/>
        <v>0</v>
      </c>
      <c r="BD60" s="468">
        <f t="shared" si="10"/>
        <v>0</v>
      </c>
      <c r="BE60" s="468">
        <f t="shared" si="11"/>
        <v>0</v>
      </c>
      <c r="BF60" s="468">
        <f t="shared" si="12"/>
        <v>0</v>
      </c>
      <c r="BG60" s="469">
        <f t="shared" si="13"/>
        <v>0</v>
      </c>
      <c r="BI60" s="467">
        <f t="shared" si="29"/>
        <v>0</v>
      </c>
      <c r="BJ60" s="468">
        <f t="shared" si="15"/>
        <v>0</v>
      </c>
      <c r="BK60" s="468">
        <f t="shared" si="16"/>
        <v>0</v>
      </c>
      <c r="BL60" s="468">
        <f t="shared" si="17"/>
        <v>0</v>
      </c>
      <c r="BM60" s="468">
        <f t="shared" si="18"/>
        <v>0</v>
      </c>
      <c r="BN60" s="468">
        <f t="shared" si="19"/>
        <v>0</v>
      </c>
      <c r="BO60" s="468">
        <f t="shared" si="20"/>
        <v>0</v>
      </c>
      <c r="BP60" s="468">
        <f t="shared" si="21"/>
        <v>0</v>
      </c>
      <c r="BQ60" s="468">
        <f t="shared" si="22"/>
        <v>0</v>
      </c>
      <c r="BR60" s="468">
        <f t="shared" si="23"/>
        <v>0</v>
      </c>
      <c r="BS60" s="468">
        <f t="shared" si="24"/>
        <v>0</v>
      </c>
      <c r="BT60" s="468">
        <f t="shared" si="25"/>
        <v>0</v>
      </c>
      <c r="BU60" s="468">
        <f t="shared" si="26"/>
        <v>0</v>
      </c>
      <c r="BV60" s="469">
        <f t="shared" si="27"/>
        <v>0</v>
      </c>
    </row>
    <row r="61" spans="2:74" x14ac:dyDescent="0.2">
      <c r="B61" s="464"/>
      <c r="C61" s="479"/>
      <c r="D61" s="476"/>
      <c r="E61" s="465"/>
      <c r="F61" s="465"/>
      <c r="G61" s="465"/>
      <c r="H61" s="465"/>
      <c r="I61" s="465"/>
      <c r="J61" s="465"/>
      <c r="K61" s="465"/>
      <c r="L61" s="465"/>
      <c r="M61" s="465"/>
      <c r="N61" s="465"/>
      <c r="O61" s="465"/>
      <c r="P61" s="480"/>
      <c r="R61" s="481"/>
      <c r="S61" s="482"/>
      <c r="T61" s="482"/>
      <c r="U61" s="482"/>
      <c r="V61" s="482"/>
      <c r="W61" s="482"/>
      <c r="X61" s="482"/>
      <c r="Y61" s="482"/>
      <c r="Z61" s="482"/>
      <c r="AA61" s="483"/>
      <c r="AB61" s="483"/>
      <c r="AC61" s="483"/>
      <c r="AD61" s="484"/>
      <c r="AF61" s="485"/>
      <c r="AG61" s="474"/>
      <c r="AH61" s="474"/>
      <c r="AI61" s="474"/>
      <c r="AJ61" s="474"/>
      <c r="AK61" s="474"/>
      <c r="AL61" s="474"/>
      <c r="AM61" s="474"/>
      <c r="AN61" s="474"/>
      <c r="AO61" s="474"/>
      <c r="AP61" s="474"/>
      <c r="AQ61" s="474"/>
      <c r="AR61" s="475"/>
      <c r="AT61" s="467">
        <f t="shared" si="0"/>
        <v>0</v>
      </c>
      <c r="AU61" s="468">
        <f t="shared" si="1"/>
        <v>0</v>
      </c>
      <c r="AV61" s="468">
        <f t="shared" si="2"/>
        <v>0</v>
      </c>
      <c r="AW61" s="468">
        <f t="shared" si="3"/>
        <v>0</v>
      </c>
      <c r="AX61" s="468">
        <f t="shared" si="4"/>
        <v>0</v>
      </c>
      <c r="AY61" s="468">
        <f t="shared" si="5"/>
        <v>0</v>
      </c>
      <c r="AZ61" s="468">
        <f t="shared" si="6"/>
        <v>0</v>
      </c>
      <c r="BA61" s="468">
        <f t="shared" si="7"/>
        <v>0</v>
      </c>
      <c r="BB61" s="468">
        <f t="shared" si="8"/>
        <v>0</v>
      </c>
      <c r="BC61" s="468">
        <f t="shared" si="9"/>
        <v>0</v>
      </c>
      <c r="BD61" s="468">
        <f t="shared" si="10"/>
        <v>0</v>
      </c>
      <c r="BE61" s="468">
        <f t="shared" si="11"/>
        <v>0</v>
      </c>
      <c r="BF61" s="468">
        <f t="shared" si="12"/>
        <v>0</v>
      </c>
      <c r="BG61" s="469">
        <f t="shared" si="13"/>
        <v>0</v>
      </c>
      <c r="BI61" s="467">
        <f t="shared" si="29"/>
        <v>0</v>
      </c>
      <c r="BJ61" s="468">
        <f t="shared" si="15"/>
        <v>0</v>
      </c>
      <c r="BK61" s="468">
        <f t="shared" si="16"/>
        <v>0</v>
      </c>
      <c r="BL61" s="468">
        <f t="shared" si="17"/>
        <v>0</v>
      </c>
      <c r="BM61" s="468">
        <f t="shared" si="18"/>
        <v>0</v>
      </c>
      <c r="BN61" s="468">
        <f t="shared" si="19"/>
        <v>0</v>
      </c>
      <c r="BO61" s="468">
        <f t="shared" si="20"/>
        <v>0</v>
      </c>
      <c r="BP61" s="468">
        <f t="shared" si="21"/>
        <v>0</v>
      </c>
      <c r="BQ61" s="468">
        <f t="shared" si="22"/>
        <v>0</v>
      </c>
      <c r="BR61" s="468">
        <f t="shared" si="23"/>
        <v>0</v>
      </c>
      <c r="BS61" s="468">
        <f t="shared" si="24"/>
        <v>0</v>
      </c>
      <c r="BT61" s="468">
        <f t="shared" si="25"/>
        <v>0</v>
      </c>
      <c r="BU61" s="468">
        <f t="shared" si="26"/>
        <v>0</v>
      </c>
      <c r="BV61" s="469">
        <f t="shared" si="27"/>
        <v>0</v>
      </c>
    </row>
    <row r="62" spans="2:74" x14ac:dyDescent="0.2">
      <c r="B62" s="464"/>
      <c r="C62" s="479"/>
      <c r="D62" s="476"/>
      <c r="E62" s="465"/>
      <c r="F62" s="465"/>
      <c r="G62" s="465"/>
      <c r="H62" s="465"/>
      <c r="I62" s="465"/>
      <c r="J62" s="465"/>
      <c r="K62" s="465"/>
      <c r="L62" s="465"/>
      <c r="M62" s="465"/>
      <c r="N62" s="465"/>
      <c r="O62" s="465"/>
      <c r="P62" s="480"/>
      <c r="R62" s="481"/>
      <c r="S62" s="482"/>
      <c r="T62" s="482"/>
      <c r="U62" s="482"/>
      <c r="V62" s="482"/>
      <c r="W62" s="482"/>
      <c r="X62" s="482"/>
      <c r="Y62" s="482"/>
      <c r="Z62" s="482"/>
      <c r="AA62" s="483"/>
      <c r="AB62" s="483"/>
      <c r="AC62" s="483"/>
      <c r="AD62" s="484"/>
      <c r="AF62" s="485"/>
      <c r="AG62" s="474"/>
      <c r="AH62" s="474"/>
      <c r="AI62" s="474"/>
      <c r="AJ62" s="474"/>
      <c r="AK62" s="474"/>
      <c r="AL62" s="474"/>
      <c r="AM62" s="474"/>
      <c r="AN62" s="474"/>
      <c r="AO62" s="474"/>
      <c r="AP62" s="474"/>
      <c r="AQ62" s="474"/>
      <c r="AR62" s="475"/>
      <c r="AT62" s="467">
        <f t="shared" si="0"/>
        <v>0</v>
      </c>
      <c r="AU62" s="468">
        <f t="shared" si="1"/>
        <v>0</v>
      </c>
      <c r="AV62" s="468">
        <f t="shared" si="2"/>
        <v>0</v>
      </c>
      <c r="AW62" s="468">
        <f t="shared" si="3"/>
        <v>0</v>
      </c>
      <c r="AX62" s="468">
        <f t="shared" si="4"/>
        <v>0</v>
      </c>
      <c r="AY62" s="468">
        <f t="shared" si="5"/>
        <v>0</v>
      </c>
      <c r="AZ62" s="468">
        <f t="shared" si="6"/>
        <v>0</v>
      </c>
      <c r="BA62" s="468">
        <f t="shared" si="7"/>
        <v>0</v>
      </c>
      <c r="BB62" s="468">
        <f t="shared" si="8"/>
        <v>0</v>
      </c>
      <c r="BC62" s="468">
        <f t="shared" si="9"/>
        <v>0</v>
      </c>
      <c r="BD62" s="468">
        <f t="shared" si="10"/>
        <v>0</v>
      </c>
      <c r="BE62" s="468">
        <f t="shared" si="11"/>
        <v>0</v>
      </c>
      <c r="BF62" s="468">
        <f t="shared" si="12"/>
        <v>0</v>
      </c>
      <c r="BG62" s="469">
        <f t="shared" si="13"/>
        <v>0</v>
      </c>
      <c r="BI62" s="467">
        <f t="shared" si="29"/>
        <v>0</v>
      </c>
      <c r="BJ62" s="468">
        <f t="shared" si="15"/>
        <v>0</v>
      </c>
      <c r="BK62" s="468">
        <f t="shared" si="16"/>
        <v>0</v>
      </c>
      <c r="BL62" s="468">
        <f t="shared" si="17"/>
        <v>0</v>
      </c>
      <c r="BM62" s="468">
        <f t="shared" si="18"/>
        <v>0</v>
      </c>
      <c r="BN62" s="468">
        <f t="shared" si="19"/>
        <v>0</v>
      </c>
      <c r="BO62" s="468">
        <f t="shared" si="20"/>
        <v>0</v>
      </c>
      <c r="BP62" s="468">
        <f t="shared" si="21"/>
        <v>0</v>
      </c>
      <c r="BQ62" s="468">
        <f t="shared" si="22"/>
        <v>0</v>
      </c>
      <c r="BR62" s="468">
        <f t="shared" si="23"/>
        <v>0</v>
      </c>
      <c r="BS62" s="468">
        <f t="shared" si="24"/>
        <v>0</v>
      </c>
      <c r="BT62" s="468">
        <f t="shared" si="25"/>
        <v>0</v>
      </c>
      <c r="BU62" s="468">
        <f t="shared" si="26"/>
        <v>0</v>
      </c>
      <c r="BV62" s="469">
        <f t="shared" si="27"/>
        <v>0</v>
      </c>
    </row>
    <row r="63" spans="2:74" x14ac:dyDescent="0.2">
      <c r="B63" s="464"/>
      <c r="C63" s="479"/>
      <c r="D63" s="476"/>
      <c r="E63" s="465"/>
      <c r="F63" s="465"/>
      <c r="G63" s="465"/>
      <c r="H63" s="465"/>
      <c r="I63" s="465"/>
      <c r="J63" s="465"/>
      <c r="K63" s="465"/>
      <c r="L63" s="465"/>
      <c r="M63" s="465"/>
      <c r="N63" s="465"/>
      <c r="O63" s="465"/>
      <c r="P63" s="480"/>
      <c r="R63" s="481"/>
      <c r="S63" s="482"/>
      <c r="T63" s="482"/>
      <c r="U63" s="482"/>
      <c r="V63" s="482"/>
      <c r="W63" s="482"/>
      <c r="X63" s="482"/>
      <c r="Y63" s="482"/>
      <c r="Z63" s="482"/>
      <c r="AA63" s="483"/>
      <c r="AB63" s="483"/>
      <c r="AC63" s="483"/>
      <c r="AD63" s="484"/>
      <c r="AF63" s="485"/>
      <c r="AG63" s="474"/>
      <c r="AH63" s="474"/>
      <c r="AI63" s="474"/>
      <c r="AJ63" s="474"/>
      <c r="AK63" s="474"/>
      <c r="AL63" s="474"/>
      <c r="AM63" s="474"/>
      <c r="AN63" s="474"/>
      <c r="AO63" s="474"/>
      <c r="AP63" s="474"/>
      <c r="AQ63" s="474"/>
      <c r="AR63" s="475"/>
      <c r="AT63" s="467">
        <f t="shared" si="0"/>
        <v>0</v>
      </c>
      <c r="AU63" s="468">
        <f t="shared" si="1"/>
        <v>0</v>
      </c>
      <c r="AV63" s="468">
        <f t="shared" si="2"/>
        <v>0</v>
      </c>
      <c r="AW63" s="468">
        <f t="shared" si="3"/>
        <v>0</v>
      </c>
      <c r="AX63" s="468">
        <f t="shared" si="4"/>
        <v>0</v>
      </c>
      <c r="AY63" s="468">
        <f t="shared" si="5"/>
        <v>0</v>
      </c>
      <c r="AZ63" s="468">
        <f t="shared" si="6"/>
        <v>0</v>
      </c>
      <c r="BA63" s="468">
        <f t="shared" si="7"/>
        <v>0</v>
      </c>
      <c r="BB63" s="468">
        <f t="shared" si="8"/>
        <v>0</v>
      </c>
      <c r="BC63" s="468">
        <f t="shared" si="9"/>
        <v>0</v>
      </c>
      <c r="BD63" s="468">
        <f t="shared" si="10"/>
        <v>0</v>
      </c>
      <c r="BE63" s="468">
        <f t="shared" si="11"/>
        <v>0</v>
      </c>
      <c r="BF63" s="468">
        <f t="shared" si="12"/>
        <v>0</v>
      </c>
      <c r="BG63" s="469">
        <f t="shared" si="13"/>
        <v>0</v>
      </c>
      <c r="BI63" s="467">
        <f t="shared" si="29"/>
        <v>0</v>
      </c>
      <c r="BJ63" s="468">
        <f t="shared" si="15"/>
        <v>0</v>
      </c>
      <c r="BK63" s="468">
        <f t="shared" si="16"/>
        <v>0</v>
      </c>
      <c r="BL63" s="468">
        <f t="shared" si="17"/>
        <v>0</v>
      </c>
      <c r="BM63" s="468">
        <f t="shared" si="18"/>
        <v>0</v>
      </c>
      <c r="BN63" s="468">
        <f t="shared" si="19"/>
        <v>0</v>
      </c>
      <c r="BO63" s="468">
        <f t="shared" si="20"/>
        <v>0</v>
      </c>
      <c r="BP63" s="468">
        <f t="shared" si="21"/>
        <v>0</v>
      </c>
      <c r="BQ63" s="468">
        <f t="shared" si="22"/>
        <v>0</v>
      </c>
      <c r="BR63" s="468">
        <f t="shared" si="23"/>
        <v>0</v>
      </c>
      <c r="BS63" s="468">
        <f t="shared" si="24"/>
        <v>0</v>
      </c>
      <c r="BT63" s="468">
        <f t="shared" si="25"/>
        <v>0</v>
      </c>
      <c r="BU63" s="468">
        <f t="shared" si="26"/>
        <v>0</v>
      </c>
      <c r="BV63" s="469">
        <f t="shared" si="27"/>
        <v>0</v>
      </c>
    </row>
    <row r="64" spans="2:74" x14ac:dyDescent="0.2">
      <c r="B64" s="464"/>
      <c r="C64" s="479"/>
      <c r="D64" s="476"/>
      <c r="E64" s="465"/>
      <c r="F64" s="465"/>
      <c r="G64" s="465"/>
      <c r="H64" s="465"/>
      <c r="I64" s="465"/>
      <c r="J64" s="465"/>
      <c r="K64" s="465"/>
      <c r="L64" s="465"/>
      <c r="M64" s="465"/>
      <c r="N64" s="465"/>
      <c r="O64" s="465"/>
      <c r="P64" s="480"/>
      <c r="R64" s="481"/>
      <c r="S64" s="482"/>
      <c r="T64" s="482"/>
      <c r="U64" s="482"/>
      <c r="V64" s="482"/>
      <c r="W64" s="482"/>
      <c r="X64" s="482"/>
      <c r="Y64" s="482"/>
      <c r="Z64" s="482"/>
      <c r="AA64" s="483"/>
      <c r="AB64" s="483"/>
      <c r="AC64" s="483"/>
      <c r="AD64" s="484"/>
      <c r="AF64" s="485"/>
      <c r="AG64" s="474"/>
      <c r="AH64" s="474"/>
      <c r="AI64" s="474"/>
      <c r="AJ64" s="474"/>
      <c r="AK64" s="474"/>
      <c r="AL64" s="474"/>
      <c r="AM64" s="474"/>
      <c r="AN64" s="474"/>
      <c r="AO64" s="474"/>
      <c r="AP64" s="474"/>
      <c r="AQ64" s="474"/>
      <c r="AR64" s="475"/>
      <c r="AT64" s="467">
        <f t="shared" si="0"/>
        <v>0</v>
      </c>
      <c r="AU64" s="468">
        <f t="shared" si="1"/>
        <v>0</v>
      </c>
      <c r="AV64" s="468">
        <f t="shared" si="2"/>
        <v>0</v>
      </c>
      <c r="AW64" s="468">
        <f t="shared" si="3"/>
        <v>0</v>
      </c>
      <c r="AX64" s="468">
        <f t="shared" si="4"/>
        <v>0</v>
      </c>
      <c r="AY64" s="468">
        <f t="shared" si="5"/>
        <v>0</v>
      </c>
      <c r="AZ64" s="468">
        <f t="shared" si="6"/>
        <v>0</v>
      </c>
      <c r="BA64" s="468">
        <f t="shared" si="7"/>
        <v>0</v>
      </c>
      <c r="BB64" s="468">
        <f t="shared" si="8"/>
        <v>0</v>
      </c>
      <c r="BC64" s="468">
        <f t="shared" si="9"/>
        <v>0</v>
      </c>
      <c r="BD64" s="468">
        <f t="shared" si="10"/>
        <v>0</v>
      </c>
      <c r="BE64" s="468">
        <f t="shared" si="11"/>
        <v>0</v>
      </c>
      <c r="BF64" s="468">
        <f t="shared" si="12"/>
        <v>0</v>
      </c>
      <c r="BG64" s="469">
        <f t="shared" si="13"/>
        <v>0</v>
      </c>
      <c r="BI64" s="467">
        <f t="shared" si="29"/>
        <v>0</v>
      </c>
      <c r="BJ64" s="468">
        <f t="shared" si="15"/>
        <v>0</v>
      </c>
      <c r="BK64" s="468">
        <f t="shared" si="16"/>
        <v>0</v>
      </c>
      <c r="BL64" s="468">
        <f t="shared" si="17"/>
        <v>0</v>
      </c>
      <c r="BM64" s="468">
        <f t="shared" si="18"/>
        <v>0</v>
      </c>
      <c r="BN64" s="468">
        <f t="shared" si="19"/>
        <v>0</v>
      </c>
      <c r="BO64" s="468">
        <f t="shared" si="20"/>
        <v>0</v>
      </c>
      <c r="BP64" s="468">
        <f t="shared" si="21"/>
        <v>0</v>
      </c>
      <c r="BQ64" s="468">
        <f t="shared" si="22"/>
        <v>0</v>
      </c>
      <c r="BR64" s="468">
        <f t="shared" si="23"/>
        <v>0</v>
      </c>
      <c r="BS64" s="468">
        <f t="shared" si="24"/>
        <v>0</v>
      </c>
      <c r="BT64" s="468">
        <f t="shared" si="25"/>
        <v>0</v>
      </c>
      <c r="BU64" s="468">
        <f t="shared" si="26"/>
        <v>0</v>
      </c>
      <c r="BV64" s="469">
        <f t="shared" si="27"/>
        <v>0</v>
      </c>
    </row>
    <row r="65" spans="2:74" ht="13.5" thickBot="1" x14ac:dyDescent="0.25">
      <c r="B65" s="486"/>
      <c r="C65" s="487"/>
      <c r="D65" s="488"/>
      <c r="E65" s="489"/>
      <c r="F65" s="489"/>
      <c r="G65" s="489"/>
      <c r="H65" s="489"/>
      <c r="I65" s="489"/>
      <c r="J65" s="489"/>
      <c r="K65" s="489"/>
      <c r="L65" s="489"/>
      <c r="M65" s="489"/>
      <c r="N65" s="489"/>
      <c r="O65" s="489"/>
      <c r="P65" s="490"/>
      <c r="R65" s="491"/>
      <c r="S65" s="492"/>
      <c r="T65" s="492"/>
      <c r="U65" s="492"/>
      <c r="V65" s="492"/>
      <c r="W65" s="492"/>
      <c r="X65" s="492"/>
      <c r="Y65" s="492"/>
      <c r="Z65" s="492"/>
      <c r="AA65" s="493"/>
      <c r="AB65" s="493"/>
      <c r="AC65" s="493"/>
      <c r="AD65" s="494"/>
      <c r="AF65" s="495"/>
      <c r="AG65" s="496"/>
      <c r="AH65" s="496"/>
      <c r="AI65" s="496"/>
      <c r="AJ65" s="496"/>
      <c r="AK65" s="496"/>
      <c r="AL65" s="496"/>
      <c r="AM65" s="496"/>
      <c r="AN65" s="496"/>
      <c r="AO65" s="496"/>
      <c r="AP65" s="496"/>
      <c r="AQ65" s="496"/>
      <c r="AR65" s="497"/>
      <c r="AT65" s="498">
        <f t="shared" si="0"/>
        <v>0</v>
      </c>
      <c r="AU65" s="499">
        <f t="shared" si="1"/>
        <v>0</v>
      </c>
      <c r="AV65" s="499">
        <f t="shared" si="2"/>
        <v>0</v>
      </c>
      <c r="AW65" s="499">
        <f t="shared" si="3"/>
        <v>0</v>
      </c>
      <c r="AX65" s="499">
        <f t="shared" si="4"/>
        <v>0</v>
      </c>
      <c r="AY65" s="499">
        <f t="shared" si="5"/>
        <v>0</v>
      </c>
      <c r="AZ65" s="499">
        <f t="shared" si="6"/>
        <v>0</v>
      </c>
      <c r="BA65" s="499">
        <f t="shared" si="7"/>
        <v>0</v>
      </c>
      <c r="BB65" s="499">
        <f t="shared" si="8"/>
        <v>0</v>
      </c>
      <c r="BC65" s="499">
        <f t="shared" si="9"/>
        <v>0</v>
      </c>
      <c r="BD65" s="499">
        <f t="shared" si="10"/>
        <v>0</v>
      </c>
      <c r="BE65" s="499">
        <f t="shared" si="11"/>
        <v>0</v>
      </c>
      <c r="BF65" s="499">
        <f t="shared" si="12"/>
        <v>0</v>
      </c>
      <c r="BG65" s="500">
        <f t="shared" si="13"/>
        <v>0</v>
      </c>
      <c r="BI65" s="498">
        <f t="shared" si="29"/>
        <v>0</v>
      </c>
      <c r="BJ65" s="499">
        <f t="shared" si="15"/>
        <v>0</v>
      </c>
      <c r="BK65" s="499">
        <f t="shared" si="16"/>
        <v>0</v>
      </c>
      <c r="BL65" s="499">
        <f t="shared" si="17"/>
        <v>0</v>
      </c>
      <c r="BM65" s="499">
        <f t="shared" si="18"/>
        <v>0</v>
      </c>
      <c r="BN65" s="499">
        <f t="shared" si="19"/>
        <v>0</v>
      </c>
      <c r="BO65" s="499">
        <f t="shared" si="20"/>
        <v>0</v>
      </c>
      <c r="BP65" s="499">
        <f t="shared" si="21"/>
        <v>0</v>
      </c>
      <c r="BQ65" s="499">
        <f t="shared" si="22"/>
        <v>0</v>
      </c>
      <c r="BR65" s="499">
        <f t="shared" si="23"/>
        <v>0</v>
      </c>
      <c r="BS65" s="499">
        <f t="shared" si="24"/>
        <v>0</v>
      </c>
      <c r="BT65" s="499">
        <f t="shared" si="25"/>
        <v>0</v>
      </c>
      <c r="BU65" s="499">
        <f t="shared" si="26"/>
        <v>0</v>
      </c>
      <c r="BV65" s="500">
        <f t="shared" si="27"/>
        <v>0</v>
      </c>
    </row>
    <row r="66" spans="2:74" s="501" customFormat="1" ht="13.5" thickBot="1" x14ac:dyDescent="0.25">
      <c r="AF66" s="502">
        <f t="shared" ref="AF66:AR66" si="30">SUM(AF6:AF65)</f>
        <v>251870585.43828374</v>
      </c>
      <c r="AG66" s="502">
        <f t="shared" si="30"/>
        <v>1105073281.1039526</v>
      </c>
      <c r="AH66" s="502">
        <f t="shared" si="30"/>
        <v>13590995.171930563</v>
      </c>
      <c r="AI66" s="503">
        <f t="shared" si="30"/>
        <v>1070758535.8825854</v>
      </c>
      <c r="AJ66" s="503">
        <f t="shared" si="30"/>
        <v>1769485306.2105303</v>
      </c>
      <c r="AK66" s="502">
        <f t="shared" si="30"/>
        <v>0</v>
      </c>
      <c r="AL66" s="502">
        <f t="shared" si="30"/>
        <v>1535616518.1730585</v>
      </c>
      <c r="AM66" s="502">
        <f t="shared" si="30"/>
        <v>2366381227.3844643</v>
      </c>
      <c r="AN66" s="502">
        <f t="shared" si="30"/>
        <v>27719428.929923877</v>
      </c>
      <c r="AO66" s="502">
        <f t="shared" si="30"/>
        <v>434885104.18464965</v>
      </c>
      <c r="AP66" s="502">
        <f t="shared" si="30"/>
        <v>131258313.60085636</v>
      </c>
      <c r="AQ66" s="502">
        <f t="shared" si="30"/>
        <v>27840603.376435239</v>
      </c>
      <c r="AR66" s="502">
        <f t="shared" si="30"/>
        <v>50131603.072093338</v>
      </c>
      <c r="AT66" s="504">
        <f t="shared" ref="AT66:BG66" si="31">SUM(AT6:AT65)</f>
        <v>18644324.840992779</v>
      </c>
      <c r="AU66" s="504">
        <f t="shared" si="31"/>
        <v>88097903.214710981</v>
      </c>
      <c r="AV66" s="504">
        <f t="shared" si="31"/>
        <v>670180.20007528958</v>
      </c>
      <c r="AW66" s="504">
        <f t="shared" si="31"/>
        <v>33900642.731311813</v>
      </c>
      <c r="AX66" s="504">
        <f t="shared" si="31"/>
        <v>112003185.12216322</v>
      </c>
      <c r="AY66" s="504">
        <f t="shared" si="31"/>
        <v>0</v>
      </c>
      <c r="AZ66" s="504">
        <f t="shared" si="31"/>
        <v>41601772.767390817</v>
      </c>
      <c r="BA66" s="504">
        <f t="shared" si="31"/>
        <v>30742714.242076118</v>
      </c>
      <c r="BB66" s="504">
        <f t="shared" si="31"/>
        <v>1051184.8957094681</v>
      </c>
      <c r="BC66" s="504">
        <f t="shared" si="31"/>
        <v>58250898.85262537</v>
      </c>
      <c r="BD66" s="504">
        <f t="shared" si="31"/>
        <v>26183431.801359389</v>
      </c>
      <c r="BE66" s="504">
        <f t="shared" si="31"/>
        <v>11030143.355291512</v>
      </c>
      <c r="BF66" s="504">
        <f t="shared" si="31"/>
        <v>13239069.65981839</v>
      </c>
      <c r="BG66" s="504">
        <f t="shared" si="31"/>
        <v>435415451.6835252</v>
      </c>
      <c r="BI66" s="504">
        <f t="shared" ref="BI66:BV66" si="32">SUM(BI6:BI65)</f>
        <v>18054084.571216598</v>
      </c>
      <c r="BJ66" s="504">
        <f t="shared" si="32"/>
        <v>96375405.770490304</v>
      </c>
      <c r="BK66" s="504">
        <f t="shared" si="32"/>
        <v>613171.26704207447</v>
      </c>
      <c r="BL66" s="504">
        <f t="shared" si="32"/>
        <v>38290131.253465943</v>
      </c>
      <c r="BM66" s="504">
        <f t="shared" si="32"/>
        <v>98748793.047455028</v>
      </c>
      <c r="BN66" s="504">
        <f t="shared" si="32"/>
        <v>0</v>
      </c>
      <c r="BO66" s="504">
        <f t="shared" si="32"/>
        <v>48099314.501699813</v>
      </c>
      <c r="BP66" s="504">
        <f t="shared" si="32"/>
        <v>28984265.564742781</v>
      </c>
      <c r="BQ66" s="504">
        <f t="shared" si="32"/>
        <v>964213.89019689651</v>
      </c>
      <c r="BR66" s="504">
        <f t="shared" si="32"/>
        <v>55310171.412849724</v>
      </c>
      <c r="BS66" s="504">
        <f t="shared" si="32"/>
        <v>24794106.688732445</v>
      </c>
      <c r="BT66" s="504">
        <f t="shared" si="32"/>
        <v>5346885.7804877758</v>
      </c>
      <c r="BU66" s="504">
        <f t="shared" si="32"/>
        <v>6420068.5107902996</v>
      </c>
      <c r="BV66" s="504">
        <f t="shared" si="32"/>
        <v>422000612.25916976</v>
      </c>
    </row>
    <row r="67" spans="2:74" s="501" customFormat="1" ht="13.5" thickTop="1" x14ac:dyDescent="0.2"/>
    <row r="68" spans="2:74" s="501" customFormat="1" x14ac:dyDescent="0.2">
      <c r="BG68" s="609"/>
      <c r="BV68" s="609"/>
    </row>
    <row r="69" spans="2:74" s="501" customFormat="1" x14ac:dyDescent="0.2">
      <c r="BV69" s="609"/>
    </row>
    <row r="70" spans="2:74" s="501" customFormat="1" x14ac:dyDescent="0.2">
      <c r="BV70" s="609"/>
    </row>
    <row r="71" spans="2:74" s="501" customFormat="1" x14ac:dyDescent="0.2">
      <c r="BV71" s="609"/>
    </row>
    <row r="72" spans="2:74" s="501" customFormat="1" x14ac:dyDescent="0.2"/>
    <row r="73" spans="2:74" s="501" customFormat="1" x14ac:dyDescent="0.2"/>
    <row r="74" spans="2:74" s="501" customFormat="1" x14ac:dyDescent="0.2"/>
    <row r="75" spans="2:74" s="501" customFormat="1" x14ac:dyDescent="0.2"/>
    <row r="76" spans="2:74" s="501" customFormat="1" x14ac:dyDescent="0.2"/>
    <row r="77" spans="2:74" s="501" customFormat="1" x14ac:dyDescent="0.2"/>
    <row r="78" spans="2:74" s="501" customFormat="1" x14ac:dyDescent="0.2"/>
    <row r="79" spans="2:74" s="501" customFormat="1" x14ac:dyDescent="0.2"/>
    <row r="80" spans="2:74" s="501" customFormat="1" x14ac:dyDescent="0.2"/>
    <row r="81" s="501" customFormat="1" x14ac:dyDescent="0.2"/>
    <row r="82" s="501" customFormat="1" x14ac:dyDescent="0.2"/>
    <row r="83" s="501" customFormat="1" x14ac:dyDescent="0.2"/>
    <row r="84" s="501" customFormat="1" x14ac:dyDescent="0.2"/>
    <row r="85" s="501" customFormat="1" x14ac:dyDescent="0.2"/>
    <row r="86" s="501" customFormat="1" x14ac:dyDescent="0.2"/>
    <row r="87" s="501" customFormat="1" x14ac:dyDescent="0.2"/>
    <row r="88" s="501" customFormat="1" x14ac:dyDescent="0.2"/>
    <row r="89" s="501" customFormat="1" x14ac:dyDescent="0.2"/>
    <row r="90" s="501" customFormat="1" x14ac:dyDescent="0.2"/>
    <row r="91" s="501" customFormat="1" x14ac:dyDescent="0.2"/>
    <row r="92" s="501" customFormat="1" x14ac:dyDescent="0.2"/>
    <row r="93" s="501" customFormat="1" x14ac:dyDescent="0.2"/>
    <row r="94" s="501" customFormat="1" x14ac:dyDescent="0.2"/>
    <row r="95" s="501" customFormat="1" x14ac:dyDescent="0.2"/>
    <row r="96" s="501" customFormat="1" x14ac:dyDescent="0.2"/>
    <row r="97" s="501" customFormat="1" x14ac:dyDescent="0.2"/>
    <row r="98" s="501" customFormat="1" x14ac:dyDescent="0.2"/>
    <row r="99" s="501" customFormat="1" x14ac:dyDescent="0.2"/>
    <row r="100" s="501" customFormat="1" x14ac:dyDescent="0.2"/>
    <row r="101" s="501" customFormat="1" x14ac:dyDescent="0.2"/>
    <row r="102" s="501" customFormat="1" x14ac:dyDescent="0.2"/>
    <row r="103" s="501" customFormat="1" x14ac:dyDescent="0.2"/>
    <row r="104" s="501" customFormat="1" x14ac:dyDescent="0.2"/>
    <row r="105" s="501" customFormat="1" x14ac:dyDescent="0.2"/>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2:AC78"/>
  <sheetViews>
    <sheetView zoomScale="80" zoomScaleNormal="80" workbookViewId="0"/>
  </sheetViews>
  <sheetFormatPr defaultRowHeight="14.25" x14ac:dyDescent="0.2"/>
  <cols>
    <col min="1" max="1" width="5.42578125" style="32" customWidth="1"/>
    <col min="2" max="2" width="78.42578125" style="33" customWidth="1"/>
    <col min="3" max="3" width="18.5703125" style="34" customWidth="1"/>
    <col min="4" max="5" width="18.5703125" style="35" customWidth="1"/>
    <col min="6" max="6" width="9.140625" style="35" customWidth="1"/>
    <col min="7" max="8" width="18.5703125" style="35" customWidth="1"/>
    <col min="9" max="10" width="9.140625" style="36" customWidth="1"/>
    <col min="11" max="16" width="9.140625" style="35" customWidth="1"/>
    <col min="17" max="20" width="9.140625" style="35"/>
    <col min="21" max="21" width="9.14062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x14ac:dyDescent="0.25">
      <c r="B2" s="63" t="str">
        <f>"Tariff Approval - "&amp;'Model update'!$C$3</f>
        <v>Tariff Approval - United Energy</v>
      </c>
      <c r="D2" s="38"/>
      <c r="G2" s="161"/>
      <c r="M2" s="77"/>
      <c r="N2" s="77"/>
      <c r="O2" s="77"/>
      <c r="P2" s="77"/>
      <c r="Q2" s="77"/>
      <c r="R2" s="77"/>
    </row>
    <row r="3" spans="1:24" ht="15" x14ac:dyDescent="0.25">
      <c r="B3" s="155"/>
      <c r="D3" s="38"/>
      <c r="M3" s="77"/>
      <c r="N3" s="77"/>
      <c r="O3" s="77"/>
      <c r="P3" s="77"/>
      <c r="Q3" s="77"/>
      <c r="R3" s="77"/>
    </row>
    <row r="4" spans="1:24" ht="18.75" x14ac:dyDescent="0.3">
      <c r="B4" s="156" t="s">
        <v>292</v>
      </c>
      <c r="C4" s="157"/>
      <c r="D4" s="38"/>
      <c r="M4" s="77"/>
      <c r="N4" s="77"/>
      <c r="O4" s="77"/>
      <c r="P4" s="77"/>
      <c r="Q4" s="77"/>
      <c r="R4" s="77"/>
    </row>
    <row r="5" spans="1:24" ht="15" x14ac:dyDescent="0.25">
      <c r="B5" s="39"/>
      <c r="D5" s="38"/>
      <c r="M5" s="77"/>
      <c r="N5" s="77"/>
      <c r="O5" s="77"/>
      <c r="P5" s="77"/>
      <c r="Q5" s="77"/>
      <c r="R5" s="77"/>
    </row>
    <row r="6" spans="1:24" ht="15" x14ac:dyDescent="0.25">
      <c r="B6" s="73" t="s">
        <v>267</v>
      </c>
      <c r="C6" s="108">
        <f>'Model update'!C5</f>
        <v>2019</v>
      </c>
      <c r="D6" s="38"/>
      <c r="H6" s="658">
        <f>C6-1</f>
        <v>2018</v>
      </c>
      <c r="M6" s="77"/>
      <c r="N6" s="77"/>
      <c r="O6" s="77"/>
      <c r="P6" s="77"/>
      <c r="Q6" s="77"/>
      <c r="R6" s="77"/>
    </row>
    <row r="7" spans="1:24" ht="15" x14ac:dyDescent="0.25">
      <c r="B7" s="37"/>
      <c r="C7" s="41"/>
      <c r="D7" s="38"/>
      <c r="E7" s="32"/>
      <c r="F7" s="32"/>
      <c r="G7" s="32"/>
      <c r="H7" s="32"/>
      <c r="I7" s="42"/>
      <c r="J7" s="42"/>
      <c r="K7" s="32"/>
      <c r="L7" s="32"/>
      <c r="M7" s="83"/>
      <c r="N7" s="83"/>
      <c r="O7" s="83"/>
      <c r="P7" s="83"/>
      <c r="Q7" s="83"/>
      <c r="R7" s="83"/>
      <c r="S7" s="32"/>
    </row>
    <row r="8" spans="1:24" ht="18" customHeight="1" x14ac:dyDescent="0.2">
      <c r="A8" s="43"/>
      <c r="B8" s="44" t="s">
        <v>108</v>
      </c>
      <c r="C8" s="46"/>
      <c r="D8" s="47"/>
      <c r="E8" s="47"/>
      <c r="M8" s="77"/>
      <c r="N8" s="77"/>
      <c r="O8" s="77"/>
      <c r="P8" s="77"/>
      <c r="Q8" s="77"/>
      <c r="R8" s="77"/>
    </row>
    <row r="9" spans="1:24" ht="18" customHeight="1" x14ac:dyDescent="0.2">
      <c r="A9" s="43"/>
      <c r="B9" s="48" t="s">
        <v>118</v>
      </c>
      <c r="C9" s="72">
        <f>Prop2019DistTar!BG66</f>
        <v>435415451.6835252</v>
      </c>
      <c r="D9" s="47"/>
      <c r="E9" s="36"/>
      <c r="H9" s="36"/>
      <c r="I9" s="35"/>
      <c r="J9" s="35"/>
      <c r="M9" s="77"/>
      <c r="N9" s="77"/>
      <c r="O9" s="77"/>
      <c r="P9" s="77"/>
      <c r="Q9" s="77"/>
      <c r="R9" s="77"/>
    </row>
    <row r="10" spans="1:24" ht="18" customHeight="1" x14ac:dyDescent="0.2">
      <c r="A10" s="43"/>
      <c r="B10" s="84" t="s">
        <v>119</v>
      </c>
      <c r="C10" s="85">
        <f>C18</f>
        <v>435416726.20338309</v>
      </c>
      <c r="D10" s="843"/>
      <c r="E10" s="36"/>
      <c r="H10" s="36"/>
      <c r="I10" s="35"/>
      <c r="J10" s="35"/>
      <c r="M10" s="77"/>
      <c r="N10" s="77"/>
      <c r="O10" s="77"/>
      <c r="P10" s="77"/>
      <c r="Q10" s="77"/>
      <c r="R10" s="77"/>
    </row>
    <row r="11" spans="1:24" ht="18" customHeight="1" x14ac:dyDescent="0.25">
      <c r="A11" s="43"/>
      <c r="B11" s="86"/>
      <c r="C11" s="88" t="str">
        <f>IF(C9="","",IF(C10&gt;=C9,"DUoS REVENUE CAP FORMULA COMPLIANT","DUoS REVENUE CAP FORMULA BREACHED"))</f>
        <v>DUoS REVENUE CAP FORMULA COMPLIANT</v>
      </c>
      <c r="D11" s="50"/>
      <c r="E11" s="74"/>
      <c r="F11" s="75"/>
      <c r="G11" s="75"/>
      <c r="H11" s="36"/>
      <c r="I11" s="75"/>
      <c r="J11" s="75"/>
      <c r="K11" s="75"/>
      <c r="L11" s="75"/>
      <c r="M11" s="77"/>
      <c r="N11" s="77"/>
      <c r="O11" s="77"/>
      <c r="P11" s="77"/>
      <c r="Q11" s="77"/>
      <c r="R11" s="77"/>
      <c r="V11" s="51"/>
      <c r="W11" s="51"/>
      <c r="X11" s="51"/>
    </row>
    <row r="12" spans="1:24" ht="18" customHeight="1" x14ac:dyDescent="0.25">
      <c r="A12" s="43"/>
      <c r="B12" s="50"/>
      <c r="C12" s="50"/>
      <c r="D12" s="50"/>
      <c r="E12" s="74"/>
      <c r="F12" s="75"/>
      <c r="G12" s="75"/>
      <c r="H12" s="50"/>
      <c r="I12" s="75"/>
      <c r="J12" s="75"/>
      <c r="K12" s="75"/>
      <c r="L12" s="75"/>
      <c r="M12" s="77"/>
      <c r="N12" s="77"/>
      <c r="O12" s="77"/>
      <c r="P12" s="77"/>
      <c r="Q12" s="77"/>
      <c r="R12" s="77"/>
      <c r="V12" s="51"/>
      <c r="W12" s="51"/>
      <c r="X12" s="51"/>
    </row>
    <row r="13" spans="1:24" ht="18" customHeight="1" x14ac:dyDescent="0.25">
      <c r="A13" s="43"/>
      <c r="B13" s="44" t="s">
        <v>115</v>
      </c>
      <c r="C13" s="50"/>
      <c r="D13" s="50"/>
      <c r="E13" s="74"/>
      <c r="F13" s="75"/>
      <c r="G13" s="75"/>
      <c r="H13" s="50"/>
      <c r="I13" s="75"/>
      <c r="J13" s="75"/>
      <c r="K13" s="75"/>
      <c r="L13" s="75"/>
      <c r="M13" s="77"/>
      <c r="N13" s="77"/>
      <c r="O13" s="77"/>
      <c r="P13" s="77"/>
      <c r="Q13" s="77"/>
      <c r="R13" s="77"/>
      <c r="V13" s="51"/>
      <c r="W13" s="51"/>
      <c r="X13" s="51"/>
    </row>
    <row r="14" spans="1:24" ht="18" customHeight="1" x14ac:dyDescent="0.25">
      <c r="A14" s="43"/>
      <c r="B14" s="53" t="s">
        <v>120</v>
      </c>
      <c r="C14" s="64">
        <f>C25</f>
        <v>449766157.06067222</v>
      </c>
      <c r="D14" s="50"/>
      <c r="E14" s="74"/>
      <c r="F14" s="75"/>
      <c r="G14" s="75"/>
      <c r="H14" s="64">
        <f>H25</f>
        <v>422294403.72386879</v>
      </c>
      <c r="I14" s="75"/>
      <c r="J14" s="75"/>
      <c r="K14" s="75"/>
      <c r="L14" s="75"/>
      <c r="M14" s="77"/>
      <c r="N14" s="77"/>
      <c r="O14" s="77"/>
      <c r="P14" s="77"/>
      <c r="Q14" s="77"/>
      <c r="R14" s="77"/>
      <c r="V14" s="51"/>
      <c r="W14" s="51"/>
      <c r="X14" s="51"/>
    </row>
    <row r="15" spans="1:24" ht="18" customHeight="1" x14ac:dyDescent="0.25">
      <c r="A15" s="43"/>
      <c r="B15" s="54" t="s">
        <v>117</v>
      </c>
      <c r="C15" s="173">
        <f>'Model update'!B$100</f>
        <v>224400</v>
      </c>
      <c r="D15" s="50"/>
      <c r="E15" s="74"/>
      <c r="F15" s="75"/>
      <c r="G15" s="75"/>
      <c r="H15" s="173">
        <f>INDEX('Model update'!$D$100:$H$100,1,MATCH($H$6,'Model update'!$D$93:$H$93,0))</f>
        <v>1000000</v>
      </c>
      <c r="I15" s="75"/>
      <c r="J15" s="75"/>
      <c r="K15" s="75"/>
      <c r="L15" s="75"/>
      <c r="M15" s="77"/>
      <c r="N15" s="77"/>
      <c r="O15" s="77"/>
      <c r="P15" s="77"/>
      <c r="Q15" s="77"/>
      <c r="R15" s="77"/>
      <c r="V15" s="51"/>
      <c r="W15" s="51"/>
      <c r="X15" s="51"/>
    </row>
    <row r="16" spans="1:24" ht="18" customHeight="1" x14ac:dyDescent="0.25">
      <c r="A16" s="43"/>
      <c r="B16" s="54" t="s">
        <v>116</v>
      </c>
      <c r="C16" s="173">
        <f>'Model update'!B144</f>
        <v>0</v>
      </c>
      <c r="D16" s="50"/>
      <c r="E16" s="74"/>
      <c r="F16" s="75"/>
      <c r="G16" s="75"/>
      <c r="H16" s="64">
        <f>INDEX('Model update'!$D$144:$H$144,1,MATCH($H$6,'Model update'!$D$137:$H$137,0))</f>
        <v>0</v>
      </c>
      <c r="I16" s="75"/>
      <c r="J16" s="75"/>
      <c r="K16" s="75"/>
      <c r="L16" s="75"/>
      <c r="M16" s="77"/>
      <c r="N16" s="77"/>
      <c r="O16" s="77"/>
      <c r="P16" s="77"/>
      <c r="Q16" s="77"/>
      <c r="R16" s="77"/>
      <c r="V16" s="51"/>
      <c r="W16" s="51"/>
      <c r="X16" s="51"/>
    </row>
    <row r="17" spans="1:29" ht="18" customHeight="1" x14ac:dyDescent="0.25">
      <c r="A17" s="43"/>
      <c r="B17" s="54" t="s">
        <v>109</v>
      </c>
      <c r="C17" s="64">
        <f>C32</f>
        <v>-14573830.857289124</v>
      </c>
      <c r="D17" s="50"/>
      <c r="E17" s="74"/>
      <c r="F17" s="75"/>
      <c r="G17" s="75"/>
      <c r="H17" s="64">
        <f>H32</f>
        <v>-12136090.530557679</v>
      </c>
      <c r="I17" s="75"/>
      <c r="J17" s="75"/>
      <c r="K17" s="75"/>
      <c r="L17" s="75"/>
      <c r="M17" s="77"/>
      <c r="N17" s="77"/>
      <c r="O17" s="77"/>
      <c r="P17" s="77"/>
      <c r="Q17" s="77"/>
      <c r="R17" s="77"/>
      <c r="V17" s="51"/>
      <c r="W17" s="51"/>
      <c r="X17" s="51"/>
    </row>
    <row r="18" spans="1:29" ht="18" customHeight="1" x14ac:dyDescent="0.25">
      <c r="A18" s="43"/>
      <c r="B18" s="48" t="s">
        <v>119</v>
      </c>
      <c r="C18" s="65">
        <f>C14+C15+C16+C17</f>
        <v>435416726.20338309</v>
      </c>
      <c r="D18" s="50"/>
      <c r="E18" s="74"/>
      <c r="F18" s="75"/>
      <c r="G18" s="75"/>
      <c r="H18" s="65">
        <f>H14+H15+H16+H17</f>
        <v>411158313.1933111</v>
      </c>
      <c r="I18" s="75"/>
      <c r="J18" s="75"/>
      <c r="K18" s="75"/>
      <c r="L18" s="75"/>
      <c r="M18" s="77"/>
      <c r="N18" s="77"/>
      <c r="O18" s="77"/>
      <c r="P18" s="77"/>
      <c r="Q18" s="77"/>
      <c r="R18" s="77"/>
      <c r="V18" s="51"/>
      <c r="W18" s="51"/>
      <c r="X18" s="51"/>
    </row>
    <row r="19" spans="1:29" ht="18" customHeight="1" x14ac:dyDescent="0.25">
      <c r="A19" s="43"/>
      <c r="B19" s="56"/>
      <c r="C19" s="106"/>
      <c r="D19" s="50"/>
      <c r="E19" s="74"/>
      <c r="F19" s="75"/>
      <c r="G19" s="75"/>
      <c r="H19" s="106"/>
      <c r="I19" s="75"/>
      <c r="J19" s="75"/>
      <c r="K19" s="75"/>
      <c r="L19" s="75"/>
      <c r="M19" s="77"/>
      <c r="N19" s="77"/>
      <c r="O19" s="77"/>
      <c r="P19" s="77"/>
      <c r="Q19" s="77"/>
      <c r="R19" s="77"/>
      <c r="V19" s="51"/>
      <c r="W19" s="51"/>
      <c r="X19" s="51"/>
    </row>
    <row r="20" spans="1:29" ht="18" customHeight="1" x14ac:dyDescent="0.25">
      <c r="A20" s="43"/>
      <c r="B20" s="44" t="s">
        <v>114</v>
      </c>
      <c r="C20" s="107"/>
      <c r="D20" s="50"/>
      <c r="E20" s="74"/>
      <c r="F20" s="75"/>
      <c r="G20" s="75"/>
      <c r="H20" s="107"/>
      <c r="I20" s="75"/>
      <c r="J20" s="75"/>
      <c r="K20" s="75"/>
      <c r="L20" s="75"/>
      <c r="M20" s="77"/>
      <c r="N20" s="77"/>
      <c r="O20" s="77"/>
      <c r="P20" s="77"/>
      <c r="Q20" s="77"/>
      <c r="R20" s="77"/>
      <c r="V20" s="51"/>
      <c r="W20" s="51"/>
      <c r="X20" s="51"/>
    </row>
    <row r="21" spans="1:29" ht="18" customHeight="1" x14ac:dyDescent="0.25">
      <c r="A21" s="43"/>
      <c r="B21" s="48" t="s">
        <v>121</v>
      </c>
      <c r="C21" s="770">
        <f>H25</f>
        <v>422294403.72386879</v>
      </c>
      <c r="D21" s="50"/>
      <c r="E21" s="74"/>
      <c r="F21" s="75"/>
      <c r="G21" s="75"/>
      <c r="H21" s="66">
        <v>392653500.6452322</v>
      </c>
      <c r="I21" s="75"/>
      <c r="J21" s="75"/>
      <c r="K21" s="75"/>
      <c r="L21" s="75"/>
      <c r="M21" s="77"/>
      <c r="N21" s="77"/>
      <c r="O21" s="77"/>
      <c r="P21" s="77"/>
      <c r="Q21" s="77"/>
      <c r="R21" s="77"/>
      <c r="V21" s="51"/>
      <c r="W21" s="51"/>
      <c r="X21" s="51"/>
    </row>
    <row r="22" spans="1:29" ht="18" customHeight="1" x14ac:dyDescent="0.25">
      <c r="A22" s="43"/>
      <c r="B22" s="53" t="s">
        <v>110</v>
      </c>
      <c r="C22" s="67">
        <f>'Model update'!C30</f>
        <v>2.0776874435411097E-2</v>
      </c>
      <c r="D22" s="50"/>
      <c r="E22" s="74"/>
      <c r="F22" s="75"/>
      <c r="G22" s="75"/>
      <c r="H22" s="67">
        <f>'Model update'!C29</f>
        <v>1.9337016574585641E-2</v>
      </c>
      <c r="I22" s="75"/>
      <c r="J22" s="75"/>
      <c r="K22" s="75"/>
      <c r="L22" s="75"/>
      <c r="M22" s="77"/>
      <c r="N22" s="77"/>
      <c r="O22" s="77"/>
      <c r="P22" s="77"/>
      <c r="Q22" s="77"/>
      <c r="R22" s="77"/>
      <c r="V22" s="51"/>
      <c r="W22" s="51"/>
      <c r="X22" s="51"/>
    </row>
    <row r="23" spans="1:29" ht="18" customHeight="1" x14ac:dyDescent="0.25">
      <c r="A23" s="43"/>
      <c r="B23" s="53" t="s">
        <v>111</v>
      </c>
      <c r="C23" s="67">
        <f>'Model update'!B60</f>
        <v>-2.6112020009605556E-2</v>
      </c>
      <c r="D23" s="50"/>
      <c r="E23" s="74"/>
      <c r="F23" s="75"/>
      <c r="G23" s="75"/>
      <c r="H23" s="67">
        <f>INDEX('Model update'!$E$60:$H$60,1,MATCH("Xt for "&amp;$H$6,'Model update'!$E$53:$H$53,0))</f>
        <v>-3.1600000000000003E-2</v>
      </c>
      <c r="I23" s="75"/>
      <c r="J23" s="75"/>
      <c r="K23" s="75"/>
      <c r="L23" s="75"/>
      <c r="M23" s="77"/>
      <c r="N23" s="77"/>
      <c r="O23" s="77"/>
      <c r="P23" s="77"/>
      <c r="Q23" s="77"/>
      <c r="R23" s="77"/>
      <c r="V23" s="51"/>
      <c r="W23" s="51"/>
      <c r="X23" s="51"/>
    </row>
    <row r="24" spans="1:29" ht="18" customHeight="1" x14ac:dyDescent="0.25">
      <c r="A24" s="43"/>
      <c r="B24" s="53" t="s">
        <v>112</v>
      </c>
      <c r="C24" s="67">
        <f>'Model update'!B111</f>
        <v>1.6824143991347684E-2</v>
      </c>
      <c r="D24" s="50"/>
      <c r="E24" s="74"/>
      <c r="F24" s="75"/>
      <c r="G24" s="75"/>
      <c r="H24" s="67">
        <f>INDEX('Model update'!$D$111:$H$111,1,MATCH($H$6,'Model update'!$D$104:$H$104,0))</f>
        <v>2.2767038821999375E-2</v>
      </c>
      <c r="I24" s="75"/>
      <c r="J24" s="75"/>
      <c r="K24" s="75"/>
      <c r="L24" s="75"/>
      <c r="M24" s="77"/>
      <c r="N24" s="77"/>
      <c r="O24" s="77"/>
      <c r="P24" s="77"/>
      <c r="Q24" s="77"/>
      <c r="R24" s="77"/>
      <c r="V24" s="51"/>
      <c r="W24" s="51"/>
      <c r="X24" s="51"/>
    </row>
    <row r="25" spans="1:29" ht="18" customHeight="1" x14ac:dyDescent="0.25">
      <c r="A25" s="43"/>
      <c r="B25" s="53" t="s">
        <v>120</v>
      </c>
      <c r="C25" s="65">
        <f>IF(C6=2016,'Model update'!D60*(1+C24),(C21*(1+C22)*(1-C23)*(1+C24)))</f>
        <v>449766157.06067222</v>
      </c>
      <c r="D25" s="50"/>
      <c r="E25" s="74"/>
      <c r="F25" s="75"/>
      <c r="G25" s="75"/>
      <c r="H25" s="65">
        <f>IF(H6=2016,'Model update'!D60*(1+H24),(H21*(1+H22)*(1-H23)*(1+H24)))</f>
        <v>422294403.72386879</v>
      </c>
      <c r="I25" s="75"/>
      <c r="J25" s="75"/>
      <c r="K25" s="75"/>
      <c r="L25" s="75"/>
      <c r="M25" s="77"/>
      <c r="N25" s="77"/>
      <c r="O25" s="77"/>
      <c r="P25" s="77"/>
      <c r="Q25" s="77"/>
      <c r="R25" s="77"/>
      <c r="V25" s="51"/>
      <c r="W25" s="51"/>
      <c r="X25" s="51"/>
    </row>
    <row r="26" spans="1:29" ht="18" customHeight="1" x14ac:dyDescent="0.25">
      <c r="A26" s="43"/>
      <c r="B26" s="57"/>
      <c r="C26" s="68"/>
      <c r="D26" s="50"/>
      <c r="E26" s="74"/>
      <c r="F26" s="75"/>
      <c r="G26" s="75"/>
      <c r="H26" s="68"/>
      <c r="I26" s="75"/>
      <c r="J26" s="75"/>
      <c r="K26" s="75"/>
      <c r="L26" s="75"/>
      <c r="M26" s="77"/>
      <c r="N26" s="77"/>
      <c r="O26" s="77"/>
      <c r="P26" s="77"/>
      <c r="Q26" s="77"/>
      <c r="R26" s="77"/>
      <c r="V26" s="51"/>
      <c r="W26" s="51"/>
      <c r="X26" s="51"/>
    </row>
    <row r="27" spans="1:29" ht="18" customHeight="1" x14ac:dyDescent="0.25">
      <c r="A27" s="57"/>
      <c r="B27" s="58" t="s">
        <v>411</v>
      </c>
      <c r="C27" s="69"/>
      <c r="D27" s="50"/>
      <c r="E27" s="74"/>
      <c r="F27" s="75"/>
      <c r="G27" s="75"/>
      <c r="H27" s="69"/>
      <c r="I27" s="75"/>
      <c r="J27" s="75"/>
      <c r="K27" s="75"/>
      <c r="L27" s="75"/>
      <c r="M27" s="77"/>
      <c r="N27" s="77"/>
      <c r="O27" s="77"/>
      <c r="P27" s="77"/>
      <c r="Q27" s="77"/>
      <c r="R27" s="77"/>
      <c r="V27" s="51"/>
      <c r="W27" s="51"/>
      <c r="X27" s="51"/>
    </row>
    <row r="28" spans="1:29" ht="18" customHeight="1" x14ac:dyDescent="0.25">
      <c r="A28" s="43"/>
      <c r="B28" s="60" t="s">
        <v>113</v>
      </c>
      <c r="C28" s="829">
        <f>-E71*(1+E69)^0.5</f>
        <v>-14748061.895226451</v>
      </c>
      <c r="D28" s="50"/>
      <c r="E28" s="74"/>
      <c r="F28" s="75"/>
      <c r="G28" s="75"/>
      <c r="H28" s="66">
        <v>-12307643.527750313</v>
      </c>
      <c r="I28" s="75"/>
      <c r="J28" s="75"/>
      <c r="K28" s="75"/>
      <c r="L28" s="75"/>
      <c r="M28" s="77"/>
      <c r="N28" s="77"/>
      <c r="O28" s="77"/>
      <c r="P28" s="77"/>
      <c r="Q28" s="77"/>
      <c r="R28" s="77"/>
      <c r="V28" s="51"/>
      <c r="W28" s="51"/>
      <c r="X28" s="51"/>
    </row>
    <row r="29" spans="1:29" ht="18" customHeight="1" x14ac:dyDescent="0.25">
      <c r="A29" s="43"/>
      <c r="B29" s="60" t="s">
        <v>123</v>
      </c>
      <c r="C29" s="70">
        <f>C38</f>
        <v>174231.03793732548</v>
      </c>
      <c r="D29" s="50"/>
      <c r="E29" s="74"/>
      <c r="F29" s="74"/>
      <c r="G29" s="74"/>
      <c r="H29" s="70">
        <f>H38</f>
        <v>171552.99719263508</v>
      </c>
      <c r="I29" s="74"/>
      <c r="J29" s="74"/>
      <c r="K29" s="75"/>
      <c r="L29" s="75"/>
      <c r="M29" s="75"/>
      <c r="N29" s="75"/>
      <c r="O29" s="75"/>
      <c r="P29" s="75"/>
      <c r="Q29" s="75"/>
      <c r="R29" s="77"/>
      <c r="AA29" s="51"/>
      <c r="AB29" s="51"/>
      <c r="AC29" s="51"/>
    </row>
    <row r="30" spans="1:29" ht="18" customHeight="1" x14ac:dyDescent="0.25">
      <c r="A30" s="43"/>
      <c r="B30" s="60" t="s">
        <v>124</v>
      </c>
      <c r="C30" s="70">
        <f>'Model update'!B122</f>
        <v>0</v>
      </c>
      <c r="D30" s="50"/>
      <c r="E30" s="74"/>
      <c r="F30" s="75"/>
      <c r="G30" s="74"/>
      <c r="H30" s="70">
        <f>INDEX('Model update'!$D$122:$H$122,1,MATCH($H$6,'Model update'!$D$115:$H$115,0))</f>
        <v>0</v>
      </c>
      <c r="I30" s="74"/>
      <c r="J30" s="74"/>
      <c r="K30" s="75"/>
      <c r="L30" s="75"/>
      <c r="M30" s="75"/>
      <c r="N30" s="75"/>
      <c r="O30" s="75"/>
      <c r="P30" s="75"/>
      <c r="Q30" s="75"/>
      <c r="R30" s="77"/>
      <c r="AA30" s="51"/>
      <c r="AB30" s="51"/>
      <c r="AC30" s="51"/>
    </row>
    <row r="31" spans="1:29" ht="18" customHeight="1" x14ac:dyDescent="0.25">
      <c r="A31" s="43"/>
      <c r="B31" s="60" t="s">
        <v>410</v>
      </c>
      <c r="C31" s="767"/>
      <c r="D31" s="50"/>
      <c r="E31" s="74"/>
      <c r="F31" s="75"/>
      <c r="G31" s="74"/>
      <c r="H31" s="787"/>
      <c r="I31" s="74"/>
      <c r="J31" s="74"/>
      <c r="K31" s="75"/>
      <c r="L31" s="75"/>
      <c r="M31" s="75"/>
      <c r="N31" s="75"/>
      <c r="O31" s="75"/>
      <c r="P31" s="75"/>
      <c r="Q31" s="75"/>
      <c r="R31" s="77"/>
      <c r="AA31" s="51"/>
      <c r="AB31" s="51"/>
      <c r="AC31" s="51"/>
    </row>
    <row r="32" spans="1:29" ht="18" customHeight="1" x14ac:dyDescent="0.25">
      <c r="A32" s="43"/>
      <c r="B32" s="59" t="s">
        <v>109</v>
      </c>
      <c r="C32" s="71">
        <f>SUM(C28:C31)</f>
        <v>-14573830.857289124</v>
      </c>
      <c r="D32" s="50"/>
      <c r="E32" s="75"/>
      <c r="F32" s="75"/>
      <c r="G32" s="75"/>
      <c r="H32" s="71">
        <f>SUM(H28:H31)</f>
        <v>-12136090.530557679</v>
      </c>
      <c r="I32" s="74"/>
      <c r="J32" s="75"/>
      <c r="K32" s="75"/>
      <c r="L32" s="75"/>
      <c r="M32" s="75"/>
      <c r="N32" s="75"/>
      <c r="O32" s="75"/>
      <c r="P32" s="75"/>
      <c r="Q32" s="77"/>
      <c r="R32" s="77"/>
      <c r="Z32" s="51"/>
      <c r="AA32" s="51"/>
      <c r="AB32" s="51"/>
    </row>
    <row r="33" spans="1:28" ht="18" customHeight="1" x14ac:dyDescent="0.25">
      <c r="A33" s="43"/>
      <c r="B33" s="44"/>
      <c r="C33" s="107"/>
      <c r="D33" s="50"/>
      <c r="E33" s="75"/>
      <c r="F33" s="75"/>
      <c r="G33" s="75"/>
      <c r="H33" s="107"/>
      <c r="I33" s="74"/>
      <c r="J33" s="75"/>
      <c r="K33" s="75"/>
      <c r="L33" s="75"/>
      <c r="M33" s="75"/>
      <c r="N33" s="75"/>
      <c r="O33" s="75"/>
      <c r="P33" s="75"/>
      <c r="Q33" s="77"/>
      <c r="R33" s="77"/>
      <c r="Z33" s="51"/>
      <c r="AA33" s="51"/>
      <c r="AB33" s="51"/>
    </row>
    <row r="34" spans="1:28" ht="15" x14ac:dyDescent="0.25">
      <c r="A34" s="61"/>
      <c r="B34" s="58" t="s">
        <v>412</v>
      </c>
      <c r="C34" s="62"/>
      <c r="D34" s="61"/>
      <c r="E34" s="76"/>
      <c r="F34" s="76"/>
      <c r="G34" s="76"/>
      <c r="H34" s="62"/>
      <c r="I34" s="76"/>
      <c r="J34" s="76"/>
      <c r="K34" s="76"/>
      <c r="L34" s="76"/>
      <c r="M34" s="76"/>
      <c r="N34" s="76"/>
      <c r="O34" s="76"/>
      <c r="P34" s="76"/>
      <c r="Q34" s="76"/>
      <c r="R34" s="77"/>
    </row>
    <row r="35" spans="1:28" x14ac:dyDescent="0.2">
      <c r="A35" s="61"/>
      <c r="B35" s="78" t="s">
        <v>125</v>
      </c>
      <c r="C35" s="173">
        <f>'Model update'!B133</f>
        <v>159925</v>
      </c>
      <c r="D35" s="61"/>
      <c r="E35" s="76"/>
      <c r="F35" s="76"/>
      <c r="G35" s="76"/>
      <c r="H35" s="173">
        <f>INDEX('Model update'!$D$133:$H$133,1,MATCH($H$6,'Model update'!$D$126:$H$126,0))</f>
        <v>158262</v>
      </c>
      <c r="I35" s="76"/>
      <c r="J35" s="76"/>
      <c r="K35" s="76"/>
      <c r="L35" s="76"/>
      <c r="M35" s="76"/>
      <c r="N35" s="76"/>
      <c r="O35" s="76"/>
      <c r="P35" s="76"/>
      <c r="Q35" s="76"/>
      <c r="R35" s="77"/>
    </row>
    <row r="36" spans="1:28" x14ac:dyDescent="0.2">
      <c r="A36" s="35"/>
      <c r="B36" s="79" t="s">
        <v>463</v>
      </c>
      <c r="C36" s="80">
        <f>(1+'Model update'!$B$43)*(1+'Model update'!$C$30)-1</f>
        <v>5.90724924111663E-2</v>
      </c>
      <c r="E36" s="77"/>
      <c r="F36" s="77"/>
      <c r="G36" s="77"/>
      <c r="H36" s="80">
        <f>(1+'Model update'!$B$45)*(1+'Model update'!$C$29)-1</f>
        <v>5.8198039573977622E-2</v>
      </c>
      <c r="I36" s="77"/>
      <c r="J36" s="77"/>
      <c r="K36" s="77"/>
      <c r="L36" s="77"/>
      <c r="M36" s="77"/>
      <c r="N36" s="77"/>
      <c r="O36" s="77"/>
      <c r="P36" s="77"/>
      <c r="Q36" s="77"/>
      <c r="R36" s="77"/>
    </row>
    <row r="37" spans="1:28" x14ac:dyDescent="0.2">
      <c r="A37" s="35"/>
      <c r="B37" s="79" t="s">
        <v>126</v>
      </c>
      <c r="C37" s="80">
        <f>(1+'Model update'!$B$45)*(1+'Model update'!$C$29)-1</f>
        <v>5.8198039573977622E-2</v>
      </c>
      <c r="H37" s="80">
        <f>(1+'Model update'!$B$47)*(1+'Model update'!$C$28)-1</f>
        <v>4.9323538988905291E-2</v>
      </c>
      <c r="I37" s="35"/>
      <c r="J37" s="35"/>
      <c r="M37" s="77"/>
      <c r="N37" s="77"/>
      <c r="O37" s="77"/>
      <c r="P37" s="77"/>
      <c r="Q37" s="77"/>
      <c r="R37" s="77"/>
    </row>
    <row r="38" spans="1:28" ht="15" x14ac:dyDescent="0.25">
      <c r="B38" s="81" t="s">
        <v>123</v>
      </c>
      <c r="C38" s="82">
        <f>C35*(1+C36)*(1+C37)^0.5</f>
        <v>174231.03793732548</v>
      </c>
      <c r="H38" s="82">
        <f>H35*(1+H36)*(1+H37)^0.5</f>
        <v>171552.99719263508</v>
      </c>
      <c r="M38" s="77"/>
      <c r="N38" s="77"/>
      <c r="O38" s="77"/>
      <c r="P38" s="77"/>
      <c r="Q38" s="77"/>
      <c r="R38" s="77"/>
    </row>
    <row r="42" spans="1:28" ht="15.75" x14ac:dyDescent="0.25">
      <c r="B42" s="121" t="s">
        <v>413</v>
      </c>
    </row>
    <row r="43" spans="1:28" ht="15" x14ac:dyDescent="0.25">
      <c r="B43" s="113"/>
      <c r="C43" s="126" t="s">
        <v>266</v>
      </c>
      <c r="D43" s="126" t="s">
        <v>575</v>
      </c>
      <c r="E43" s="126" t="s">
        <v>35</v>
      </c>
    </row>
    <row r="44" spans="1:28" ht="15" x14ac:dyDescent="0.25">
      <c r="B44" s="114"/>
      <c r="C44" s="127" t="s">
        <v>34</v>
      </c>
      <c r="D44" s="127" t="s">
        <v>484</v>
      </c>
      <c r="E44" s="127" t="s">
        <v>36</v>
      </c>
    </row>
    <row r="45" spans="1:28" ht="15" x14ac:dyDescent="0.25">
      <c r="B45" s="114"/>
      <c r="C45" s="128">
        <f>D45-1</f>
        <v>2017</v>
      </c>
      <c r="D45" s="128">
        <f>E45-1</f>
        <v>2018</v>
      </c>
      <c r="E45" s="128">
        <f>C$6</f>
        <v>2019</v>
      </c>
    </row>
    <row r="46" spans="1:28" x14ac:dyDescent="0.2">
      <c r="B46" s="114"/>
      <c r="C46" s="112"/>
      <c r="D46" s="112"/>
      <c r="E46" s="124"/>
    </row>
    <row r="47" spans="1:28" ht="15" x14ac:dyDescent="0.25">
      <c r="B47" s="659" t="s">
        <v>259</v>
      </c>
      <c r="C47" s="111">
        <v>402138656</v>
      </c>
      <c r="D47" s="651">
        <f>Est2018DistRev!AS66</f>
        <v>418259615.6903342</v>
      </c>
      <c r="E47" s="110">
        <f>C9</f>
        <v>435415451.6835252</v>
      </c>
    </row>
    <row r="48" spans="1:28" x14ac:dyDescent="0.2">
      <c r="B48" s="115"/>
      <c r="C48" s="112"/>
      <c r="D48" s="112"/>
      <c r="E48" s="123"/>
    </row>
    <row r="49" spans="1:10" x14ac:dyDescent="0.2">
      <c r="A49" s="35"/>
      <c r="B49" s="115"/>
      <c r="C49" s="112"/>
      <c r="D49" s="112"/>
      <c r="E49" s="123"/>
      <c r="I49" s="35"/>
      <c r="J49" s="35"/>
    </row>
    <row r="50" spans="1:10" ht="15" x14ac:dyDescent="0.25">
      <c r="A50" s="35"/>
      <c r="B50" s="116" t="s">
        <v>302</v>
      </c>
      <c r="C50" s="110">
        <f>SUM(C51:C54)</f>
        <v>392677041.76951784</v>
      </c>
      <c r="D50" s="110">
        <f>SUM(D51:D54)</f>
        <v>423465956.72106141</v>
      </c>
      <c r="E50" s="110">
        <f>SUM(E51:E54)</f>
        <v>450164788.09860957</v>
      </c>
      <c r="I50" s="35"/>
      <c r="J50" s="35"/>
    </row>
    <row r="51" spans="1:10" x14ac:dyDescent="0.2">
      <c r="A51" s="35"/>
      <c r="B51" s="117" t="s">
        <v>260</v>
      </c>
      <c r="C51" s="160">
        <f>H21</f>
        <v>392653500.6452322</v>
      </c>
      <c r="D51" s="160">
        <f>H14</f>
        <v>422294403.72386879</v>
      </c>
      <c r="E51" s="123">
        <f>C14</f>
        <v>449766157.06067222</v>
      </c>
      <c r="I51" s="35"/>
      <c r="J51" s="35"/>
    </row>
    <row r="52" spans="1:10" x14ac:dyDescent="0.2">
      <c r="A52" s="35"/>
      <c r="B52" s="117" t="s">
        <v>261</v>
      </c>
      <c r="C52" s="160">
        <f>INDEX('Model update'!$D$100:$H$100,1,MATCH($C$45,'Model update'!$D$93:$H$93,0))</f>
        <v>555000</v>
      </c>
      <c r="D52" s="160">
        <f t="shared" ref="D52:D53" si="0">H15</f>
        <v>1000000</v>
      </c>
      <c r="E52" s="123">
        <f>C15</f>
        <v>224400</v>
      </c>
      <c r="I52" s="35"/>
      <c r="J52" s="35"/>
    </row>
    <row r="53" spans="1:10" x14ac:dyDescent="0.2">
      <c r="A53" s="35"/>
      <c r="B53" s="117" t="s">
        <v>262</v>
      </c>
      <c r="C53" s="771">
        <f>INDEX('Model update'!$D$144:$H$144,1,MATCH($C$45,'Model update'!$D$137:$H$137,0))</f>
        <v>-479660.69376433094</v>
      </c>
      <c r="D53" s="160">
        <f t="shared" si="0"/>
        <v>0</v>
      </c>
      <c r="E53" s="123">
        <f>C16</f>
        <v>0</v>
      </c>
      <c r="I53" s="35"/>
      <c r="J53" s="35"/>
    </row>
    <row r="54" spans="1:10" x14ac:dyDescent="0.2">
      <c r="A54" s="35"/>
      <c r="B54" s="117" t="s">
        <v>263</v>
      </c>
      <c r="C54" s="451">
        <f>SUM(C55:C57)</f>
        <v>-51798.181950028986</v>
      </c>
      <c r="D54" s="773">
        <f>SUM(D55:D57)</f>
        <v>171552.99719263508</v>
      </c>
      <c r="E54" s="109">
        <f>SUM(E55:E57)</f>
        <v>174231.03793732548</v>
      </c>
      <c r="I54" s="35"/>
      <c r="J54" s="35"/>
    </row>
    <row r="55" spans="1:10" x14ac:dyDescent="0.2">
      <c r="A55" s="35"/>
      <c r="B55" s="118" t="s">
        <v>264</v>
      </c>
      <c r="C55" s="760">
        <v>88101.084872067004</v>
      </c>
      <c r="D55" s="160">
        <f>H29</f>
        <v>171552.99719263508</v>
      </c>
      <c r="E55" s="123">
        <f>C29</f>
        <v>174231.03793732548</v>
      </c>
      <c r="I55" s="35"/>
      <c r="J55" s="35"/>
    </row>
    <row r="56" spans="1:10" x14ac:dyDescent="0.2">
      <c r="A56" s="35"/>
      <c r="B56" s="118" t="s">
        <v>265</v>
      </c>
      <c r="C56" s="160">
        <f>INDEX('Model update'!$D$122:$H$122,1,MATCH($C$45,'Model update'!$D$115:$H$115,0))</f>
        <v>0</v>
      </c>
      <c r="D56" s="160">
        <f t="shared" ref="D56" si="1">H30</f>
        <v>0</v>
      </c>
      <c r="E56" s="123">
        <f>C30</f>
        <v>0</v>
      </c>
      <c r="I56" s="35"/>
      <c r="J56" s="35"/>
    </row>
    <row r="57" spans="1:10" x14ac:dyDescent="0.2">
      <c r="A57" s="35"/>
      <c r="B57" s="118" t="s">
        <v>414</v>
      </c>
      <c r="C57" s="772">
        <v>-139899.26682209599</v>
      </c>
      <c r="D57" s="769">
        <f>H31</f>
        <v>0</v>
      </c>
      <c r="E57" s="768"/>
      <c r="I57" s="35"/>
      <c r="J57" s="35"/>
    </row>
    <row r="58" spans="1:10" ht="15" x14ac:dyDescent="0.25">
      <c r="A58" s="35"/>
      <c r="B58" s="119"/>
      <c r="C58" s="112"/>
      <c r="D58" s="112"/>
      <c r="E58" s="123"/>
      <c r="I58" s="35"/>
      <c r="J58" s="35"/>
    </row>
    <row r="59" spans="1:10" x14ac:dyDescent="0.2">
      <c r="A59" s="35"/>
      <c r="B59" s="120"/>
      <c r="C59" s="112"/>
      <c r="D59" s="112"/>
      <c r="E59" s="123"/>
      <c r="I59" s="35"/>
      <c r="J59" s="35"/>
    </row>
    <row r="60" spans="1:10" ht="15" x14ac:dyDescent="0.25">
      <c r="A60" s="35"/>
      <c r="B60" s="660" t="s">
        <v>45</v>
      </c>
      <c r="C60" s="110">
        <f>C47-C50</f>
        <v>9461614.230482161</v>
      </c>
      <c r="D60" s="110">
        <f>D47-D50</f>
        <v>-5206341.0307272077</v>
      </c>
      <c r="E60" s="110">
        <f>E47-E50</f>
        <v>-14749336.415084362</v>
      </c>
      <c r="I60" s="35"/>
      <c r="J60" s="35"/>
    </row>
    <row r="61" spans="1:10" x14ac:dyDescent="0.2">
      <c r="A61" s="35"/>
      <c r="B61" s="40"/>
      <c r="D61" s="34"/>
      <c r="I61" s="35"/>
      <c r="J61" s="35"/>
    </row>
    <row r="62" spans="1:10" x14ac:dyDescent="0.2">
      <c r="A62" s="35"/>
      <c r="B62" s="40"/>
      <c r="D62" s="34"/>
      <c r="I62" s="35"/>
      <c r="J62" s="35"/>
    </row>
    <row r="63" spans="1:10" x14ac:dyDescent="0.2">
      <c r="A63" s="35"/>
      <c r="B63" s="40"/>
      <c r="D63" s="34"/>
      <c r="I63" s="35"/>
      <c r="J63" s="35"/>
    </row>
    <row r="64" spans="1:10" ht="15.75" x14ac:dyDescent="0.25">
      <c r="A64" s="35"/>
      <c r="B64" s="121" t="s">
        <v>270</v>
      </c>
      <c r="D64" s="34"/>
      <c r="I64" s="35"/>
      <c r="J64" s="35"/>
    </row>
    <row r="65" spans="1:10" ht="15" x14ac:dyDescent="0.25">
      <c r="A65" s="35"/>
      <c r="B65" s="661"/>
      <c r="C65" s="126" t="s">
        <v>266</v>
      </c>
      <c r="D65" s="126" t="s">
        <v>575</v>
      </c>
      <c r="E65" s="126" t="s">
        <v>35</v>
      </c>
      <c r="I65" s="35"/>
      <c r="J65" s="35"/>
    </row>
    <row r="66" spans="1:10" ht="15" x14ac:dyDescent="0.25">
      <c r="A66" s="35"/>
      <c r="B66" s="120"/>
      <c r="C66" s="127" t="s">
        <v>34</v>
      </c>
      <c r="D66" s="127" t="s">
        <v>484</v>
      </c>
      <c r="E66" s="127" t="s">
        <v>36</v>
      </c>
      <c r="I66" s="35"/>
      <c r="J66" s="35"/>
    </row>
    <row r="67" spans="1:10" ht="15" x14ac:dyDescent="0.25">
      <c r="A67" s="35"/>
      <c r="B67" s="662" t="s">
        <v>268</v>
      </c>
      <c r="C67" s="128">
        <f>D67-1</f>
        <v>2017</v>
      </c>
      <c r="D67" s="128">
        <f>E67-1</f>
        <v>2018</v>
      </c>
      <c r="E67" s="128">
        <f>C$6</f>
        <v>2019</v>
      </c>
      <c r="I67" s="35"/>
      <c r="J67" s="35"/>
    </row>
    <row r="68" spans="1:10" x14ac:dyDescent="0.2">
      <c r="A68" s="35"/>
      <c r="B68" s="120"/>
      <c r="C68" s="122"/>
      <c r="D68" s="122"/>
      <c r="E68" s="124"/>
      <c r="I68" s="35"/>
      <c r="J68" s="35"/>
    </row>
    <row r="69" spans="1:10" x14ac:dyDescent="0.2">
      <c r="A69" s="35"/>
      <c r="B69" s="120" t="s">
        <v>576</v>
      </c>
      <c r="C69" s="652">
        <f>(1+'Model update'!$B$47)*(1+'Model update'!$C$28)-1</f>
        <v>4.9323538988905291E-2</v>
      </c>
      <c r="D69" s="122">
        <f>(1+'Model update'!$B$45)*(1+'Model update'!$C$29)-1</f>
        <v>5.8198039573977622E-2</v>
      </c>
      <c r="E69" s="653">
        <f>(1+'Model update'!$B$43)*(1+'Model update'!$C$30)-1</f>
        <v>5.90724924111663E-2</v>
      </c>
      <c r="I69" s="35"/>
      <c r="J69" s="35"/>
    </row>
    <row r="70" spans="1:10" x14ac:dyDescent="0.2">
      <c r="A70" s="35"/>
      <c r="B70" s="120"/>
      <c r="C70" s="112"/>
      <c r="D70" s="112"/>
      <c r="E70" s="124"/>
      <c r="I70" s="35"/>
      <c r="J70" s="35"/>
    </row>
    <row r="71" spans="1:10" x14ac:dyDescent="0.2">
      <c r="A71" s="35"/>
      <c r="B71" s="120" t="s">
        <v>47</v>
      </c>
      <c r="C71" s="761">
        <v>8492804.8121024631</v>
      </c>
      <c r="D71" s="123">
        <f>C75</f>
        <v>18603845.935010627</v>
      </c>
      <c r="E71" s="123">
        <f>D75</f>
        <v>14330855.188578062</v>
      </c>
      <c r="I71" s="35"/>
      <c r="J71" s="35"/>
    </row>
    <row r="72" spans="1:10" x14ac:dyDescent="0.2">
      <c r="A72" s="35"/>
      <c r="B72" s="120" t="s">
        <v>577</v>
      </c>
      <c r="C72" s="160">
        <f>C71*C69</f>
        <v>418895.18927489832</v>
      </c>
      <c r="D72" s="160">
        <f>D71*D69</f>
        <v>1082707.3619539312</v>
      </c>
      <c r="E72" s="160">
        <f>E71*E69</f>
        <v>846559.33437280077</v>
      </c>
      <c r="I72" s="35"/>
      <c r="J72" s="35"/>
    </row>
    <row r="73" spans="1:10" x14ac:dyDescent="0.2">
      <c r="A73" s="35"/>
      <c r="B73" s="120" t="s">
        <v>48</v>
      </c>
      <c r="C73" s="123">
        <f>C60</f>
        <v>9461614.230482161</v>
      </c>
      <c r="D73" s="123">
        <f>D60</f>
        <v>-5206341.0307272077</v>
      </c>
      <c r="E73" s="123">
        <f>E60</f>
        <v>-14749336.415084362</v>
      </c>
      <c r="I73" s="35"/>
      <c r="J73" s="35"/>
    </row>
    <row r="74" spans="1:10" x14ac:dyDescent="0.2">
      <c r="A74" s="35"/>
      <c r="B74" s="120" t="s">
        <v>501</v>
      </c>
      <c r="C74" s="160">
        <f>C73*((1+C69)^0.5-1)</f>
        <v>230531.70315110759</v>
      </c>
      <c r="D74" s="160">
        <f>D73*((1+D69)^0.5-1)</f>
        <v>-149357.07765928999</v>
      </c>
      <c r="E74" s="160">
        <f>E73*((1+E69)^0.5-1)</f>
        <v>-429389.73215575941</v>
      </c>
      <c r="I74" s="35"/>
      <c r="J74" s="35"/>
    </row>
    <row r="75" spans="1:10" ht="15" x14ac:dyDescent="0.25">
      <c r="A75" s="35"/>
      <c r="B75" s="660" t="s">
        <v>269</v>
      </c>
      <c r="C75" s="110">
        <f>SUM(C71:C74)</f>
        <v>18603845.935010627</v>
      </c>
      <c r="D75" s="110">
        <f t="shared" ref="D75:E75" si="2">SUM(D71:D74)</f>
        <v>14330855.188578062</v>
      </c>
      <c r="E75" s="110">
        <f t="shared" si="2"/>
        <v>-1311.6242892598384</v>
      </c>
      <c r="G75" s="790"/>
      <c r="I75" s="35"/>
      <c r="J75" s="35"/>
    </row>
    <row r="76" spans="1:10" x14ac:dyDescent="0.2">
      <c r="A76" s="35"/>
      <c r="I76" s="35"/>
      <c r="J76" s="35"/>
    </row>
    <row r="77" spans="1:10" x14ac:dyDescent="0.2">
      <c r="A77" s="35"/>
      <c r="B77" s="726" t="s">
        <v>588</v>
      </c>
      <c r="I77" s="35"/>
      <c r="J77" s="35"/>
    </row>
    <row r="78" spans="1:10" x14ac:dyDescent="0.2">
      <c r="A78" s="35"/>
      <c r="I78" s="35"/>
      <c r="J78" s="35"/>
    </row>
  </sheetData>
  <conditionalFormatting sqref="C29:C30">
    <cfRule type="cellIs" dxfId="19" priority="15" stopIfTrue="1" operator="equal">
      <formula>"YES"</formula>
    </cfRule>
    <cfRule type="cellIs" dxfId="18" priority="16" stopIfTrue="1" operator="equal">
      <formula>"NO"</formula>
    </cfRule>
  </conditionalFormatting>
  <conditionalFormatting sqref="H29:H30">
    <cfRule type="cellIs" dxfId="17" priority="3" stopIfTrue="1" operator="equal">
      <formula>"YES"</formula>
    </cfRule>
    <cfRule type="cellIs" dxfId="16" priority="4" stopIfTrue="1" operator="equal">
      <formula>"NO"</formula>
    </cfRule>
  </conditionalFormatting>
  <conditionalFormatting sqref="C28">
    <cfRule type="cellIs" dxfId="15" priority="1" stopIfTrue="1" operator="equal">
      <formula>"YES"</formula>
    </cfRule>
    <cfRule type="cellIs" dxfId="14" priority="2" stopIfTrue="1" operator="equal">
      <formula>"NO"</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3"/>
    <pageSetUpPr autoPageBreaks="0"/>
  </sheetPr>
  <dimension ref="A1:BY138"/>
  <sheetViews>
    <sheetView zoomScale="80" zoomScaleNormal="80" zoomScaleSheetLayoutView="85" workbookViewId="0"/>
  </sheetViews>
  <sheetFormatPr defaultRowHeight="12.75" x14ac:dyDescent="0.2"/>
  <cols>
    <col min="1" max="1" width="11.5703125" style="210" customWidth="1"/>
    <col min="2" max="2" width="35.85546875" style="265" customWidth="1"/>
    <col min="3" max="3" width="25" style="265" customWidth="1"/>
    <col min="4" max="5" width="37.140625" style="265" customWidth="1"/>
    <col min="6" max="6" width="19.85546875" style="265" customWidth="1"/>
    <col min="7" max="7" width="18.85546875" style="265" customWidth="1"/>
    <col min="8" max="8" width="4.140625" style="265" customWidth="1"/>
    <col min="9" max="9" width="18.42578125" style="265" customWidth="1"/>
    <col min="10" max="11" width="12.5703125" style="265" customWidth="1"/>
    <col min="12" max="13" width="10" style="265" bestFit="1" customWidth="1"/>
    <col min="14" max="14" width="9.7109375" style="265" customWidth="1"/>
    <col min="15" max="15" width="10.85546875" style="265" customWidth="1"/>
    <col min="16" max="16" width="11" style="265" customWidth="1"/>
    <col min="17" max="18" width="10.7109375" style="265" bestFit="1" customWidth="1"/>
    <col min="19" max="19" width="11.28515625" style="265" customWidth="1"/>
    <col min="20" max="22" width="10.5703125" style="265" customWidth="1"/>
    <col min="23" max="23" width="11.140625" style="265" customWidth="1"/>
    <col min="24" max="26" width="10.5703125" style="265" customWidth="1"/>
    <col min="27" max="27" width="1.85546875" style="265" customWidth="1"/>
    <col min="28" max="28" width="14.42578125" style="265" customWidth="1"/>
    <col min="29" max="32" width="12" style="265" customWidth="1"/>
    <col min="33" max="36" width="10.5703125" style="265" customWidth="1"/>
    <col min="37" max="37" width="11.85546875" style="265" customWidth="1"/>
    <col min="38" max="40" width="10.5703125" style="265" customWidth="1"/>
    <col min="41" max="41" width="11.28515625" style="265" bestFit="1" customWidth="1"/>
    <col min="42" max="44" width="10.5703125" style="265" customWidth="1"/>
    <col min="45" max="45" width="11.28515625" style="265" bestFit="1" customWidth="1"/>
    <col min="46" max="48" width="10.5703125" style="265" customWidth="1"/>
    <col min="49" max="49" width="1.85546875" style="265" customWidth="1"/>
    <col min="50" max="50" width="15.7109375" style="265" bestFit="1" customWidth="1"/>
    <col min="51" max="51" width="19.140625" style="265" bestFit="1" customWidth="1"/>
    <col min="52" max="52" width="17.85546875" style="265" bestFit="1" customWidth="1"/>
    <col min="53" max="53" width="15.7109375" style="265" customWidth="1"/>
    <col min="54" max="54" width="17.85546875" style="265" bestFit="1" customWidth="1"/>
    <col min="55" max="55" width="19.140625" style="265" bestFit="1" customWidth="1"/>
    <col min="56" max="57" width="17.85546875" style="265" bestFit="1" customWidth="1"/>
    <col min="58" max="58" width="10" style="265" bestFit="1" customWidth="1"/>
    <col min="59" max="60" width="15.7109375" style="265" bestFit="1" customWidth="1"/>
    <col min="61" max="61" width="17" style="265" customWidth="1"/>
    <col min="62" max="62" width="24" style="265" customWidth="1"/>
    <col min="63" max="65" width="15.7109375" style="265" bestFit="1" customWidth="1"/>
    <col min="66" max="66" width="9.140625" style="265"/>
    <col min="67" max="67" width="14.5703125" style="265" customWidth="1"/>
    <col min="68" max="69" width="14.85546875" style="265" bestFit="1" customWidth="1"/>
    <col min="70" max="70" width="10.7109375" style="265" customWidth="1"/>
    <col min="71" max="71" width="1.85546875" style="265" customWidth="1"/>
    <col min="72" max="72" width="14.42578125" style="265" bestFit="1" customWidth="1"/>
    <col min="73" max="74" width="15.7109375" style="265" bestFit="1" customWidth="1"/>
    <col min="75" max="75" width="14.42578125" style="265" bestFit="1" customWidth="1"/>
    <col min="76" max="76" width="15.85546875" style="265" bestFit="1" customWidth="1"/>
    <col min="77" max="79" width="14.42578125" style="265" bestFit="1" customWidth="1"/>
    <col min="80" max="80" width="9.85546875" style="265" bestFit="1" customWidth="1"/>
    <col min="81" max="82" width="14.42578125" style="265" bestFit="1" customWidth="1"/>
    <col min="83" max="84" width="10.5703125" style="265" bestFit="1" customWidth="1"/>
    <col min="85" max="86" width="14.42578125" style="265" bestFit="1" customWidth="1"/>
    <col min="87" max="87" width="13.140625" style="265" bestFit="1" customWidth="1"/>
    <col min="88" max="88" width="9.140625" style="265"/>
    <col min="89" max="89" width="13.5703125" style="265" customWidth="1"/>
    <col min="90" max="90" width="13.85546875" style="265" customWidth="1"/>
    <col min="91" max="91" width="12.7109375" style="265" customWidth="1"/>
    <col min="92" max="92" width="10.5703125" style="265" customWidth="1"/>
    <col min="93" max="93" width="15.7109375" style="265" bestFit="1" customWidth="1"/>
    <col min="94" max="94" width="1.85546875" style="265" customWidth="1"/>
    <col min="95" max="95" width="14.42578125" style="265" customWidth="1"/>
    <col min="96" max="96" width="15.7109375" style="265" bestFit="1" customWidth="1"/>
    <col min="97" max="102" width="14.42578125" style="265" bestFit="1" customWidth="1"/>
    <col min="103" max="103" width="10" style="265" bestFit="1" customWidth="1"/>
    <col min="104" max="105" width="14.42578125" style="265" bestFit="1" customWidth="1"/>
    <col min="106" max="107" width="10.5703125" style="265" bestFit="1" customWidth="1"/>
    <col min="108" max="110" width="14.42578125" style="265" bestFit="1" customWidth="1"/>
    <col min="111" max="111" width="9.140625" style="265"/>
    <col min="112" max="114" width="13.5703125" style="265" customWidth="1"/>
    <col min="115" max="115" width="10.5703125" style="265" customWidth="1"/>
    <col min="116" max="116" width="15.7109375" style="265" bestFit="1" customWidth="1"/>
    <col min="117" max="16384" width="9.140625" style="265"/>
  </cols>
  <sheetData>
    <row r="1" spans="2:4" ht="15" x14ac:dyDescent="0.25">
      <c r="B1" s="264" t="str">
        <f>"Tariff Approval - "&amp;'Model update'!C3</f>
        <v>Tariff Approval - United Energy</v>
      </c>
    </row>
    <row r="3" spans="2:4" x14ac:dyDescent="0.2">
      <c r="B3" s="162" t="str">
        <f>'Model update'!C5&amp;" DISTRIBUTION TARIFF REBALANCING CONTROL"</f>
        <v>2019 DISTRIBUTION TARIFF REBALANCING CONTROL</v>
      </c>
    </row>
    <row r="4" spans="2:4" ht="6" customHeight="1" thickBot="1" x14ac:dyDescent="0.25">
      <c r="B4" s="162"/>
    </row>
    <row r="5" spans="2:4" ht="6" customHeight="1" x14ac:dyDescent="0.2">
      <c r="B5" s="266"/>
      <c r="C5" s="267"/>
      <c r="D5" s="268"/>
    </row>
    <row r="6" spans="2:4" x14ac:dyDescent="0.2">
      <c r="B6" s="269" t="s">
        <v>230</v>
      </c>
      <c r="C6" s="209"/>
      <c r="D6" s="270"/>
    </row>
    <row r="7" spans="2:4" ht="6" customHeight="1" x14ac:dyDescent="0.2">
      <c r="B7" s="271"/>
      <c r="C7" s="209"/>
      <c r="D7" s="270"/>
    </row>
    <row r="8" spans="2:4" x14ac:dyDescent="0.2">
      <c r="B8" s="271" t="str">
        <f>"CPI "&amp;'Model update'!$C$5</f>
        <v>CPI 2019</v>
      </c>
      <c r="C8" s="272">
        <f>'2019DistRevCapForm'!C22</f>
        <v>2.0776874435411097E-2</v>
      </c>
      <c r="D8" s="270"/>
    </row>
    <row r="9" spans="2:4" x14ac:dyDescent="0.2">
      <c r="B9" s="271" t="str">
        <f>"X "&amp; 'Model update'!$C$5</f>
        <v>X 2019</v>
      </c>
      <c r="C9" s="163">
        <f>MIN('2019DistRevCapForm'!C23,0)</f>
        <v>-2.6112020009605556E-2</v>
      </c>
      <c r="D9" s="270"/>
    </row>
    <row r="10" spans="2:4" x14ac:dyDescent="0.2">
      <c r="B10" s="271" t="str">
        <f>"St "&amp;'Model update'!$C$5</f>
        <v>St 2019</v>
      </c>
      <c r="C10" s="163">
        <f>'2019DistRevCapForm'!C24</f>
        <v>1.6824143991347684E-2</v>
      </c>
      <c r="D10" s="270"/>
    </row>
    <row r="11" spans="2:4" x14ac:dyDescent="0.2">
      <c r="B11" s="271" t="str">
        <f>"It "&amp;'Model update'!$C$5</f>
        <v>It 2019</v>
      </c>
      <c r="C11" s="163">
        <f>('2019DistRevCapForm'!C15-'2019DistRevCapForm'!H15)/Prop2019DistTar!BV$66</f>
        <v>-1.8379120254064199E-3</v>
      </c>
      <c r="D11" s="270"/>
    </row>
    <row r="12" spans="2:4" x14ac:dyDescent="0.2">
      <c r="B12" s="271" t="str">
        <f>"Tt "&amp;'Model update'!$C$5</f>
        <v>Tt 2019</v>
      </c>
      <c r="C12" s="163">
        <f>('2019DistRevCapForm'!C16-'2019DistRevCapForm'!H16)/Prop2019DistTar!BV$66</f>
        <v>0</v>
      </c>
      <c r="D12" s="270"/>
    </row>
    <row r="13" spans="2:4" x14ac:dyDescent="0.2">
      <c r="B13" s="271" t="str">
        <f>"Bt "&amp;'Model update'!$C$5</f>
        <v>Bt 2019</v>
      </c>
      <c r="C13" s="164">
        <f>('2019DistRevCapForm'!C17-'2019DistRevCapForm'!H17)/Prop2019DistTar!BV$66</f>
        <v>-5.7766274643087914E-3</v>
      </c>
      <c r="D13" s="270"/>
    </row>
    <row r="14" spans="2:4" ht="6" customHeight="1" x14ac:dyDescent="0.2">
      <c r="B14" s="271"/>
      <c r="C14" s="209"/>
      <c r="D14" s="270"/>
    </row>
    <row r="15" spans="2:4" ht="6" customHeight="1" x14ac:dyDescent="0.2">
      <c r="B15" s="271"/>
      <c r="C15" s="209"/>
      <c r="D15" s="270"/>
    </row>
    <row r="16" spans="2:4" x14ac:dyDescent="0.2">
      <c r="B16" s="273"/>
      <c r="C16" s="274">
        <f>(1+C8)*(1-C9)*(1+0.02)*(1+C10)+SUM(C11:C13)</f>
        <v>1.0787400893105807</v>
      </c>
      <c r="D16" s="270"/>
    </row>
    <row r="17" spans="1:6" ht="6" customHeight="1" thickBot="1" x14ac:dyDescent="0.25">
      <c r="B17" s="275"/>
      <c r="C17" s="276"/>
      <c r="D17" s="277"/>
    </row>
    <row r="18" spans="1:6" ht="6" customHeight="1" thickBot="1" x14ac:dyDescent="0.25">
      <c r="B18" s="278"/>
      <c r="C18" s="278"/>
      <c r="D18" s="278"/>
    </row>
    <row r="19" spans="1:6" s="523" customFormat="1" x14ac:dyDescent="0.2">
      <c r="A19" s="458"/>
      <c r="B19" s="520"/>
      <c r="C19" s="521"/>
      <c r="D19" s="521"/>
      <c r="E19" s="521"/>
      <c r="F19" s="522"/>
    </row>
    <row r="20" spans="1:6" s="523" customFormat="1" ht="12.75" customHeight="1" x14ac:dyDescent="0.2">
      <c r="A20" s="458"/>
      <c r="B20" s="524" t="s">
        <v>231</v>
      </c>
      <c r="C20" s="525" t="str">
        <f>"Pt-1*(Qt " &amp;'Model update'!$C$5&amp;")"</f>
        <v>Pt-1*(Qt 2019)</v>
      </c>
      <c r="D20" s="525" t="str">
        <f>"Pt-1*(Qt " &amp;'Model update'!$C$5&amp;")"</f>
        <v>Pt-1*(Qt 2019)</v>
      </c>
      <c r="E20" s="526"/>
      <c r="F20" s="527"/>
    </row>
    <row r="21" spans="1:6" s="523" customFormat="1" x14ac:dyDescent="0.2">
      <c r="A21" s="458"/>
      <c r="B21" s="528" t="s">
        <v>232</v>
      </c>
      <c r="C21" s="529" t="s">
        <v>233</v>
      </c>
      <c r="D21" s="529" t="s">
        <v>234</v>
      </c>
      <c r="E21" s="529" t="s">
        <v>235</v>
      </c>
      <c r="F21" s="530"/>
    </row>
    <row r="22" spans="1:6" s="523" customFormat="1" ht="12.75" customHeight="1" x14ac:dyDescent="0.2">
      <c r="A22" s="458"/>
      <c r="B22" s="517" t="s">
        <v>456</v>
      </c>
      <c r="C22" s="531">
        <f t="shared" ref="C22:C33" si="0">IF(B22="","",SUMIF($B$39:$B$98,$B22,$I$39:$I$98))</f>
        <v>197497162.63562369</v>
      </c>
      <c r="D22" s="531">
        <f t="shared" ref="D22:D33" si="1">IF(B22="","",SUMIF($B$39:$B$98,$B22,$F$39:$F$98))</f>
        <v>203848198.87569821</v>
      </c>
      <c r="E22" s="532">
        <f t="shared" ref="E22:E33" si="2">IF(B22="","",D22/C22)</f>
        <v>1.0321576075084784</v>
      </c>
      <c r="F22" s="530" t="str">
        <f>IF(B22="","",IF(E22&lt;$C$16,"COMPLIANT","BREACHED"))</f>
        <v>COMPLIANT</v>
      </c>
    </row>
    <row r="23" spans="1:6" s="523" customFormat="1" ht="12.75" customHeight="1" x14ac:dyDescent="0.2">
      <c r="A23" s="458"/>
      <c r="B23" s="518" t="s">
        <v>457</v>
      </c>
      <c r="C23" s="533">
        <f t="shared" si="0"/>
        <v>106425300.3004626</v>
      </c>
      <c r="D23" s="533">
        <f t="shared" si="1"/>
        <v>107143780.84856886</v>
      </c>
      <c r="E23" s="534">
        <f t="shared" si="2"/>
        <v>1.006751031437805</v>
      </c>
      <c r="F23" s="530" t="str">
        <f t="shared" ref="F23:F33" si="3">IF(B23="","",IF(E23&lt;$C$16,"COMPLIANT","BREACHED"))</f>
        <v>COMPLIANT</v>
      </c>
    </row>
    <row r="24" spans="1:6" s="523" customFormat="1" x14ac:dyDescent="0.2">
      <c r="A24" s="458"/>
      <c r="B24" s="518" t="s">
        <v>458</v>
      </c>
      <c r="C24" s="533">
        <f t="shared" si="0"/>
        <v>96826659.993580773</v>
      </c>
      <c r="D24" s="533">
        <f t="shared" si="1"/>
        <v>102042742.92391466</v>
      </c>
      <c r="E24" s="534">
        <f t="shared" si="2"/>
        <v>1.0538703176447446</v>
      </c>
      <c r="F24" s="530" t="str">
        <f t="shared" si="3"/>
        <v>COMPLIANT</v>
      </c>
    </row>
    <row r="25" spans="1:6" s="523" customFormat="1" x14ac:dyDescent="0.2">
      <c r="A25" s="458"/>
      <c r="B25" s="518" t="s">
        <v>459</v>
      </c>
      <c r="C25" s="533">
        <f t="shared" si="0"/>
        <v>21056604.358530797</v>
      </c>
      <c r="D25" s="533">
        <f t="shared" si="1"/>
        <v>22175551.801753208</v>
      </c>
      <c r="E25" s="534">
        <f t="shared" si="2"/>
        <v>1.0531399756660711</v>
      </c>
      <c r="F25" s="530" t="str">
        <f t="shared" si="3"/>
        <v>COMPLIANT</v>
      </c>
    </row>
    <row r="26" spans="1:6" s="523" customFormat="1" x14ac:dyDescent="0.2">
      <c r="A26" s="458"/>
      <c r="B26" s="518" t="s">
        <v>460</v>
      </c>
      <c r="C26" s="533">
        <f t="shared" si="0"/>
        <v>194884.9709718157</v>
      </c>
      <c r="D26" s="533">
        <f t="shared" si="1"/>
        <v>205177.2335902598</v>
      </c>
      <c r="E26" s="534">
        <f t="shared" si="2"/>
        <v>1.052811987333454</v>
      </c>
      <c r="F26" s="530" t="str">
        <f t="shared" si="3"/>
        <v>COMPLIANT</v>
      </c>
    </row>
    <row r="27" spans="1:6" s="523" customFormat="1" x14ac:dyDescent="0.2">
      <c r="A27" s="458"/>
      <c r="B27" s="535"/>
      <c r="C27" s="533" t="str">
        <f t="shared" si="0"/>
        <v/>
      </c>
      <c r="D27" s="533" t="str">
        <f t="shared" si="1"/>
        <v/>
      </c>
      <c r="E27" s="534" t="str">
        <f t="shared" si="2"/>
        <v/>
      </c>
      <c r="F27" s="530" t="str">
        <f t="shared" si="3"/>
        <v/>
      </c>
    </row>
    <row r="28" spans="1:6" s="523" customFormat="1" x14ac:dyDescent="0.2">
      <c r="A28" s="458"/>
      <c r="B28" s="535"/>
      <c r="C28" s="533" t="str">
        <f t="shared" si="0"/>
        <v/>
      </c>
      <c r="D28" s="533" t="str">
        <f t="shared" si="1"/>
        <v/>
      </c>
      <c r="E28" s="534" t="str">
        <f t="shared" si="2"/>
        <v/>
      </c>
      <c r="F28" s="530" t="str">
        <f t="shared" si="3"/>
        <v/>
      </c>
    </row>
    <row r="29" spans="1:6" s="523" customFormat="1" x14ac:dyDescent="0.2">
      <c r="A29" s="458"/>
      <c r="B29" s="535"/>
      <c r="C29" s="533" t="str">
        <f t="shared" si="0"/>
        <v/>
      </c>
      <c r="D29" s="533" t="str">
        <f t="shared" si="1"/>
        <v/>
      </c>
      <c r="E29" s="534" t="str">
        <f t="shared" si="2"/>
        <v/>
      </c>
      <c r="F29" s="530" t="str">
        <f t="shared" si="3"/>
        <v/>
      </c>
    </row>
    <row r="30" spans="1:6" s="523" customFormat="1" x14ac:dyDescent="0.2">
      <c r="A30" s="458"/>
      <c r="B30" s="535"/>
      <c r="C30" s="533" t="str">
        <f t="shared" si="0"/>
        <v/>
      </c>
      <c r="D30" s="533" t="str">
        <f t="shared" si="1"/>
        <v/>
      </c>
      <c r="E30" s="534" t="str">
        <f t="shared" si="2"/>
        <v/>
      </c>
      <c r="F30" s="530" t="str">
        <f t="shared" si="3"/>
        <v/>
      </c>
    </row>
    <row r="31" spans="1:6" s="523" customFormat="1" x14ac:dyDescent="0.2">
      <c r="A31" s="458"/>
      <c r="B31" s="535"/>
      <c r="C31" s="533" t="str">
        <f t="shared" si="0"/>
        <v/>
      </c>
      <c r="D31" s="533" t="str">
        <f t="shared" si="1"/>
        <v/>
      </c>
      <c r="E31" s="534" t="str">
        <f t="shared" si="2"/>
        <v/>
      </c>
      <c r="F31" s="530" t="str">
        <f t="shared" si="3"/>
        <v/>
      </c>
    </row>
    <row r="32" spans="1:6" s="523" customFormat="1" x14ac:dyDescent="0.2">
      <c r="A32" s="458"/>
      <c r="B32" s="535"/>
      <c r="C32" s="533" t="str">
        <f t="shared" si="0"/>
        <v/>
      </c>
      <c r="D32" s="533" t="str">
        <f t="shared" si="1"/>
        <v/>
      </c>
      <c r="E32" s="534" t="str">
        <f t="shared" si="2"/>
        <v/>
      </c>
      <c r="F32" s="530" t="str">
        <f t="shared" si="3"/>
        <v/>
      </c>
    </row>
    <row r="33" spans="1:15" s="523" customFormat="1" ht="13.5" thickBot="1" x14ac:dyDescent="0.25">
      <c r="A33" s="458"/>
      <c r="B33" s="536"/>
      <c r="C33" s="537" t="str">
        <f t="shared" si="0"/>
        <v/>
      </c>
      <c r="D33" s="537" t="str">
        <f t="shared" si="1"/>
        <v/>
      </c>
      <c r="E33" s="538" t="str">
        <f t="shared" si="2"/>
        <v/>
      </c>
      <c r="F33" s="539" t="str">
        <f t="shared" si="3"/>
        <v/>
      </c>
    </row>
    <row r="34" spans="1:15" s="523" customFormat="1" x14ac:dyDescent="0.2">
      <c r="A34" s="458"/>
      <c r="B34" s="540" t="s">
        <v>236</v>
      </c>
      <c r="C34" s="541" t="str">
        <f>IF(ABS(SUM(C22:C33)-I99)&lt;0.01,"Ok","Error")</f>
        <v>Ok</v>
      </c>
      <c r="D34" s="542" t="str">
        <f>IF(ABS(SUM(D22:D33)-F99)&lt;0.01,"Ok","Error")</f>
        <v>Ok</v>
      </c>
      <c r="E34" s="543"/>
    </row>
    <row r="35" spans="1:15" s="523" customFormat="1" x14ac:dyDescent="0.2">
      <c r="A35" s="458"/>
      <c r="B35" s="544"/>
      <c r="C35" s="545" t="str">
        <f>IF(ABS(SUM(C22:C33)-Prop2019DistTar!BV66)&lt;0.01,"Ok","Error")</f>
        <v>Ok</v>
      </c>
      <c r="D35" s="545" t="str">
        <f>IF(ABS(SUM(D22:D33)-Prop2019DistTar!BG66)&lt;0.01,"Ok","Error")</f>
        <v>Ok</v>
      </c>
      <c r="E35" s="543"/>
    </row>
    <row r="36" spans="1:15" s="523" customFormat="1" x14ac:dyDescent="0.2">
      <c r="A36" s="458"/>
      <c r="B36" s="546"/>
      <c r="C36" s="546"/>
      <c r="D36" s="546"/>
      <c r="E36" s="546"/>
    </row>
    <row r="37" spans="1:15" s="523" customFormat="1" ht="13.5" thickBot="1" x14ac:dyDescent="0.25">
      <c r="A37" s="458"/>
      <c r="F37" s="648" t="str">
        <f>"Forecast Revenue (Pt "&amp;'Model update'!$C$5&amp;")*(Qt " &amp;'Model update'!$C$5&amp;")"</f>
        <v>Forecast Revenue (Pt 2019)*(Qt 2019)</v>
      </c>
      <c r="G37" s="547"/>
      <c r="I37" s="648" t="str">
        <f>"Revenue (Pt-1 "&amp;'Model update'!$C$8&amp;")*(Qt " &amp;'Model update'!$C$5&amp;")"</f>
        <v>Revenue (Pt-1 2018)*(Qt 2019)</v>
      </c>
      <c r="J37" s="647"/>
      <c r="O37" s="548"/>
    </row>
    <row r="38" spans="1:15" s="523" customFormat="1" ht="30" customHeight="1" thickBot="1" x14ac:dyDescent="0.25">
      <c r="A38" s="549" t="s">
        <v>237</v>
      </c>
      <c r="B38" s="550" t="s">
        <v>238</v>
      </c>
      <c r="C38" s="550" t="s">
        <v>239</v>
      </c>
      <c r="D38" s="550" t="s">
        <v>128</v>
      </c>
      <c r="E38" s="551" t="s">
        <v>129</v>
      </c>
      <c r="F38" s="644" t="s">
        <v>162</v>
      </c>
      <c r="I38" s="552" t="s">
        <v>172</v>
      </c>
    </row>
    <row r="39" spans="1:15" s="523" customFormat="1" x14ac:dyDescent="0.2">
      <c r="A39" s="553" t="b">
        <f t="array" ref="A39">OR(EXACT(D39,Prop2019DistTar!C$6:C$65))</f>
        <v>1</v>
      </c>
      <c r="B39" s="649" t="s">
        <v>456</v>
      </c>
      <c r="C39" s="649" t="s">
        <v>456</v>
      </c>
      <c r="D39" s="554" t="str">
        <f>IF(Prop2019DistTar!B6="","",Prop2019DistTar!B6)</f>
        <v>Low voltage small 1 rate</v>
      </c>
      <c r="E39" s="559" t="str">
        <f>IF(Prop2019DistTar!C6="","",Prop2019DistTar!C6)</f>
        <v>Low voltage small 1 rate</v>
      </c>
      <c r="F39" s="645">
        <f>Prop2019DistTar!BG6</f>
        <v>181632776.24161205</v>
      </c>
      <c r="I39" s="558">
        <f>Prop2019DistTar!BV6</f>
        <v>176934325.95610768</v>
      </c>
    </row>
    <row r="40" spans="1:15" s="523" customFormat="1" x14ac:dyDescent="0.2">
      <c r="A40" s="553" t="b">
        <f t="array" ref="A40">OR(EXACT(D40,Prop2019DistTar!C$6:C$65))</f>
        <v>1</v>
      </c>
      <c r="B40" s="649" t="s">
        <v>456</v>
      </c>
      <c r="C40" s="649" t="s">
        <v>456</v>
      </c>
      <c r="D40" s="554" t="str">
        <f>IF(Prop2019DistTar!B7="","",Prop2019DistTar!B7)</f>
        <v>Winter economy tariff</v>
      </c>
      <c r="E40" s="559" t="str">
        <f>IF(Prop2019DistTar!C7="","",Prop2019DistTar!C7)</f>
        <v>Winter economy tariff</v>
      </c>
      <c r="F40" s="645">
        <f>Prop2019DistTar!BG7</f>
        <v>56393.000554518687</v>
      </c>
      <c r="I40" s="558">
        <f>Prop2019DistTar!BV7</f>
        <v>49980.711073932165</v>
      </c>
    </row>
    <row r="41" spans="1:15" s="523" customFormat="1" x14ac:dyDescent="0.2">
      <c r="A41" s="553" t="b">
        <f t="array" ref="A41">OR(EXACT(D41,Prop2019DistTar!C$6:C$65))</f>
        <v>1</v>
      </c>
      <c r="B41" s="649" t="s">
        <v>457</v>
      </c>
      <c r="C41" s="649" t="s">
        <v>457</v>
      </c>
      <c r="D41" s="554" t="str">
        <f>IF(Prop2019DistTar!B8="","",Prop2019DistTar!B8)</f>
        <v>Reverse cycle airconditioning time of use</v>
      </c>
      <c r="E41" s="559" t="str">
        <f>IF(Prop2019DistTar!C8="","",Prop2019DistTar!C8)</f>
        <v>Reverse cycle airconditioning time of use</v>
      </c>
      <c r="F41" s="645">
        <f>Prop2019DistTar!BG8</f>
        <v>0</v>
      </c>
      <c r="I41" s="558">
        <f>Prop2019DistTar!BV8</f>
        <v>0</v>
      </c>
    </row>
    <row r="42" spans="1:15" s="523" customFormat="1" x14ac:dyDescent="0.2">
      <c r="A42" s="553" t="b">
        <f t="array" ref="A42">OR(EXACT(D42,Prop2019DistTar!C$6:C$65))</f>
        <v>1</v>
      </c>
      <c r="B42" s="649" t="s">
        <v>456</v>
      </c>
      <c r="C42" s="649" t="s">
        <v>456</v>
      </c>
      <c r="D42" s="554" t="str">
        <f>IF(Prop2019DistTar!B9="","",Prop2019DistTar!B9)</f>
        <v>Low voltage small 2 rate</v>
      </c>
      <c r="E42" s="559" t="str">
        <f>IF(Prop2019DistTar!C9="","",Prop2019DistTar!C9)</f>
        <v>Low voltage small 2 rate</v>
      </c>
      <c r="F42" s="645">
        <f>Prop2019DistTar!BG9</f>
        <v>1436254.4375339735</v>
      </c>
      <c r="I42" s="558">
        <f>Prop2019DistTar!BV9</f>
        <v>1281701.5615012902</v>
      </c>
    </row>
    <row r="43" spans="1:15" s="523" customFormat="1" x14ac:dyDescent="0.2">
      <c r="A43" s="553" t="b">
        <f t="array" ref="A43">OR(EXACT(D43,Prop2019DistTar!C$6:C$65))</f>
        <v>1</v>
      </c>
      <c r="B43" s="649" t="s">
        <v>456</v>
      </c>
      <c r="C43" s="649" t="s">
        <v>456</v>
      </c>
      <c r="D43" s="554" t="str">
        <f>IF(Prop2019DistTar!B10="","",Prop2019DistTar!B10)</f>
        <v>Dedicated circuit</v>
      </c>
      <c r="E43" s="559" t="str">
        <f>IF(Prop2019DistTar!C10="","",Prop2019DistTar!C10)</f>
        <v>Dedicated circuit</v>
      </c>
      <c r="F43" s="645">
        <f>Prop2019DistTar!BG10</f>
        <v>1674759.0807202116</v>
      </c>
      <c r="I43" s="558">
        <f>Prop2019DistTar!BV10</f>
        <v>1625105.4195330294</v>
      </c>
    </row>
    <row r="44" spans="1:15" s="523" customFormat="1" x14ac:dyDescent="0.2">
      <c r="A44" s="553" t="b">
        <f t="array" ref="A44">OR(EXACT(D44,Prop2019DistTar!C$6:C$65))</f>
        <v>1</v>
      </c>
      <c r="B44" s="649" t="s">
        <v>457</v>
      </c>
      <c r="C44" s="649" t="s">
        <v>457</v>
      </c>
      <c r="D44" s="554" t="str">
        <f>IF(Prop2019DistTar!B11="","",Prop2019DistTar!B11)</f>
        <v>Low voltage medium 1 rate</v>
      </c>
      <c r="E44" s="559" t="str">
        <f>IF(Prop2019DistTar!C11="","",Prop2019DistTar!C11)</f>
        <v>Low voltage medium 1 rate</v>
      </c>
      <c r="F44" s="645">
        <f>Prop2019DistTar!BG11</f>
        <v>34466015.842323281</v>
      </c>
      <c r="I44" s="558">
        <f>Prop2019DistTar!BV11</f>
        <v>33691038.945361294</v>
      </c>
    </row>
    <row r="45" spans="1:15" s="523" customFormat="1" x14ac:dyDescent="0.2">
      <c r="A45" s="553" t="b">
        <f t="array" ref="A45">OR(EXACT(D45,Prop2019DistTar!C$6:C$65))</f>
        <v>1</v>
      </c>
      <c r="B45" s="649" t="s">
        <v>457</v>
      </c>
      <c r="C45" s="649" t="s">
        <v>457</v>
      </c>
      <c r="D45" s="554" t="str">
        <f>IF(Prop2019DistTar!B12="","",Prop2019DistTar!B12)</f>
        <v>Low voltage medium 2 rate 5 day</v>
      </c>
      <c r="E45" s="559" t="str">
        <f>IF(Prop2019DistTar!C12="","",Prop2019DistTar!C12)</f>
        <v>Low voltage medium 2 rate 5 day</v>
      </c>
      <c r="F45" s="645">
        <f>Prop2019DistTar!BG12</f>
        <v>15115047.857774314</v>
      </c>
      <c r="I45" s="558">
        <f>Prop2019DistTar!BV12</f>
        <v>13247588.477959173</v>
      </c>
    </row>
    <row r="46" spans="1:15" s="523" customFormat="1" x14ac:dyDescent="0.2">
      <c r="A46" s="553" t="b">
        <f t="array" ref="A46">OR(EXACT(D46,Prop2019DistTar!C$6:C$65))</f>
        <v>1</v>
      </c>
      <c r="B46" s="649" t="s">
        <v>457</v>
      </c>
      <c r="C46" s="649" t="s">
        <v>457</v>
      </c>
      <c r="D46" s="554" t="str">
        <f>IF(Prop2019DistTar!B13="","",Prop2019DistTar!B13)</f>
        <v>Low voltage medium 2 rate 7 day</v>
      </c>
      <c r="E46" s="559" t="str">
        <f>IF(Prop2019DistTar!C13="","",Prop2019DistTar!C13)</f>
        <v>Low voltage medium 2 rate 7 day</v>
      </c>
      <c r="F46" s="645">
        <f>Prop2019DistTar!BG13</f>
        <v>6353457.6248049811</v>
      </c>
      <c r="I46" s="558">
        <f>Prop2019DistTar!BV13</f>
        <v>6377533.3931416366</v>
      </c>
    </row>
    <row r="47" spans="1:15" s="523" customFormat="1" x14ac:dyDescent="0.2">
      <c r="A47" s="553" t="b">
        <f t="array" ref="A47">OR(EXACT(D47,Prop2019DistTar!C$6:C$65))</f>
        <v>1</v>
      </c>
      <c r="B47" s="649" t="s">
        <v>456</v>
      </c>
      <c r="C47" s="649" t="s">
        <v>456</v>
      </c>
      <c r="D47" s="554" t="str">
        <f>IF(Prop2019DistTar!B14="","",Prop2019DistTar!B14)</f>
        <v>Unmetered supplies</v>
      </c>
      <c r="E47" s="559" t="str">
        <f>IF(Prop2019DistTar!C14="","",Prop2019DistTar!C14)</f>
        <v>Unmetered supplies</v>
      </c>
      <c r="F47" s="645">
        <f>Prop2019DistTar!BG14</f>
        <v>3367606.0630289428</v>
      </c>
      <c r="I47" s="558">
        <f>Prop2019DistTar!BV14</f>
        <v>3264589.880343134</v>
      </c>
    </row>
    <row r="48" spans="1:15" s="523" customFormat="1" x14ac:dyDescent="0.2">
      <c r="A48" s="553" t="b">
        <f t="array" ref="A48">OR(EXACT(D48,Prop2019DistTar!C$6:C$65))</f>
        <v>1</v>
      </c>
      <c r="B48" s="649" t="s">
        <v>458</v>
      </c>
      <c r="C48" s="649" t="s">
        <v>458</v>
      </c>
      <c r="D48" s="554" t="str">
        <f>IF(Prop2019DistTar!B15="","",Prop2019DistTar!B15)</f>
        <v>Low voltage large 1 rate</v>
      </c>
      <c r="E48" s="559" t="str">
        <f>IF(Prop2019DistTar!C15="","",Prop2019DistTar!C15)</f>
        <v>Low voltage large 1 rate</v>
      </c>
      <c r="F48" s="645">
        <f>Prop2019DistTar!BG15</f>
        <v>77593.154732002818</v>
      </c>
      <c r="I48" s="558">
        <f>Prop2019DistTar!BV15</f>
        <v>69064.949288603617</v>
      </c>
    </row>
    <row r="49" spans="1:9" s="523" customFormat="1" x14ac:dyDescent="0.2">
      <c r="A49" s="553" t="b">
        <f t="array" ref="A49">OR(EXACT(D49,Prop2019DistTar!C$6:C$65))</f>
        <v>1</v>
      </c>
      <c r="B49" s="649" t="s">
        <v>458</v>
      </c>
      <c r="C49" s="649" t="s">
        <v>458</v>
      </c>
      <c r="D49" s="554" t="str">
        <f>IF(Prop2019DistTar!B16="","",Prop2019DistTar!B16)</f>
        <v>Low voltage large 2 rate</v>
      </c>
      <c r="E49" s="559" t="str">
        <f>IF(Prop2019DistTar!C16="","",Prop2019DistTar!C16)</f>
        <v>Low voltage large 2 rate</v>
      </c>
      <c r="F49" s="645">
        <f>Prop2019DistTar!BG16</f>
        <v>237614.31565847638</v>
      </c>
      <c r="I49" s="558">
        <f>Prop2019DistTar!BV16</f>
        <v>205746.72943204813</v>
      </c>
    </row>
    <row r="50" spans="1:9" s="523" customFormat="1" x14ac:dyDescent="0.2">
      <c r="A50" s="553" t="b">
        <f t="array" ref="A50">OR(EXACT(D50,Prop2019DistTar!C$6:C$65))</f>
        <v>1</v>
      </c>
      <c r="B50" s="649" t="s">
        <v>457</v>
      </c>
      <c r="C50" s="649" t="s">
        <v>457</v>
      </c>
      <c r="D50" s="554" t="str">
        <f>IF(Prop2019DistTar!B17="","",Prop2019DistTar!B17)</f>
        <v>Low voltage KW time of use</v>
      </c>
      <c r="E50" s="559" t="str">
        <f>IF(Prop2019DistTar!C17="","",Prop2019DistTar!C17)</f>
        <v>Low voltage KW time of use</v>
      </c>
      <c r="F50" s="645">
        <f>Prop2019DistTar!BG17</f>
        <v>1021663.5724389483</v>
      </c>
      <c r="I50" s="558">
        <f>Prop2019DistTar!BV17</f>
        <v>883714.90742448566</v>
      </c>
    </row>
    <row r="51" spans="1:9" s="523" customFormat="1" x14ac:dyDescent="0.2">
      <c r="A51" s="553" t="b">
        <f t="array" ref="A51">OR(EXACT(D51,Prop2019DistTar!C$6:C$65))</f>
        <v>1</v>
      </c>
      <c r="B51" s="649" t="s">
        <v>457</v>
      </c>
      <c r="C51" s="649" t="s">
        <v>457</v>
      </c>
      <c r="D51" s="554" t="str">
        <f>IF(Prop2019DistTar!B18="","",Prop2019DistTar!B18)</f>
        <v>Low voltage KW time of use - HOT</v>
      </c>
      <c r="E51" s="559" t="str">
        <f>IF(Prop2019DistTar!C18="","",Prop2019DistTar!C18)</f>
        <v>Low voltage KW time of use - HOT</v>
      </c>
      <c r="F51" s="645">
        <f>Prop2019DistTar!BG18</f>
        <v>124104.6176589636</v>
      </c>
      <c r="I51" s="558">
        <f>Prop2019DistTar!BV18</f>
        <v>131214.62913983321</v>
      </c>
    </row>
    <row r="52" spans="1:9" s="523" customFormat="1" x14ac:dyDescent="0.2">
      <c r="A52" s="553" t="b">
        <f t="array" ref="A52">OR(EXACT(D52,Prop2019DistTar!C$6:C$65))</f>
        <v>1</v>
      </c>
      <c r="B52" s="649" t="s">
        <v>458</v>
      </c>
      <c r="C52" s="649" t="s">
        <v>458</v>
      </c>
      <c r="D52" s="554" t="str">
        <f>IF(Prop2019DistTar!B19="","",Prop2019DistTar!B19)</f>
        <v>Low voltage large KVA time of use</v>
      </c>
      <c r="E52" s="559" t="str">
        <f>IF(Prop2019DistTar!C19="","",Prop2019DistTar!C19)</f>
        <v>Low voltage large KVA time of use</v>
      </c>
      <c r="F52" s="645">
        <f>Prop2019DistTar!BG19</f>
        <v>101727535.45352417</v>
      </c>
      <c r="I52" s="558">
        <f>Prop2019DistTar!BV19</f>
        <v>96551848.31486012</v>
      </c>
    </row>
    <row r="53" spans="1:9" s="523" customFormat="1" x14ac:dyDescent="0.2">
      <c r="A53" s="553" t="b">
        <f t="array" ref="A53">OR(EXACT(D53,Prop2019DistTar!C$6:C$65))</f>
        <v>1</v>
      </c>
      <c r="B53" s="649" t="s">
        <v>458</v>
      </c>
      <c r="C53" s="649" t="s">
        <v>458</v>
      </c>
      <c r="D53" s="554" t="str">
        <f>IF(Prop2019DistTar!B20="","",Prop2019DistTar!B20)</f>
        <v>Low voltage large KVA time of use - HOT</v>
      </c>
      <c r="E53" s="559" t="str">
        <f>IF(Prop2019DistTar!C20="","",Prop2019DistTar!C20)</f>
        <v>Low voltage large KVA time of use - HOT</v>
      </c>
      <c r="F53" s="645">
        <f>Prop2019DistTar!BG20</f>
        <v>0</v>
      </c>
      <c r="I53" s="558">
        <f>Prop2019DistTar!BV20</f>
        <v>0</v>
      </c>
    </row>
    <row r="54" spans="1:9" s="523" customFormat="1" x14ac:dyDescent="0.2">
      <c r="A54" s="553" t="b">
        <f t="array" ref="A54">OR(EXACT(D54,Prop2019DistTar!C$6:C$65))</f>
        <v>1</v>
      </c>
      <c r="B54" s="649" t="s">
        <v>459</v>
      </c>
      <c r="C54" s="649" t="s">
        <v>459</v>
      </c>
      <c r="D54" s="554" t="str">
        <f>IF(Prop2019DistTar!B21="","",Prop2019DistTar!B21)</f>
        <v>High voltage KVA time of use</v>
      </c>
      <c r="E54" s="559" t="str">
        <f>IF(Prop2019DistTar!C21="","",Prop2019DistTar!C21)</f>
        <v>High voltage KVA time of use</v>
      </c>
      <c r="F54" s="645">
        <f>Prop2019DistTar!BG21</f>
        <v>22175551.801753208</v>
      </c>
      <c r="I54" s="558">
        <f>Prop2019DistTar!BV21</f>
        <v>21056604.358530797</v>
      </c>
    </row>
    <row r="55" spans="1:9" s="523" customFormat="1" x14ac:dyDescent="0.2">
      <c r="A55" s="553" t="b">
        <f t="array" ref="A55">OR(EXACT(D55,Prop2019DistTar!C$6:C$65))</f>
        <v>1</v>
      </c>
      <c r="B55" s="649" t="s">
        <v>459</v>
      </c>
      <c r="C55" s="649" t="s">
        <v>459</v>
      </c>
      <c r="D55" s="554" t="str">
        <f>IF(Prop2019DistTar!B22="","",Prop2019DistTar!B22)</f>
        <v>High voltage KVA time of use - HOT</v>
      </c>
      <c r="E55" s="559" t="str">
        <f>IF(Prop2019DistTar!C22="","",Prop2019DistTar!C22)</f>
        <v>High voltage KVA time of use - HOT</v>
      </c>
      <c r="F55" s="645">
        <f>Prop2019DistTar!BG22</f>
        <v>0</v>
      </c>
      <c r="I55" s="558">
        <f>Prop2019DistTar!BV22</f>
        <v>0</v>
      </c>
    </row>
    <row r="56" spans="1:9" s="523" customFormat="1" x14ac:dyDescent="0.2">
      <c r="A56" s="553" t="b">
        <f t="array" ref="A56">OR(EXACT(D56,Prop2019DistTar!C$6:C$65))</f>
        <v>1</v>
      </c>
      <c r="B56" s="649" t="s">
        <v>460</v>
      </c>
      <c r="C56" s="649" t="s">
        <v>460</v>
      </c>
      <c r="D56" s="554" t="str">
        <f>IF(Prop2019DistTar!B23="","",Prop2019DistTar!B23)</f>
        <v>Subtransmission KVA time of use</v>
      </c>
      <c r="E56" s="559" t="str">
        <f>IF(Prop2019DistTar!C23="","",Prop2019DistTar!C23)</f>
        <v>Subtransmission KVA time of use</v>
      </c>
      <c r="F56" s="645">
        <f>Prop2019DistTar!BG23</f>
        <v>205177.2335902598</v>
      </c>
      <c r="I56" s="558">
        <f>Prop2019DistTar!BV23</f>
        <v>194884.9709718157</v>
      </c>
    </row>
    <row r="57" spans="1:9" s="523" customFormat="1" x14ac:dyDescent="0.2">
      <c r="A57" s="553" t="b">
        <f t="array" ref="A57">OR(EXACT(D57,Prop2019DistTar!C$6:C$65))</f>
        <v>1</v>
      </c>
      <c r="B57" s="649" t="s">
        <v>456</v>
      </c>
      <c r="C57" s="649" t="s">
        <v>456</v>
      </c>
      <c r="D57" s="554" t="str">
        <f>IF(Prop2019DistTar!B24="","",Prop2019DistTar!B24)</f>
        <v>TOD</v>
      </c>
      <c r="E57" s="559" t="str">
        <f>IF(Prop2019DistTar!C24="","",Prop2019DistTar!C24)</f>
        <v>TOD</v>
      </c>
      <c r="F57" s="645">
        <f>Prop2019DistTar!BG24</f>
        <v>14106719.758683655</v>
      </c>
      <c r="I57" s="558">
        <f>Prop2019DistTar!BV24</f>
        <v>12740818.441142533</v>
      </c>
    </row>
    <row r="58" spans="1:9" s="523" customFormat="1" x14ac:dyDescent="0.2">
      <c r="A58" s="553" t="b">
        <f t="array" ref="A58">OR(EXACT(D58,Prop2019DistTar!C$6:C$65))</f>
        <v>1</v>
      </c>
      <c r="B58" s="649" t="s">
        <v>456</v>
      </c>
      <c r="C58" s="649" t="s">
        <v>456</v>
      </c>
      <c r="D58" s="554" t="str">
        <f>IF(Prop2019DistTar!B25="","",Prop2019DistTar!B25)</f>
        <v>TOD9</v>
      </c>
      <c r="E58" s="559" t="str">
        <f>IF(Prop2019DistTar!C25="","",Prop2019DistTar!C25)</f>
        <v>TOD9</v>
      </c>
      <c r="F58" s="645">
        <f>Prop2019DistTar!BG25</f>
        <v>805722.01209982857</v>
      </c>
      <c r="I58" s="558">
        <f>Prop2019DistTar!BV25</f>
        <v>856715.55060545797</v>
      </c>
    </row>
    <row r="59" spans="1:9" s="523" customFormat="1" x14ac:dyDescent="0.2">
      <c r="A59" s="553" t="b">
        <f t="array" ref="A59">OR(EXACT(D59,Prop2019DistTar!C$6:C$65))</f>
        <v>1</v>
      </c>
      <c r="B59" s="649" t="s">
        <v>457</v>
      </c>
      <c r="C59" s="649" t="s">
        <v>457</v>
      </c>
      <c r="D59" s="554" t="str">
        <f>IF(Prop2019DistTar!B26="","",Prop2019DistTar!B26)</f>
        <v>TOU</v>
      </c>
      <c r="E59" s="559" t="str">
        <f>IF(Prop2019DistTar!C26="","",Prop2019DistTar!C26)</f>
        <v>TOU</v>
      </c>
      <c r="F59" s="645">
        <f>Prop2019DistTar!BG26</f>
        <v>1601667.4099098004</v>
      </c>
      <c r="I59" s="558">
        <f>Prop2019DistTar!BV26</f>
        <v>1524131.1363727734</v>
      </c>
    </row>
    <row r="60" spans="1:9" s="523" customFormat="1" x14ac:dyDescent="0.2">
      <c r="A60" s="553" t="b">
        <f t="array" ref="A60">OR(EXACT(D60,Prop2019DistTar!C$6:C$65))</f>
        <v>1</v>
      </c>
      <c r="B60" s="649" t="s">
        <v>456</v>
      </c>
      <c r="C60" s="649" t="s">
        <v>456</v>
      </c>
      <c r="D60" s="554" t="str">
        <f>IF(Prop2019DistTar!B27="","",Prop2019DistTar!B27)</f>
        <v>TODFLEX</v>
      </c>
      <c r="E60" s="559" t="str">
        <f>IF(Prop2019DistTar!C27="","",Prop2019DistTar!C27)</f>
        <v>TODFLEX</v>
      </c>
      <c r="F60" s="645">
        <f>Prop2019DistTar!BG27</f>
        <v>766034.26301865373</v>
      </c>
      <c r="I60" s="558">
        <f>Prop2019DistTar!BV27</f>
        <v>742052.11647604185</v>
      </c>
    </row>
    <row r="61" spans="1:9" s="523" customFormat="1" x14ac:dyDescent="0.2">
      <c r="A61" s="553" t="b">
        <f t="array" ref="A61">OR(EXACT(D61,Prop2019DistTar!C$6:C$65))</f>
        <v>1</v>
      </c>
      <c r="B61" s="649" t="s">
        <v>456</v>
      </c>
      <c r="C61" s="649" t="s">
        <v>456</v>
      </c>
      <c r="D61" s="554" t="str">
        <f>IF(Prop2019DistTar!B28="","",Prop2019DistTar!B28)</f>
        <v>Low Voltage KW 1 rate</v>
      </c>
      <c r="E61" s="559" t="str">
        <f>IF(Prop2019DistTar!C28="","",Prop2019DistTar!C28)</f>
        <v>Low Voltage KW 1 rate</v>
      </c>
      <c r="F61" s="645">
        <f>Prop2019DistTar!BG28</f>
        <v>1934.0184463584837</v>
      </c>
      <c r="I61" s="558">
        <f>Prop2019DistTar!BV28</f>
        <v>1872.9988405989579</v>
      </c>
    </row>
    <row r="62" spans="1:9" s="523" customFormat="1" x14ac:dyDescent="0.2">
      <c r="A62" s="553" t="b">
        <f t="array" ref="A62">OR(EXACT(D62,Prop2019DistTar!C$6:C$65))</f>
        <v>1</v>
      </c>
      <c r="B62" s="649" t="s">
        <v>457</v>
      </c>
      <c r="C62" s="649" t="s">
        <v>457</v>
      </c>
      <c r="D62" s="554" t="str">
        <f>IF(Prop2019DistTar!B29="","",Prop2019DistTar!B29)</f>
        <v>Low voltage medium KW time of use (opt-in)</v>
      </c>
      <c r="E62" s="559" t="str">
        <f>IF(Prop2019DistTar!C29="","",Prop2019DistTar!C29)</f>
        <v>Low voltage medium KW time of use (opt-in)</v>
      </c>
      <c r="F62" s="645">
        <f>Prop2019DistTar!BG29</f>
        <v>1064777.0411361395</v>
      </c>
      <c r="I62" s="558">
        <f>Prop2019DistTar!BV29</f>
        <v>970420.1622471275</v>
      </c>
    </row>
    <row r="63" spans="1:9" s="523" customFormat="1" x14ac:dyDescent="0.2">
      <c r="A63" s="553" t="b">
        <f t="array" ref="A63">OR(EXACT(D63,Prop2019DistTar!C$6:C$65))</f>
        <v>1</v>
      </c>
      <c r="B63" s="649" t="s">
        <v>457</v>
      </c>
      <c r="C63" s="649" t="s">
        <v>457</v>
      </c>
      <c r="D63" s="554" t="str">
        <f>IF(Prop2019DistTar!B30="","",Prop2019DistTar!B30)</f>
        <v>Low voltage medium KW 1 rate (mandatory)</v>
      </c>
      <c r="E63" s="559" t="str">
        <f>IF(Prop2019DistTar!C30="","",Prop2019DistTar!C30)</f>
        <v>Low voltage medium KW 1 rate (mandatory)</v>
      </c>
      <c r="F63" s="645">
        <f>Prop2019DistTar!BG30</f>
        <v>47397046.882522427</v>
      </c>
      <c r="I63" s="558">
        <f>Prop2019DistTar!BV30</f>
        <v>49599658.64881628</v>
      </c>
    </row>
    <row r="64" spans="1:9" s="523" customFormat="1" x14ac:dyDescent="0.2">
      <c r="A64" s="553" t="b">
        <f t="array" ref="A64">OR(EXACT(D64,Prop2019DistTar!C$6:C$65))</f>
        <v>1</v>
      </c>
      <c r="B64" s="457"/>
      <c r="C64" s="457"/>
      <c r="D64" s="554" t="str">
        <f>IF(Prop2019DistTar!B31="","",Prop2019DistTar!B31)</f>
        <v/>
      </c>
      <c r="E64" s="559" t="str">
        <f>IF(Prop2019DistTar!C31="","",Prop2019DistTar!C31)</f>
        <v/>
      </c>
      <c r="F64" s="645">
        <f>Prop2019DistTar!BG31</f>
        <v>0</v>
      </c>
      <c r="I64" s="558">
        <f>Prop2019DistTar!BV31</f>
        <v>0</v>
      </c>
    </row>
    <row r="65" spans="1:9" s="523" customFormat="1" x14ac:dyDescent="0.2">
      <c r="A65" s="553" t="b">
        <f t="array" ref="A65">OR(EXACT(D65,Prop2019DistTar!C$6:C$65))</f>
        <v>1</v>
      </c>
      <c r="B65" s="457"/>
      <c r="C65" s="457"/>
      <c r="D65" s="554" t="str">
        <f>IF(Prop2019DistTar!B32="","",Prop2019DistTar!B32)</f>
        <v/>
      </c>
      <c r="E65" s="559" t="str">
        <f>IF(Prop2019DistTar!C32="","",Prop2019DistTar!C32)</f>
        <v/>
      </c>
      <c r="F65" s="645">
        <f>Prop2019DistTar!BG32</f>
        <v>0</v>
      </c>
      <c r="I65" s="558">
        <f>Prop2019DistTar!BV32</f>
        <v>0</v>
      </c>
    </row>
    <row r="66" spans="1:9" s="523" customFormat="1" x14ac:dyDescent="0.2">
      <c r="A66" s="553" t="b">
        <f t="array" ref="A66">OR(EXACT(D66,Prop2019DistTar!C$6:C$65))</f>
        <v>1</v>
      </c>
      <c r="B66" s="457"/>
      <c r="C66" s="457"/>
      <c r="D66" s="554" t="str">
        <f>IF(Prop2019DistTar!B33="","",Prop2019DistTar!B33)</f>
        <v/>
      </c>
      <c r="E66" s="559" t="str">
        <f>IF(Prop2019DistTar!C33="","",Prop2019DistTar!C33)</f>
        <v/>
      </c>
      <c r="F66" s="645">
        <f>Prop2019DistTar!BG33</f>
        <v>0</v>
      </c>
      <c r="I66" s="558">
        <f>Prop2019DistTar!BV33</f>
        <v>0</v>
      </c>
    </row>
    <row r="67" spans="1:9" s="523" customFormat="1" x14ac:dyDescent="0.2">
      <c r="A67" s="553" t="b">
        <f t="array" ref="A67">OR(EXACT(D67,Prop2019DistTar!C$6:C$65))</f>
        <v>1</v>
      </c>
      <c r="B67" s="457"/>
      <c r="C67" s="457"/>
      <c r="D67" s="554" t="str">
        <f>IF(Prop2019DistTar!B34="","",Prop2019DistTar!B34)</f>
        <v/>
      </c>
      <c r="E67" s="559" t="str">
        <f>IF(Prop2019DistTar!C34="","",Prop2019DistTar!C34)</f>
        <v/>
      </c>
      <c r="F67" s="645">
        <f>Prop2019DistTar!BG34</f>
        <v>0</v>
      </c>
      <c r="I67" s="558">
        <f>Prop2019DistTar!BV34</f>
        <v>0</v>
      </c>
    </row>
    <row r="68" spans="1:9" s="523" customFormat="1" x14ac:dyDescent="0.2">
      <c r="A68" s="553" t="b">
        <f t="array" ref="A68">OR(EXACT(D68,Prop2019DistTar!C$6:C$65))</f>
        <v>1</v>
      </c>
      <c r="B68" s="457"/>
      <c r="C68" s="457"/>
      <c r="D68" s="554" t="str">
        <f>IF(Prop2019DistTar!B35="","",Prop2019DistTar!B35)</f>
        <v/>
      </c>
      <c r="E68" s="559" t="str">
        <f>IF(Prop2019DistTar!C35="","",Prop2019DistTar!C35)</f>
        <v/>
      </c>
      <c r="F68" s="645">
        <f>Prop2019DistTar!BG35</f>
        <v>0</v>
      </c>
      <c r="I68" s="558">
        <f>Prop2019DistTar!BV35</f>
        <v>0</v>
      </c>
    </row>
    <row r="69" spans="1:9" s="523" customFormat="1" x14ac:dyDescent="0.2">
      <c r="A69" s="553" t="b">
        <f t="array" ref="A69">OR(EXACT(D69,Prop2019DistTar!C$6:C$65))</f>
        <v>1</v>
      </c>
      <c r="B69" s="457"/>
      <c r="C69" s="457"/>
      <c r="D69" s="554" t="str">
        <f>IF(Prop2019DistTar!B36="","",Prop2019DistTar!B36)</f>
        <v/>
      </c>
      <c r="E69" s="559" t="str">
        <f>IF(Prop2019DistTar!C36="","",Prop2019DistTar!C36)</f>
        <v/>
      </c>
      <c r="F69" s="645">
        <f>Prop2019DistTar!BG36</f>
        <v>0</v>
      </c>
      <c r="I69" s="558">
        <f>Prop2019DistTar!BV36</f>
        <v>0</v>
      </c>
    </row>
    <row r="70" spans="1:9" s="523" customFormat="1" x14ac:dyDescent="0.2">
      <c r="A70" s="553" t="b">
        <f t="array" ref="A70">OR(EXACT(D70,Prop2019DistTar!C$6:C$65))</f>
        <v>1</v>
      </c>
      <c r="B70" s="457"/>
      <c r="C70" s="457"/>
      <c r="D70" s="554" t="str">
        <f>IF(Prop2019DistTar!B37="","",Prop2019DistTar!B37)</f>
        <v/>
      </c>
      <c r="E70" s="559" t="str">
        <f>IF(Prop2019DistTar!C37="","",Prop2019DistTar!C37)</f>
        <v/>
      </c>
      <c r="F70" s="645">
        <f>Prop2019DistTar!BG37</f>
        <v>0</v>
      </c>
      <c r="I70" s="558">
        <f>Prop2019DistTar!BV37</f>
        <v>0</v>
      </c>
    </row>
    <row r="71" spans="1:9" s="523" customFormat="1" x14ac:dyDescent="0.2">
      <c r="A71" s="553" t="b">
        <f t="array" ref="A71">OR(EXACT(D71,Prop2019DistTar!C$6:C$65))</f>
        <v>1</v>
      </c>
      <c r="B71" s="457"/>
      <c r="C71" s="457"/>
      <c r="D71" s="554" t="str">
        <f>IF(Prop2019DistTar!B38="","",Prop2019DistTar!B38)</f>
        <v/>
      </c>
      <c r="E71" s="559" t="str">
        <f>IF(Prop2019DistTar!C38="","",Prop2019DistTar!C38)</f>
        <v/>
      </c>
      <c r="F71" s="645">
        <f>Prop2019DistTar!BG38</f>
        <v>0</v>
      </c>
      <c r="I71" s="558">
        <f>Prop2019DistTar!BV38</f>
        <v>0</v>
      </c>
    </row>
    <row r="72" spans="1:9" s="523" customFormat="1" x14ac:dyDescent="0.2">
      <c r="A72" s="553" t="b">
        <f t="array" ref="A72">OR(EXACT(D72,Prop2019DistTar!C$6:C$65))</f>
        <v>1</v>
      </c>
      <c r="B72" s="457"/>
      <c r="C72" s="457"/>
      <c r="D72" s="554" t="str">
        <f>IF(Prop2019DistTar!B39="","",Prop2019DistTar!B39)</f>
        <v/>
      </c>
      <c r="E72" s="559" t="str">
        <f>IF(Prop2019DistTar!C39="","",Prop2019DistTar!C39)</f>
        <v/>
      </c>
      <c r="F72" s="645">
        <f>Prop2019DistTar!BG39</f>
        <v>0</v>
      </c>
      <c r="I72" s="558">
        <f>Prop2019DistTar!BV39</f>
        <v>0</v>
      </c>
    </row>
    <row r="73" spans="1:9" s="523" customFormat="1" x14ac:dyDescent="0.2">
      <c r="A73" s="553" t="b">
        <f t="array" ref="A73">OR(EXACT(D73,Prop2019DistTar!C$6:C$65))</f>
        <v>1</v>
      </c>
      <c r="B73" s="457"/>
      <c r="C73" s="457"/>
      <c r="D73" s="554" t="str">
        <f>IF(Prop2019DistTar!B40="","",Prop2019DistTar!B40)</f>
        <v/>
      </c>
      <c r="E73" s="559" t="str">
        <f>IF(Prop2019DistTar!C40="","",Prop2019DistTar!C40)</f>
        <v/>
      </c>
      <c r="F73" s="645">
        <f>Prop2019DistTar!BG40</f>
        <v>0</v>
      </c>
      <c r="I73" s="558">
        <f>Prop2019DistTar!BV40</f>
        <v>0</v>
      </c>
    </row>
    <row r="74" spans="1:9" s="523" customFormat="1" x14ac:dyDescent="0.2">
      <c r="A74" s="553" t="b">
        <f t="array" ref="A74">OR(EXACT(D74,Prop2019DistTar!C$6:C$65))</f>
        <v>1</v>
      </c>
      <c r="B74" s="457"/>
      <c r="C74" s="457"/>
      <c r="D74" s="554" t="str">
        <f>IF(Prop2019DistTar!B41="","",Prop2019DistTar!B41)</f>
        <v/>
      </c>
      <c r="E74" s="559" t="str">
        <f>IF(Prop2019DistTar!C41="","",Prop2019DistTar!C41)</f>
        <v/>
      </c>
      <c r="F74" s="645">
        <f>Prop2019DistTar!BG41</f>
        <v>0</v>
      </c>
      <c r="I74" s="558">
        <f>Prop2019DistTar!BV41</f>
        <v>0</v>
      </c>
    </row>
    <row r="75" spans="1:9" s="523" customFormat="1" x14ac:dyDescent="0.2">
      <c r="A75" s="553" t="b">
        <f t="array" ref="A75">OR(EXACT(D75,Prop2019DistTar!C$6:C$65))</f>
        <v>1</v>
      </c>
      <c r="B75" s="457"/>
      <c r="C75" s="457"/>
      <c r="D75" s="554" t="str">
        <f>IF(Prop2019DistTar!B42="","",Prop2019DistTar!B42)</f>
        <v/>
      </c>
      <c r="E75" s="559" t="str">
        <f>IF(Prop2019DistTar!C42="","",Prop2019DistTar!C42)</f>
        <v/>
      </c>
      <c r="F75" s="645">
        <f>Prop2019DistTar!BG42</f>
        <v>0</v>
      </c>
      <c r="I75" s="558">
        <f>Prop2019DistTar!BV42</f>
        <v>0</v>
      </c>
    </row>
    <row r="76" spans="1:9" s="523" customFormat="1" x14ac:dyDescent="0.2">
      <c r="A76" s="553" t="b">
        <f t="array" ref="A76">OR(EXACT(D76,Prop2019DistTar!C$6:C$65))</f>
        <v>1</v>
      </c>
      <c r="B76" s="457"/>
      <c r="C76" s="457"/>
      <c r="D76" s="555" t="str">
        <f>IF(Prop2019DistTar!B43="","",Prop2019DistTar!B43)</f>
        <v/>
      </c>
      <c r="E76" s="559" t="str">
        <f>IF(Prop2019DistTar!C43="","",Prop2019DistTar!C43)</f>
        <v/>
      </c>
      <c r="F76" s="645">
        <f>Prop2019DistTar!BG43</f>
        <v>0</v>
      </c>
      <c r="I76" s="558">
        <f>Prop2019DistTar!BV43</f>
        <v>0</v>
      </c>
    </row>
    <row r="77" spans="1:9" s="523" customFormat="1" x14ac:dyDescent="0.2">
      <c r="A77" s="553" t="b">
        <f t="array" ref="A77">OR(EXACT(D77,Prop2019DistTar!C$6:C$65))</f>
        <v>1</v>
      </c>
      <c r="B77" s="457"/>
      <c r="C77" s="457"/>
      <c r="D77" s="555" t="str">
        <f>IF(Prop2019DistTar!B44="","",Prop2019DistTar!B44)</f>
        <v/>
      </c>
      <c r="E77" s="559" t="str">
        <f>IF(Prop2019DistTar!C44="","",Prop2019DistTar!C44)</f>
        <v/>
      </c>
      <c r="F77" s="645">
        <f>Prop2019DistTar!BG44</f>
        <v>0</v>
      </c>
      <c r="I77" s="558">
        <f>Prop2019DistTar!BV44</f>
        <v>0</v>
      </c>
    </row>
    <row r="78" spans="1:9" s="523" customFormat="1" x14ac:dyDescent="0.2">
      <c r="A78" s="553" t="b">
        <f t="array" ref="A78">OR(EXACT(D78,Prop2019DistTar!C$6:C$65))</f>
        <v>1</v>
      </c>
      <c r="B78" s="457"/>
      <c r="C78" s="457"/>
      <c r="D78" s="555" t="str">
        <f>IF(Prop2019DistTar!B45="","",Prop2019DistTar!B45)</f>
        <v/>
      </c>
      <c r="E78" s="559" t="str">
        <f>IF(Prop2019DistTar!C45="","",Prop2019DistTar!C45)</f>
        <v/>
      </c>
      <c r="F78" s="645">
        <f>Prop2019DistTar!BG45</f>
        <v>0</v>
      </c>
      <c r="I78" s="558">
        <f>Prop2019DistTar!BV45</f>
        <v>0</v>
      </c>
    </row>
    <row r="79" spans="1:9" s="523" customFormat="1" x14ac:dyDescent="0.2">
      <c r="A79" s="553" t="b">
        <f t="array" ref="A79">OR(EXACT(D79,Prop2019DistTar!C$6:C$65))</f>
        <v>1</v>
      </c>
      <c r="B79" s="457"/>
      <c r="C79" s="457"/>
      <c r="D79" s="555" t="str">
        <f>IF(Prop2019DistTar!B46="","",Prop2019DistTar!B46)</f>
        <v/>
      </c>
      <c r="E79" s="559" t="str">
        <f>IF(Prop2019DistTar!C46="","",Prop2019DistTar!C46)</f>
        <v/>
      </c>
      <c r="F79" s="645">
        <f>Prop2019DistTar!BG46</f>
        <v>0</v>
      </c>
      <c r="I79" s="558">
        <f>Prop2019DistTar!BV46</f>
        <v>0</v>
      </c>
    </row>
    <row r="80" spans="1:9" s="523" customFormat="1" x14ac:dyDescent="0.2">
      <c r="A80" s="553" t="b">
        <f t="array" ref="A80">OR(EXACT(D80,Prop2019DistTar!C$6:C$65))</f>
        <v>1</v>
      </c>
      <c r="B80" s="457"/>
      <c r="C80" s="457"/>
      <c r="D80" s="555" t="str">
        <f>IF(Prop2019DistTar!B47="","",Prop2019DistTar!B47)</f>
        <v/>
      </c>
      <c r="E80" s="559" t="str">
        <f>IF(Prop2019DistTar!C47="","",Prop2019DistTar!C47)</f>
        <v/>
      </c>
      <c r="F80" s="645">
        <f>Prop2019DistTar!BG47</f>
        <v>0</v>
      </c>
      <c r="I80" s="558">
        <f>Prop2019DistTar!BV47</f>
        <v>0</v>
      </c>
    </row>
    <row r="81" spans="1:9" s="523" customFormat="1" x14ac:dyDescent="0.2">
      <c r="A81" s="553" t="b">
        <f t="array" ref="A81">OR(EXACT(D81,Prop2019DistTar!C$6:C$65))</f>
        <v>1</v>
      </c>
      <c r="B81" s="457"/>
      <c r="C81" s="457"/>
      <c r="D81" s="555" t="str">
        <f>IF(Prop2019DistTar!B48="","",Prop2019DistTar!B48)</f>
        <v/>
      </c>
      <c r="E81" s="559" t="str">
        <f>IF(Prop2019DistTar!C48="","",Prop2019DistTar!C48)</f>
        <v/>
      </c>
      <c r="F81" s="645">
        <f>Prop2019DistTar!BG48</f>
        <v>0</v>
      </c>
      <c r="I81" s="558">
        <f>Prop2019DistTar!BV48</f>
        <v>0</v>
      </c>
    </row>
    <row r="82" spans="1:9" s="523" customFormat="1" x14ac:dyDescent="0.2">
      <c r="A82" s="553" t="b">
        <f t="array" ref="A82">OR(EXACT(D82,Prop2019DistTar!C$6:C$65))</f>
        <v>1</v>
      </c>
      <c r="B82" s="457"/>
      <c r="C82" s="457"/>
      <c r="D82" s="555" t="str">
        <f>IF(Prop2019DistTar!B49="","",Prop2019DistTar!B49)</f>
        <v/>
      </c>
      <c r="E82" s="559" t="str">
        <f>IF(Prop2019DistTar!C49="","",Prop2019DistTar!C49)</f>
        <v/>
      </c>
      <c r="F82" s="645">
        <f>Prop2019DistTar!BG49</f>
        <v>0</v>
      </c>
      <c r="I82" s="558">
        <f>Prop2019DistTar!BV49</f>
        <v>0</v>
      </c>
    </row>
    <row r="83" spans="1:9" s="523" customFormat="1" x14ac:dyDescent="0.2">
      <c r="A83" s="553" t="b">
        <f t="array" ref="A83">OR(EXACT(D83,Prop2019DistTar!C$6:C$65))</f>
        <v>1</v>
      </c>
      <c r="B83" s="457"/>
      <c r="C83" s="457"/>
      <c r="D83" s="555" t="str">
        <f>IF(Prop2019DistTar!B50="","",Prop2019DistTar!B50)</f>
        <v/>
      </c>
      <c r="E83" s="559" t="str">
        <f>IF(Prop2019DistTar!C50="","",Prop2019DistTar!C50)</f>
        <v/>
      </c>
      <c r="F83" s="645">
        <f>Prop2019DistTar!BG50</f>
        <v>0</v>
      </c>
      <c r="I83" s="558">
        <f>Prop2019DistTar!BV50</f>
        <v>0</v>
      </c>
    </row>
    <row r="84" spans="1:9" s="523" customFormat="1" x14ac:dyDescent="0.2">
      <c r="A84" s="553" t="b">
        <f t="array" ref="A84">OR(EXACT(D84,Prop2019DistTar!C$6:C$65))</f>
        <v>1</v>
      </c>
      <c r="B84" s="457"/>
      <c r="C84" s="457"/>
      <c r="D84" s="555" t="str">
        <f>IF(Prop2019DistTar!B51="","",Prop2019DistTar!B51)</f>
        <v/>
      </c>
      <c r="E84" s="559" t="str">
        <f>IF(Prop2019DistTar!C51="","",Prop2019DistTar!C51)</f>
        <v/>
      </c>
      <c r="F84" s="645">
        <f>Prop2019DistTar!BG51</f>
        <v>0</v>
      </c>
      <c r="I84" s="558">
        <f>Prop2019DistTar!BV51</f>
        <v>0</v>
      </c>
    </row>
    <row r="85" spans="1:9" s="523" customFormat="1" x14ac:dyDescent="0.2">
      <c r="A85" s="553" t="b">
        <f t="array" ref="A85">OR(EXACT(D85,Prop2019DistTar!C$6:C$65))</f>
        <v>1</v>
      </c>
      <c r="B85" s="457"/>
      <c r="C85" s="457"/>
      <c r="D85" s="555" t="str">
        <f>IF(Prop2019DistTar!B52="","",Prop2019DistTar!B52)</f>
        <v/>
      </c>
      <c r="E85" s="559" t="str">
        <f>IF(Prop2019DistTar!C52="","",Prop2019DistTar!C52)</f>
        <v/>
      </c>
      <c r="F85" s="645">
        <f>Prop2019DistTar!BG52</f>
        <v>0</v>
      </c>
      <c r="I85" s="558">
        <f>Prop2019DistTar!BV52</f>
        <v>0</v>
      </c>
    </row>
    <row r="86" spans="1:9" s="523" customFormat="1" x14ac:dyDescent="0.2">
      <c r="A86" s="553" t="b">
        <f t="array" ref="A86">OR(EXACT(D86,Prop2019DistTar!C$6:C$65))</f>
        <v>1</v>
      </c>
      <c r="B86" s="457"/>
      <c r="C86" s="457"/>
      <c r="D86" s="555" t="str">
        <f>IF(Prop2019DistTar!B53="","",Prop2019DistTar!B53)</f>
        <v/>
      </c>
      <c r="E86" s="559" t="str">
        <f>IF(Prop2019DistTar!C53="","",Prop2019DistTar!C53)</f>
        <v/>
      </c>
      <c r="F86" s="645">
        <f>Prop2019DistTar!BG53</f>
        <v>0</v>
      </c>
      <c r="I86" s="558">
        <f>Prop2019DistTar!BV53</f>
        <v>0</v>
      </c>
    </row>
    <row r="87" spans="1:9" s="523" customFormat="1" x14ac:dyDescent="0.2">
      <c r="A87" s="553" t="b">
        <f t="array" ref="A87">OR(EXACT(D87,Prop2019DistTar!C$6:C$65))</f>
        <v>1</v>
      </c>
      <c r="B87" s="457"/>
      <c r="C87" s="457"/>
      <c r="D87" s="555" t="str">
        <f>IF(Prop2019DistTar!B54="","",Prop2019DistTar!B54)</f>
        <v/>
      </c>
      <c r="E87" s="559" t="str">
        <f>IF(Prop2019DistTar!C54="","",Prop2019DistTar!C54)</f>
        <v/>
      </c>
      <c r="F87" s="645">
        <f>Prop2019DistTar!BG54</f>
        <v>0</v>
      </c>
      <c r="I87" s="558">
        <f>Prop2019DistTar!BV54</f>
        <v>0</v>
      </c>
    </row>
    <row r="88" spans="1:9" s="523" customFormat="1" x14ac:dyDescent="0.2">
      <c r="A88" s="553" t="b">
        <f t="array" ref="A88">OR(EXACT(D88,Prop2019DistTar!C$6:C$65))</f>
        <v>1</v>
      </c>
      <c r="B88" s="457"/>
      <c r="C88" s="457"/>
      <c r="D88" s="555" t="str">
        <f>IF(Prop2019DistTar!B55="","",Prop2019DistTar!B55)</f>
        <v/>
      </c>
      <c r="E88" s="559" t="str">
        <f>IF(Prop2019DistTar!C55="","",Prop2019DistTar!C55)</f>
        <v/>
      </c>
      <c r="F88" s="645">
        <f>Prop2019DistTar!BG55</f>
        <v>0</v>
      </c>
      <c r="I88" s="558">
        <f>Prop2019DistTar!BV55</f>
        <v>0</v>
      </c>
    </row>
    <row r="89" spans="1:9" s="523" customFormat="1" x14ac:dyDescent="0.2">
      <c r="A89" s="553" t="b">
        <f t="array" ref="A89">OR(EXACT(D89,Prop2019DistTar!C$6:C$65))</f>
        <v>1</v>
      </c>
      <c r="B89" s="457"/>
      <c r="C89" s="457"/>
      <c r="D89" s="555" t="str">
        <f>IF(Prop2019DistTar!B56="","",Prop2019DistTar!B56)</f>
        <v/>
      </c>
      <c r="E89" s="559" t="str">
        <f>IF(Prop2019DistTar!C56="","",Prop2019DistTar!C56)</f>
        <v/>
      </c>
      <c r="F89" s="645">
        <f>Prop2019DistTar!BG56</f>
        <v>0</v>
      </c>
      <c r="I89" s="558">
        <f>Prop2019DistTar!BV56</f>
        <v>0</v>
      </c>
    </row>
    <row r="90" spans="1:9" s="523" customFormat="1" x14ac:dyDescent="0.2">
      <c r="A90" s="553" t="b">
        <f t="array" ref="A90">OR(EXACT(D90,Prop2019DistTar!C$6:C$65))</f>
        <v>1</v>
      </c>
      <c r="B90" s="457"/>
      <c r="C90" s="457"/>
      <c r="D90" s="555" t="str">
        <f>IF(Prop2019DistTar!B57="","",Prop2019DistTar!B57)</f>
        <v/>
      </c>
      <c r="E90" s="559" t="str">
        <f>IF(Prop2019DistTar!C57="","",Prop2019DistTar!C57)</f>
        <v/>
      </c>
      <c r="F90" s="645">
        <f>Prop2019DistTar!BG57</f>
        <v>0</v>
      </c>
      <c r="I90" s="558">
        <f>Prop2019DistTar!BV57</f>
        <v>0</v>
      </c>
    </row>
    <row r="91" spans="1:9" s="523" customFormat="1" x14ac:dyDescent="0.2">
      <c r="A91" s="553" t="b">
        <f t="array" ref="A91">OR(EXACT(D91,Prop2019DistTar!C$6:C$65))</f>
        <v>1</v>
      </c>
      <c r="B91" s="457"/>
      <c r="C91" s="457"/>
      <c r="D91" s="555" t="str">
        <f>IF(Prop2019DistTar!B58="","",Prop2019DistTar!B58)</f>
        <v/>
      </c>
      <c r="E91" s="559" t="str">
        <f>IF(Prop2019DistTar!C58="","",Prop2019DistTar!C58)</f>
        <v/>
      </c>
      <c r="F91" s="645">
        <f>Prop2019DistTar!BG58</f>
        <v>0</v>
      </c>
      <c r="I91" s="558">
        <f>Prop2019DistTar!BV58</f>
        <v>0</v>
      </c>
    </row>
    <row r="92" spans="1:9" s="523" customFormat="1" x14ac:dyDescent="0.2">
      <c r="A92" s="553" t="b">
        <f t="array" ref="A92">OR(EXACT(D92,Prop2019DistTar!C$6:C$65))</f>
        <v>1</v>
      </c>
      <c r="B92" s="457"/>
      <c r="C92" s="457"/>
      <c r="D92" s="555" t="str">
        <f>IF(Prop2019DistTar!B59="","",Prop2019DistTar!B59)</f>
        <v/>
      </c>
      <c r="E92" s="559" t="str">
        <f>IF(Prop2019DistTar!C59="","",Prop2019DistTar!C59)</f>
        <v/>
      </c>
      <c r="F92" s="645">
        <f>Prop2019DistTar!BG59</f>
        <v>0</v>
      </c>
      <c r="I92" s="558">
        <f>Prop2019DistTar!BV59</f>
        <v>0</v>
      </c>
    </row>
    <row r="93" spans="1:9" s="523" customFormat="1" x14ac:dyDescent="0.2">
      <c r="A93" s="553" t="b">
        <f t="array" ref="A93">OR(EXACT(D93,Prop2019DistTar!C$6:C$65))</f>
        <v>1</v>
      </c>
      <c r="B93" s="457"/>
      <c r="C93" s="457"/>
      <c r="D93" s="555" t="str">
        <f>IF(Prop2019DistTar!B60="","",Prop2019DistTar!B60)</f>
        <v/>
      </c>
      <c r="E93" s="559" t="str">
        <f>IF(Prop2019DistTar!C60="","",Prop2019DistTar!C60)</f>
        <v/>
      </c>
      <c r="F93" s="645">
        <f>Prop2019DistTar!BG60</f>
        <v>0</v>
      </c>
      <c r="I93" s="558">
        <f>Prop2019DistTar!BV60</f>
        <v>0</v>
      </c>
    </row>
    <row r="94" spans="1:9" s="523" customFormat="1" x14ac:dyDescent="0.2">
      <c r="A94" s="553" t="b">
        <f t="array" ref="A94">OR(EXACT(D94,Prop2019DistTar!C$6:C$65))</f>
        <v>1</v>
      </c>
      <c r="B94" s="457"/>
      <c r="C94" s="457"/>
      <c r="D94" s="555" t="str">
        <f>IF(Prop2019DistTar!B61="","",Prop2019DistTar!B61)</f>
        <v/>
      </c>
      <c r="E94" s="559" t="str">
        <f>IF(Prop2019DistTar!C61="","",Prop2019DistTar!C61)</f>
        <v/>
      </c>
      <c r="F94" s="645">
        <f>Prop2019DistTar!BG61</f>
        <v>0</v>
      </c>
      <c r="I94" s="558">
        <f>Prop2019DistTar!BV61</f>
        <v>0</v>
      </c>
    </row>
    <row r="95" spans="1:9" s="523" customFormat="1" x14ac:dyDescent="0.2">
      <c r="A95" s="553" t="b">
        <f t="array" ref="A95">OR(EXACT(D95,Prop2019DistTar!C$6:C$65))</f>
        <v>1</v>
      </c>
      <c r="B95" s="457"/>
      <c r="C95" s="457"/>
      <c r="D95" s="555" t="str">
        <f>IF(Prop2019DistTar!B62="","",Prop2019DistTar!B62)</f>
        <v/>
      </c>
      <c r="E95" s="559" t="str">
        <f>IF(Prop2019DistTar!C62="","",Prop2019DistTar!C62)</f>
        <v/>
      </c>
      <c r="F95" s="645">
        <f>Prop2019DistTar!BG62</f>
        <v>0</v>
      </c>
      <c r="I95" s="558">
        <f>Prop2019DistTar!BV62</f>
        <v>0</v>
      </c>
    </row>
    <row r="96" spans="1:9" s="523" customFormat="1" x14ac:dyDescent="0.2">
      <c r="A96" s="553" t="b">
        <f t="array" ref="A96">OR(EXACT(D96,Prop2019DistTar!C$6:C$65))</f>
        <v>1</v>
      </c>
      <c r="B96" s="457"/>
      <c r="C96" s="457"/>
      <c r="D96" s="555" t="str">
        <f>IF(Prop2019DistTar!B63="","",Prop2019DistTar!B63)</f>
        <v/>
      </c>
      <c r="E96" s="559" t="str">
        <f>IF(Prop2019DistTar!C63="","",Prop2019DistTar!C63)</f>
        <v/>
      </c>
      <c r="F96" s="645">
        <f>Prop2019DistTar!BG63</f>
        <v>0</v>
      </c>
      <c r="I96" s="558">
        <f>Prop2019DistTar!BV63</f>
        <v>0</v>
      </c>
    </row>
    <row r="97" spans="1:77" s="523" customFormat="1" x14ac:dyDescent="0.2">
      <c r="A97" s="553" t="b">
        <f t="array" ref="A97">OR(EXACT(D97,Prop2019DistTar!C$6:C$65))</f>
        <v>1</v>
      </c>
      <c r="B97" s="457"/>
      <c r="C97" s="457"/>
      <c r="D97" s="555" t="str">
        <f>IF(Prop2019DistTar!B64="","",Prop2019DistTar!B64)</f>
        <v/>
      </c>
      <c r="E97" s="559" t="str">
        <f>IF(Prop2019DistTar!C64="","",Prop2019DistTar!C64)</f>
        <v/>
      </c>
      <c r="F97" s="645">
        <f>Prop2019DistTar!BG64</f>
        <v>0</v>
      </c>
      <c r="I97" s="558">
        <f>Prop2019DistTar!BV64</f>
        <v>0</v>
      </c>
    </row>
    <row r="98" spans="1:77" s="523" customFormat="1" ht="13.5" thickBot="1" x14ac:dyDescent="0.25">
      <c r="A98" s="560" t="b">
        <f t="array" ref="A98">OR(EXACT(D98,Prop2019DistTar!C$6:C$65))</f>
        <v>1</v>
      </c>
      <c r="B98" s="561"/>
      <c r="C98" s="562"/>
      <c r="D98" s="563" t="str">
        <f>IF(Prop2019DistTar!B65="","",Prop2019DistTar!B65)</f>
        <v/>
      </c>
      <c r="E98" s="564" t="str">
        <f>IF(Prop2019DistTar!C65="","",Prop2019DistTar!C65)</f>
        <v/>
      </c>
      <c r="F98" s="646">
        <f>Prop2019DistTar!BG65</f>
        <v>0</v>
      </c>
      <c r="I98" s="567">
        <f>Prop2019DistTar!BV65</f>
        <v>0</v>
      </c>
    </row>
    <row r="99" spans="1:77" s="610" customFormat="1" ht="13.5" thickBot="1" x14ac:dyDescent="0.25">
      <c r="A99" s="501"/>
      <c r="F99" s="611">
        <f>SUM(F39:F98)</f>
        <v>435415451.6835252</v>
      </c>
      <c r="G99" s="523"/>
      <c r="H99" s="523"/>
      <c r="I99" s="611">
        <f>SUM(I39:I98)</f>
        <v>422000612.25916976</v>
      </c>
      <c r="J99" s="523"/>
      <c r="K99" s="523"/>
      <c r="L99" s="523"/>
      <c r="M99" s="523"/>
      <c r="N99" s="523"/>
      <c r="O99" s="523"/>
      <c r="P99" s="523"/>
      <c r="Q99" s="523"/>
      <c r="R99" s="523"/>
      <c r="S99" s="523"/>
      <c r="T99" s="523"/>
      <c r="U99" s="523"/>
      <c r="V99" s="523"/>
      <c r="W99" s="523"/>
      <c r="X99" s="523"/>
      <c r="Y99" s="523"/>
      <c r="Z99" s="523"/>
      <c r="AA99" s="523"/>
      <c r="AB99" s="523"/>
      <c r="AC99" s="523"/>
      <c r="AD99" s="523"/>
      <c r="AE99" s="523"/>
      <c r="AF99" s="523"/>
      <c r="AG99" s="523"/>
      <c r="AH99" s="523"/>
      <c r="AI99" s="523"/>
      <c r="AJ99" s="523"/>
      <c r="AK99" s="523"/>
      <c r="AL99" s="523"/>
      <c r="AM99" s="523"/>
      <c r="AN99" s="523"/>
      <c r="AO99" s="523"/>
      <c r="AP99" s="523"/>
      <c r="AQ99" s="523"/>
      <c r="AR99" s="523"/>
      <c r="AS99" s="523"/>
      <c r="AT99" s="523"/>
      <c r="AU99" s="523"/>
      <c r="AV99" s="523"/>
      <c r="AW99" s="523"/>
      <c r="AX99" s="523"/>
      <c r="AY99" s="523"/>
      <c r="AZ99" s="523"/>
      <c r="BA99" s="523"/>
      <c r="BB99" s="523"/>
      <c r="BC99" s="523"/>
      <c r="BD99" s="523"/>
      <c r="BE99" s="523"/>
      <c r="BF99" s="523"/>
      <c r="BG99" s="523"/>
      <c r="BH99" s="523"/>
      <c r="BI99" s="523"/>
      <c r="BJ99" s="523"/>
      <c r="BK99" s="523"/>
      <c r="BL99" s="523"/>
      <c r="BM99" s="523"/>
      <c r="BN99" s="523"/>
      <c r="BO99" s="523"/>
      <c r="BP99" s="523"/>
      <c r="BQ99" s="523"/>
      <c r="BR99" s="523"/>
      <c r="BS99" s="523"/>
      <c r="BT99" s="523"/>
      <c r="BU99" s="523"/>
      <c r="BV99" s="523"/>
      <c r="BW99" s="523"/>
      <c r="BX99" s="523"/>
      <c r="BY99" s="523"/>
    </row>
    <row r="100" spans="1:77" s="610" customFormat="1" ht="13.5" thickTop="1" x14ac:dyDescent="0.2">
      <c r="A100" s="501"/>
      <c r="G100" s="523"/>
      <c r="H100" s="523"/>
      <c r="I100" s="523"/>
      <c r="J100" s="523"/>
      <c r="K100" s="523"/>
      <c r="L100" s="523"/>
      <c r="M100" s="523"/>
      <c r="N100" s="523"/>
      <c r="O100" s="523"/>
      <c r="P100" s="523"/>
      <c r="Q100" s="523"/>
      <c r="R100" s="523"/>
      <c r="S100" s="523"/>
      <c r="T100" s="523"/>
      <c r="U100" s="523"/>
      <c r="V100" s="523"/>
      <c r="W100" s="523"/>
      <c r="X100" s="523"/>
      <c r="Y100" s="523"/>
      <c r="Z100" s="523"/>
      <c r="AA100" s="523"/>
      <c r="AB100" s="523"/>
      <c r="AC100" s="523"/>
      <c r="AD100" s="523"/>
      <c r="AE100" s="523"/>
      <c r="AF100" s="523"/>
      <c r="AG100" s="523"/>
      <c r="AH100" s="523"/>
      <c r="AI100" s="523"/>
      <c r="AJ100" s="523"/>
      <c r="AK100" s="523"/>
      <c r="AL100" s="523"/>
      <c r="AM100" s="523"/>
      <c r="AN100" s="523"/>
      <c r="AO100" s="523"/>
      <c r="AP100" s="523"/>
      <c r="AQ100" s="523"/>
      <c r="AR100" s="523"/>
      <c r="AS100" s="523"/>
      <c r="AT100" s="523"/>
      <c r="AU100" s="523"/>
      <c r="AV100" s="523"/>
      <c r="AW100" s="523"/>
      <c r="AX100" s="523"/>
      <c r="AY100" s="523"/>
      <c r="AZ100" s="523"/>
      <c r="BA100" s="523"/>
      <c r="BB100" s="523"/>
      <c r="BC100" s="523"/>
      <c r="BD100" s="523"/>
      <c r="BE100" s="523"/>
      <c r="BF100" s="523"/>
      <c r="BG100" s="523"/>
      <c r="BH100" s="523"/>
      <c r="BI100" s="523"/>
      <c r="BJ100" s="523"/>
      <c r="BK100" s="523"/>
      <c r="BL100" s="523"/>
      <c r="BM100" s="523"/>
      <c r="BN100" s="523"/>
      <c r="BO100" s="523"/>
      <c r="BP100" s="523"/>
      <c r="BQ100" s="523"/>
      <c r="BR100" s="523"/>
      <c r="BS100" s="523"/>
      <c r="BT100" s="523"/>
      <c r="BU100" s="523"/>
      <c r="BV100" s="523"/>
      <c r="BW100" s="523"/>
      <c r="BX100" s="523"/>
      <c r="BY100" s="523"/>
    </row>
    <row r="101" spans="1:77" s="610" customFormat="1" x14ac:dyDescent="0.2">
      <c r="A101" s="501"/>
      <c r="BK101" s="523"/>
      <c r="BL101" s="523"/>
      <c r="BM101" s="523"/>
      <c r="BN101" s="523"/>
      <c r="BO101" s="523"/>
      <c r="BP101" s="523"/>
      <c r="BQ101" s="523"/>
      <c r="BR101" s="523"/>
      <c r="BS101" s="523"/>
      <c r="BT101" s="523"/>
      <c r="BU101" s="523"/>
      <c r="BV101" s="523"/>
      <c r="BW101" s="523"/>
      <c r="BX101" s="523"/>
      <c r="BY101" s="523"/>
    </row>
    <row r="102" spans="1:77" s="610" customFormat="1" x14ac:dyDescent="0.2">
      <c r="A102" s="501"/>
      <c r="BK102" s="523"/>
      <c r="BL102" s="523"/>
      <c r="BM102" s="523"/>
      <c r="BN102" s="523"/>
      <c r="BO102" s="523"/>
      <c r="BP102" s="523"/>
      <c r="BQ102" s="523"/>
      <c r="BR102" s="523"/>
      <c r="BS102" s="523"/>
      <c r="BT102" s="523"/>
      <c r="BU102" s="523"/>
      <c r="BV102" s="523"/>
      <c r="BW102" s="523"/>
      <c r="BX102" s="523"/>
      <c r="BY102" s="523"/>
    </row>
    <row r="103" spans="1:77" s="610" customFormat="1" x14ac:dyDescent="0.2">
      <c r="A103" s="501"/>
      <c r="BK103" s="523"/>
      <c r="BL103" s="523"/>
      <c r="BM103" s="523"/>
      <c r="BN103" s="523"/>
      <c r="BO103" s="523"/>
      <c r="BP103" s="523"/>
      <c r="BQ103" s="523"/>
      <c r="BR103" s="523"/>
      <c r="BS103" s="523"/>
      <c r="BT103" s="523"/>
      <c r="BU103" s="523"/>
      <c r="BV103" s="523"/>
      <c r="BW103" s="523"/>
      <c r="BX103" s="523"/>
      <c r="BY103" s="523"/>
    </row>
    <row r="104" spans="1:77" s="610" customFormat="1" x14ac:dyDescent="0.2">
      <c r="A104" s="501"/>
      <c r="BK104" s="523"/>
      <c r="BL104" s="523"/>
      <c r="BM104" s="523"/>
      <c r="BN104" s="523"/>
      <c r="BO104" s="523"/>
      <c r="BP104" s="523"/>
      <c r="BQ104" s="523"/>
      <c r="BR104" s="523"/>
      <c r="BS104" s="523"/>
      <c r="BT104" s="523"/>
      <c r="BU104" s="523"/>
      <c r="BV104" s="523"/>
      <c r="BW104" s="523"/>
      <c r="BX104" s="523"/>
      <c r="BY104" s="523"/>
    </row>
    <row r="105" spans="1:77" s="610" customFormat="1" x14ac:dyDescent="0.2">
      <c r="A105" s="501"/>
      <c r="BK105" s="523"/>
      <c r="BL105" s="523"/>
      <c r="BM105" s="523"/>
      <c r="BN105" s="523"/>
      <c r="BO105" s="523"/>
      <c r="BP105" s="523"/>
      <c r="BQ105" s="523"/>
      <c r="BR105" s="523"/>
      <c r="BS105" s="523"/>
      <c r="BT105" s="523"/>
      <c r="BU105" s="523"/>
      <c r="BV105" s="523"/>
      <c r="BW105" s="523"/>
      <c r="BX105" s="523"/>
      <c r="BY105" s="523"/>
    </row>
    <row r="106" spans="1:77" s="610" customFormat="1" x14ac:dyDescent="0.2">
      <c r="A106" s="501"/>
      <c r="BK106" s="523"/>
      <c r="BL106" s="523"/>
      <c r="BM106" s="523"/>
      <c r="BN106" s="523"/>
      <c r="BO106" s="523"/>
      <c r="BP106" s="523"/>
      <c r="BQ106" s="523"/>
      <c r="BR106" s="523"/>
      <c r="BS106" s="523"/>
      <c r="BT106" s="523"/>
      <c r="BU106" s="523"/>
      <c r="BV106" s="523"/>
      <c r="BW106" s="523"/>
      <c r="BX106" s="523"/>
      <c r="BY106" s="523"/>
    </row>
    <row r="107" spans="1:77" s="610" customFormat="1" x14ac:dyDescent="0.2">
      <c r="A107" s="501"/>
      <c r="BK107" s="523"/>
      <c r="BL107" s="523"/>
      <c r="BM107" s="523"/>
      <c r="BN107" s="523"/>
      <c r="BO107" s="523"/>
      <c r="BP107" s="523"/>
      <c r="BQ107" s="523"/>
      <c r="BR107" s="523"/>
      <c r="BS107" s="523"/>
      <c r="BT107" s="523"/>
      <c r="BU107" s="523"/>
      <c r="BV107" s="523"/>
      <c r="BW107" s="523"/>
      <c r="BX107" s="523"/>
      <c r="BY107" s="523"/>
    </row>
    <row r="108" spans="1:77" s="610" customFormat="1" x14ac:dyDescent="0.2">
      <c r="A108" s="501"/>
      <c r="BK108" s="523"/>
      <c r="BL108" s="523"/>
      <c r="BM108" s="523"/>
      <c r="BN108" s="523"/>
      <c r="BO108" s="523"/>
      <c r="BP108" s="523"/>
      <c r="BQ108" s="523"/>
      <c r="BR108" s="523"/>
      <c r="BS108" s="523"/>
      <c r="BT108" s="523"/>
      <c r="BU108" s="523"/>
      <c r="BV108" s="523"/>
      <c r="BW108" s="523"/>
      <c r="BX108" s="523"/>
      <c r="BY108" s="523"/>
    </row>
    <row r="109" spans="1:77" s="610" customFormat="1" x14ac:dyDescent="0.2">
      <c r="A109" s="501"/>
      <c r="BK109" s="523"/>
      <c r="BL109" s="523"/>
      <c r="BM109" s="523"/>
      <c r="BN109" s="523"/>
      <c r="BO109" s="523"/>
      <c r="BP109" s="523"/>
      <c r="BQ109" s="523"/>
      <c r="BR109" s="523"/>
      <c r="BS109" s="523"/>
      <c r="BT109" s="523"/>
      <c r="BU109" s="523"/>
      <c r="BV109" s="523"/>
      <c r="BW109" s="523"/>
      <c r="BX109" s="523"/>
      <c r="BY109" s="523"/>
    </row>
    <row r="110" spans="1:77" s="610" customFormat="1" x14ac:dyDescent="0.2">
      <c r="A110" s="501"/>
      <c r="BK110" s="523"/>
      <c r="BL110" s="523"/>
      <c r="BM110" s="523"/>
      <c r="BN110" s="523"/>
      <c r="BO110" s="523"/>
      <c r="BP110" s="523"/>
      <c r="BQ110" s="523"/>
      <c r="BR110" s="523"/>
      <c r="BS110" s="523"/>
      <c r="BT110" s="523"/>
      <c r="BU110" s="523"/>
      <c r="BV110" s="523"/>
      <c r="BW110" s="523"/>
      <c r="BX110" s="523"/>
      <c r="BY110" s="523"/>
    </row>
    <row r="111" spans="1:77" s="610" customFormat="1" x14ac:dyDescent="0.2">
      <c r="A111" s="501"/>
      <c r="BK111" s="523"/>
      <c r="BL111" s="523"/>
      <c r="BM111" s="523"/>
      <c r="BN111" s="523"/>
      <c r="BO111" s="523"/>
      <c r="BP111" s="523"/>
      <c r="BQ111" s="523"/>
      <c r="BR111" s="523"/>
      <c r="BS111" s="523"/>
      <c r="BT111" s="523"/>
      <c r="BU111" s="523"/>
      <c r="BV111" s="523"/>
      <c r="BW111" s="523"/>
      <c r="BX111" s="523"/>
      <c r="BY111" s="523"/>
    </row>
    <row r="112" spans="1:77" s="610" customFormat="1" x14ac:dyDescent="0.2">
      <c r="A112" s="501"/>
      <c r="BK112" s="523"/>
      <c r="BL112" s="523"/>
      <c r="BM112" s="523"/>
      <c r="BN112" s="523"/>
      <c r="BO112" s="523"/>
      <c r="BP112" s="523"/>
      <c r="BQ112" s="523"/>
      <c r="BR112" s="523"/>
      <c r="BS112" s="523"/>
      <c r="BT112" s="523"/>
      <c r="BU112" s="523"/>
      <c r="BV112" s="523"/>
      <c r="BW112" s="523"/>
      <c r="BX112" s="523"/>
      <c r="BY112" s="523"/>
    </row>
    <row r="113" spans="1:77" s="610" customFormat="1" x14ac:dyDescent="0.2">
      <c r="A113" s="501"/>
      <c r="BK113" s="523"/>
      <c r="BL113" s="523"/>
      <c r="BM113" s="523"/>
      <c r="BN113" s="523"/>
      <c r="BO113" s="523"/>
      <c r="BP113" s="523"/>
      <c r="BQ113" s="523"/>
      <c r="BR113" s="523"/>
      <c r="BS113" s="523"/>
      <c r="BT113" s="523"/>
      <c r="BU113" s="523"/>
      <c r="BV113" s="523"/>
      <c r="BW113" s="523"/>
      <c r="BX113" s="523"/>
      <c r="BY113" s="523"/>
    </row>
    <row r="114" spans="1:77" s="610" customFormat="1" x14ac:dyDescent="0.2">
      <c r="A114" s="501"/>
      <c r="BK114" s="523"/>
      <c r="BL114" s="523"/>
      <c r="BM114" s="523"/>
      <c r="BN114" s="523"/>
      <c r="BO114" s="523"/>
      <c r="BP114" s="523"/>
      <c r="BQ114" s="523"/>
      <c r="BR114" s="523"/>
      <c r="BS114" s="523"/>
      <c r="BT114" s="523"/>
      <c r="BU114" s="523"/>
      <c r="BV114" s="523"/>
      <c r="BW114" s="523"/>
      <c r="BX114" s="523"/>
      <c r="BY114" s="523"/>
    </row>
    <row r="115" spans="1:77" s="610" customFormat="1" x14ac:dyDescent="0.2">
      <c r="A115" s="501"/>
      <c r="BK115" s="523"/>
      <c r="BL115" s="523"/>
      <c r="BM115" s="523"/>
      <c r="BN115" s="523"/>
      <c r="BO115" s="523"/>
      <c r="BP115" s="523"/>
      <c r="BQ115" s="523"/>
      <c r="BR115" s="523"/>
      <c r="BS115" s="523"/>
      <c r="BT115" s="523"/>
      <c r="BU115" s="523"/>
      <c r="BV115" s="523"/>
      <c r="BW115" s="523"/>
      <c r="BX115" s="523"/>
      <c r="BY115" s="523"/>
    </row>
    <row r="116" spans="1:77" s="610" customFormat="1" x14ac:dyDescent="0.2">
      <c r="A116" s="501"/>
      <c r="BK116" s="523"/>
      <c r="BL116" s="523"/>
      <c r="BM116" s="523"/>
      <c r="BN116" s="523"/>
      <c r="BO116" s="523"/>
      <c r="BP116" s="523"/>
      <c r="BQ116" s="523"/>
      <c r="BR116" s="523"/>
      <c r="BS116" s="523"/>
      <c r="BT116" s="523"/>
      <c r="BU116" s="523"/>
      <c r="BV116" s="523"/>
      <c r="BW116" s="523"/>
      <c r="BX116" s="523"/>
      <c r="BY116" s="523"/>
    </row>
    <row r="117" spans="1:77" s="610" customFormat="1" x14ac:dyDescent="0.2">
      <c r="A117" s="501"/>
      <c r="BK117" s="523"/>
      <c r="BL117" s="523"/>
      <c r="BM117" s="523"/>
      <c r="BN117" s="523"/>
      <c r="BO117" s="523"/>
      <c r="BP117" s="523"/>
      <c r="BQ117" s="523"/>
      <c r="BR117" s="523"/>
      <c r="BS117" s="523"/>
      <c r="BT117" s="523"/>
      <c r="BU117" s="523"/>
      <c r="BV117" s="523"/>
      <c r="BW117" s="523"/>
      <c r="BX117" s="523"/>
      <c r="BY117" s="523"/>
    </row>
    <row r="118" spans="1:77" s="610" customFormat="1" x14ac:dyDescent="0.2">
      <c r="A118" s="501"/>
      <c r="BK118" s="523"/>
      <c r="BL118" s="523"/>
      <c r="BM118" s="523"/>
      <c r="BN118" s="523"/>
      <c r="BO118" s="523"/>
      <c r="BP118" s="523"/>
      <c r="BQ118" s="523"/>
      <c r="BR118" s="523"/>
      <c r="BS118" s="523"/>
      <c r="BT118" s="523"/>
      <c r="BU118" s="523"/>
      <c r="BV118" s="523"/>
      <c r="BW118" s="523"/>
      <c r="BX118" s="523"/>
      <c r="BY118" s="523"/>
    </row>
    <row r="119" spans="1:77" s="610" customFormat="1" x14ac:dyDescent="0.2">
      <c r="A119" s="501"/>
      <c r="BK119" s="523"/>
      <c r="BL119" s="523"/>
      <c r="BM119" s="523"/>
      <c r="BN119" s="523"/>
      <c r="BO119" s="523"/>
      <c r="BP119" s="523"/>
      <c r="BQ119" s="523"/>
      <c r="BR119" s="523"/>
      <c r="BS119" s="523"/>
      <c r="BT119" s="523"/>
      <c r="BU119" s="523"/>
      <c r="BV119" s="523"/>
      <c r="BW119" s="523"/>
      <c r="BX119" s="523"/>
      <c r="BY119" s="523"/>
    </row>
    <row r="120" spans="1:77" s="610" customFormat="1" x14ac:dyDescent="0.2">
      <c r="A120" s="501"/>
      <c r="BK120" s="523"/>
      <c r="BL120" s="523"/>
      <c r="BM120" s="523"/>
      <c r="BN120" s="523"/>
      <c r="BO120" s="523"/>
      <c r="BP120" s="523"/>
      <c r="BQ120" s="523"/>
      <c r="BR120" s="523"/>
      <c r="BS120" s="523"/>
      <c r="BT120" s="523"/>
      <c r="BU120" s="523"/>
      <c r="BV120" s="523"/>
      <c r="BW120" s="523"/>
      <c r="BX120" s="523"/>
      <c r="BY120" s="523"/>
    </row>
    <row r="121" spans="1:77" s="610" customFormat="1" x14ac:dyDescent="0.2">
      <c r="A121" s="501"/>
      <c r="BK121" s="523"/>
      <c r="BL121" s="523"/>
      <c r="BM121" s="523"/>
      <c r="BN121" s="523"/>
      <c r="BO121" s="523"/>
      <c r="BP121" s="523"/>
      <c r="BQ121" s="523"/>
      <c r="BR121" s="523"/>
      <c r="BS121" s="523"/>
      <c r="BT121" s="523"/>
      <c r="BU121" s="523"/>
      <c r="BV121" s="523"/>
      <c r="BW121" s="523"/>
      <c r="BX121" s="523"/>
      <c r="BY121" s="523"/>
    </row>
    <row r="122" spans="1:77" s="610" customFormat="1" x14ac:dyDescent="0.2">
      <c r="A122" s="501"/>
      <c r="BK122" s="523"/>
      <c r="BL122" s="523"/>
      <c r="BM122" s="523"/>
      <c r="BN122" s="523"/>
      <c r="BO122" s="523"/>
      <c r="BP122" s="523"/>
      <c r="BQ122" s="523"/>
      <c r="BR122" s="523"/>
      <c r="BS122" s="523"/>
      <c r="BT122" s="523"/>
      <c r="BU122" s="523"/>
      <c r="BV122" s="523"/>
      <c r="BW122" s="523"/>
      <c r="BX122" s="523"/>
      <c r="BY122" s="523"/>
    </row>
    <row r="123" spans="1:77" s="610" customFormat="1" x14ac:dyDescent="0.2">
      <c r="A123" s="501"/>
      <c r="BK123" s="523"/>
      <c r="BL123" s="523"/>
      <c r="BM123" s="523"/>
      <c r="BN123" s="523"/>
      <c r="BO123" s="523"/>
      <c r="BP123" s="523"/>
      <c r="BQ123" s="523"/>
      <c r="BR123" s="523"/>
      <c r="BS123" s="523"/>
      <c r="BT123" s="523"/>
      <c r="BU123" s="523"/>
      <c r="BV123" s="523"/>
      <c r="BW123" s="523"/>
      <c r="BX123" s="523"/>
      <c r="BY123" s="523"/>
    </row>
    <row r="124" spans="1:77" s="610" customFormat="1" x14ac:dyDescent="0.2">
      <c r="A124" s="501"/>
    </row>
    <row r="125" spans="1:77" s="610" customFormat="1" x14ac:dyDescent="0.2">
      <c r="A125" s="501"/>
    </row>
    <row r="126" spans="1:77" s="278" customFormat="1" x14ac:dyDescent="0.2">
      <c r="A126" s="167"/>
    </row>
    <row r="127" spans="1:77" s="278" customFormat="1" x14ac:dyDescent="0.2">
      <c r="A127" s="167"/>
    </row>
    <row r="128" spans="1:77" s="278" customFormat="1" x14ac:dyDescent="0.2">
      <c r="A128" s="167"/>
    </row>
    <row r="129" spans="1:1" s="278" customFormat="1" x14ac:dyDescent="0.2">
      <c r="A129" s="167"/>
    </row>
    <row r="130" spans="1:1" s="278" customFormat="1" x14ac:dyDescent="0.2">
      <c r="A130" s="167"/>
    </row>
    <row r="131" spans="1:1" s="278" customFormat="1" x14ac:dyDescent="0.2">
      <c r="A131" s="167"/>
    </row>
    <row r="132" spans="1:1" s="278" customFormat="1" x14ac:dyDescent="0.2">
      <c r="A132" s="167"/>
    </row>
    <row r="133" spans="1:1" s="278" customFormat="1" x14ac:dyDescent="0.2">
      <c r="A133" s="167"/>
    </row>
    <row r="134" spans="1:1" s="278" customFormat="1" x14ac:dyDescent="0.2">
      <c r="A134" s="167"/>
    </row>
    <row r="135" spans="1:1" s="278" customFormat="1" x14ac:dyDescent="0.2">
      <c r="A135" s="167"/>
    </row>
    <row r="136" spans="1:1" s="278" customFormat="1" x14ac:dyDescent="0.2">
      <c r="A136" s="167"/>
    </row>
    <row r="137" spans="1:1" s="278" customFormat="1" x14ac:dyDescent="0.2">
      <c r="A137" s="167"/>
    </row>
    <row r="138" spans="1:1" s="278" customFormat="1" x14ac:dyDescent="0.2">
      <c r="A138" s="167"/>
    </row>
  </sheetData>
  <conditionalFormatting sqref="F22:F33">
    <cfRule type="cellIs" dxfId="13" priority="2" stopIfTrue="1" operator="equal">
      <formula>"BREACHED"</formula>
    </cfRule>
  </conditionalFormatting>
  <conditionalFormatting sqref="A39:A98">
    <cfRule type="cellIs" dxfId="12" priority="3" stopIfTrue="1" operator="equal">
      <formula>FALSE</formula>
    </cfRule>
  </conditionalFormatting>
  <conditionalFormatting sqref="C34:D34 D35">
    <cfRule type="cellIs" dxfId="11" priority="4" stopIfTrue="1" operator="equal">
      <formula>"Error"</formula>
    </cfRule>
  </conditionalFormatting>
  <conditionalFormatting sqref="C35">
    <cfRule type="cellIs" dxfId="10"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99" max="16383" man="1"/>
  </rowBreaks>
  <colBreaks count="4" manualBreakCount="4">
    <brk id="27" max="96" man="1"/>
    <brk id="49" max="1048575" man="1"/>
    <brk id="71" max="1048575" man="1"/>
    <brk id="94" max="1048575" man="1"/>
  </colBreak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autoPageBreaks="0"/>
  </sheetPr>
  <dimension ref="B1:AS102"/>
  <sheetViews>
    <sheetView zoomScale="80" zoomScaleNormal="80" workbookViewId="0">
      <pane xSplit="3" ySplit="5" topLeftCell="D6" activePane="bottomRight" state="frozen"/>
      <selection activeCell="C18" sqref="C18"/>
      <selection pane="topRight" activeCell="C18" sqref="C18"/>
      <selection pane="bottomLeft" activeCell="C18" sqref="C18"/>
      <selection pane="bottomRight"/>
    </sheetView>
  </sheetViews>
  <sheetFormatPr defaultRowHeight="12.75" x14ac:dyDescent="0.2"/>
  <cols>
    <col min="1" max="1" width="1.85546875" style="210" customWidth="1"/>
    <col min="2" max="2" width="45" style="210" customWidth="1"/>
    <col min="3" max="3" width="2.85546875" style="210" customWidth="1"/>
    <col min="4" max="4" width="15.28515625" style="210" customWidth="1"/>
    <col min="5" max="5" width="10.140625" style="210" customWidth="1"/>
    <col min="6" max="6" width="11.140625" style="210" customWidth="1"/>
    <col min="7" max="7" width="11.28515625" style="210" customWidth="1"/>
    <col min="8" max="8" width="12.28515625" style="210" customWidth="1"/>
    <col min="9" max="9" width="11.5703125" style="210" customWidth="1"/>
    <col min="10" max="10" width="13.85546875" style="210" customWidth="1"/>
    <col min="11" max="16" width="12.28515625" style="210" customWidth="1"/>
    <col min="17" max="17" width="4.28515625" style="210" customWidth="1"/>
    <col min="18" max="18" width="16.42578125" style="210" customWidth="1"/>
    <col min="19" max="19" width="19.140625" style="210" customWidth="1"/>
    <col min="20" max="20" width="14.28515625" style="210" customWidth="1"/>
    <col min="21" max="21" width="14.85546875" style="210" customWidth="1"/>
    <col min="22" max="22" width="19.7109375" style="210" customWidth="1"/>
    <col min="23" max="23" width="17.140625" style="210" customWidth="1"/>
    <col min="24" max="25" width="16.5703125" style="210" customWidth="1"/>
    <col min="26" max="26" width="17.5703125" style="210" customWidth="1"/>
    <col min="27" max="27" width="18.7109375" style="210" bestFit="1" customWidth="1"/>
    <col min="28" max="28" width="18" style="210" customWidth="1"/>
    <col min="29" max="30" width="16.7109375" style="210" bestFit="1" customWidth="1"/>
    <col min="31" max="31" width="7.7109375" style="210" customWidth="1"/>
    <col min="32" max="33" width="16.7109375" style="210" bestFit="1" customWidth="1"/>
    <col min="34" max="34" width="11" style="210" customWidth="1"/>
    <col min="35" max="36" width="14.85546875" style="210" bestFit="1" customWidth="1"/>
    <col min="37" max="37" width="12.7109375" style="210" customWidth="1"/>
    <col min="38" max="38" width="17" style="210" customWidth="1"/>
    <col min="39" max="41" width="14.85546875" style="210" bestFit="1" customWidth="1"/>
    <col min="42" max="42" width="16.140625" style="210" customWidth="1"/>
    <col min="43" max="43" width="15.85546875" style="210" customWidth="1"/>
    <col min="44" max="45" width="14.85546875" style="210" customWidth="1"/>
    <col min="46" max="16384" width="9.140625" style="210"/>
  </cols>
  <sheetData>
    <row r="1" spans="2:45" ht="15" x14ac:dyDescent="0.25">
      <c r="B1" s="166" t="str">
        <f>"Tariff Approval - "&amp;'Model update'!C3</f>
        <v>Tariff Approval - United Energy</v>
      </c>
      <c r="C1" s="166"/>
    </row>
    <row r="2" spans="2:45" x14ac:dyDescent="0.2">
      <c r="G2" s="514"/>
    </row>
    <row r="3" spans="2:45" x14ac:dyDescent="0.2">
      <c r="B3" s="250" t="str">
        <f>"ESTIMATED "&amp;'Model update'!$C$8&amp;" Distribution Revenue"</f>
        <v>ESTIMATED 2018 Distribution Revenue</v>
      </c>
      <c r="C3" s="250"/>
    </row>
    <row r="4" spans="2:45" ht="13.5" thickBot="1" x14ac:dyDescent="0.25">
      <c r="D4" s="252" t="str">
        <f>"Current Distribution Tariffs (Pt-1) for "&amp;'Model update'!$C$8</f>
        <v>Current Distribution Tariffs (Pt-1) for 2018</v>
      </c>
      <c r="E4" s="253"/>
      <c r="F4" s="253"/>
      <c r="G4" s="253"/>
      <c r="H4" s="196"/>
      <c r="I4" s="196"/>
      <c r="J4" s="196"/>
      <c r="R4" s="252" t="str">
        <f>" Estimated Distribution Quantities for "&amp;'Model update'!$C$8&amp;" (Qt-1)"</f>
        <v xml:space="preserve"> Estimated Distribution Quantities for 2018 (Qt-1)</v>
      </c>
      <c r="S4" s="253"/>
      <c r="T4" s="253"/>
      <c r="U4" s="196"/>
      <c r="V4" s="196"/>
      <c r="AF4" s="252" t="str">
        <f>"Estimated Revenue (Pt-1 "&amp;'Model update'!$C$8&amp;")*(Qt-1 " &amp;'Model update'!$C$8&amp;")"</f>
        <v>Estimated Revenue (Pt-1 2018)*(Qt-1 2018)</v>
      </c>
      <c r="AG4" s="253"/>
      <c r="AH4" s="253"/>
      <c r="AI4" s="196"/>
    </row>
    <row r="5" spans="2:45" s="458" customFormat="1" ht="38.25" x14ac:dyDescent="0.2">
      <c r="B5" s="256" t="str">
        <f>"Tariffs "&amp;'Model update'!C8</f>
        <v>Tariffs 2018</v>
      </c>
      <c r="C5" s="568"/>
      <c r="D5" s="461" t="s">
        <v>435</v>
      </c>
      <c r="E5" s="462" t="s">
        <v>436</v>
      </c>
      <c r="F5" s="462" t="s">
        <v>437</v>
      </c>
      <c r="G5" s="462" t="s">
        <v>438</v>
      </c>
      <c r="H5" s="462" t="s">
        <v>439</v>
      </c>
      <c r="I5" s="462" t="s">
        <v>440</v>
      </c>
      <c r="J5" s="462" t="s">
        <v>441</v>
      </c>
      <c r="K5" s="462" t="s">
        <v>442</v>
      </c>
      <c r="L5" s="462" t="s">
        <v>443</v>
      </c>
      <c r="M5" s="462" t="s">
        <v>444</v>
      </c>
      <c r="N5" s="462" t="s">
        <v>445</v>
      </c>
      <c r="O5" s="462" t="s">
        <v>446</v>
      </c>
      <c r="P5" s="463" t="s">
        <v>447</v>
      </c>
      <c r="R5" s="461" t="s">
        <v>250</v>
      </c>
      <c r="S5" s="462" t="s">
        <v>251</v>
      </c>
      <c r="T5" s="462" t="s">
        <v>448</v>
      </c>
      <c r="U5" s="462" t="s">
        <v>449</v>
      </c>
      <c r="V5" s="462" t="s">
        <v>450</v>
      </c>
      <c r="W5" s="462" t="s">
        <v>252</v>
      </c>
      <c r="X5" s="462" t="s">
        <v>451</v>
      </c>
      <c r="Y5" s="462" t="s">
        <v>253</v>
      </c>
      <c r="Z5" s="462" t="s">
        <v>254</v>
      </c>
      <c r="AA5" s="462" t="s">
        <v>255</v>
      </c>
      <c r="AB5" s="462" t="s">
        <v>256</v>
      </c>
      <c r="AC5" s="462" t="s">
        <v>257</v>
      </c>
      <c r="AD5" s="463" t="s">
        <v>258</v>
      </c>
      <c r="AF5" s="461" t="s">
        <v>240</v>
      </c>
      <c r="AG5" s="462" t="s">
        <v>241</v>
      </c>
      <c r="AH5" s="462" t="s">
        <v>452</v>
      </c>
      <c r="AI5" s="462" t="s">
        <v>453</v>
      </c>
      <c r="AJ5" s="462" t="s">
        <v>454</v>
      </c>
      <c r="AK5" s="462" t="s">
        <v>242</v>
      </c>
      <c r="AL5" s="462" t="s">
        <v>455</v>
      </c>
      <c r="AM5" s="462" t="s">
        <v>243</v>
      </c>
      <c r="AN5" s="462" t="s">
        <v>244</v>
      </c>
      <c r="AO5" s="462" t="s">
        <v>245</v>
      </c>
      <c r="AP5" s="462" t="s">
        <v>246</v>
      </c>
      <c r="AQ5" s="462" t="s">
        <v>247</v>
      </c>
      <c r="AR5" s="462" t="s">
        <v>248</v>
      </c>
      <c r="AS5" s="463" t="s">
        <v>249</v>
      </c>
    </row>
    <row r="6" spans="2:45" s="458" customFormat="1" x14ac:dyDescent="0.2">
      <c r="B6" s="634" t="s">
        <v>660</v>
      </c>
      <c r="C6" s="569"/>
      <c r="D6" s="570">
        <v>6.8650000000000002</v>
      </c>
      <c r="E6" s="571">
        <v>8.4649999999999999</v>
      </c>
      <c r="F6" s="571">
        <v>0</v>
      </c>
      <c r="G6" s="571">
        <v>0</v>
      </c>
      <c r="H6" s="571">
        <v>5.4489999999999998</v>
      </c>
      <c r="I6" s="571">
        <v>0</v>
      </c>
      <c r="J6" s="571">
        <v>0</v>
      </c>
      <c r="K6" s="571">
        <v>0</v>
      </c>
      <c r="L6" s="571">
        <v>0</v>
      </c>
      <c r="M6" s="571">
        <v>0</v>
      </c>
      <c r="N6" s="571">
        <v>0</v>
      </c>
      <c r="O6" s="571">
        <v>0</v>
      </c>
      <c r="P6" s="572">
        <v>0</v>
      </c>
      <c r="R6" s="704">
        <v>200952788.42021027</v>
      </c>
      <c r="S6" s="705">
        <v>928008318.47282875</v>
      </c>
      <c r="T6" s="705">
        <v>0</v>
      </c>
      <c r="U6" s="705">
        <v>0</v>
      </c>
      <c r="V6" s="705">
        <v>1503738154.9662266</v>
      </c>
      <c r="W6" s="705">
        <v>0</v>
      </c>
      <c r="X6" s="705">
        <v>0</v>
      </c>
      <c r="Y6" s="705">
        <v>0</v>
      </c>
      <c r="Z6" s="705">
        <v>0</v>
      </c>
      <c r="AA6" s="705">
        <v>0</v>
      </c>
      <c r="AB6" s="705">
        <v>0</v>
      </c>
      <c r="AC6" s="705">
        <v>0</v>
      </c>
      <c r="AD6" s="706"/>
      <c r="AF6" s="576">
        <f t="shared" ref="AF6:AF65" si="0">D6/100*R6</f>
        <v>13795408.925047435</v>
      </c>
      <c r="AG6" s="577">
        <f t="shared" ref="AG6:AG65" si="1">E6/100*S6</f>
        <v>78555904.158724949</v>
      </c>
      <c r="AH6" s="577">
        <f t="shared" ref="AH6:AH65" si="2">F6/100*T6</f>
        <v>0</v>
      </c>
      <c r="AI6" s="577">
        <f t="shared" ref="AI6:AI65" si="3">G6/100*U6</f>
        <v>0</v>
      </c>
      <c r="AJ6" s="577">
        <f t="shared" ref="AJ6:AJ65" si="4">H6/100*V6</f>
        <v>81938692.064109683</v>
      </c>
      <c r="AK6" s="577">
        <f t="shared" ref="AK6:AK65" si="5">I6/100*W6</f>
        <v>0</v>
      </c>
      <c r="AL6" s="577">
        <f t="shared" ref="AL6:AL65" si="6">J6/100*X6</f>
        <v>0</v>
      </c>
      <c r="AM6" s="577">
        <f t="shared" ref="AM6:AM65" si="7">K6/100*Y6</f>
        <v>0</v>
      </c>
      <c r="AN6" s="577">
        <f t="shared" ref="AN6:AN65" si="8">L6/100*Z6</f>
        <v>0</v>
      </c>
      <c r="AO6" s="577">
        <f t="shared" ref="AO6:AO65" si="9">M6/100*AA6</f>
        <v>0</v>
      </c>
      <c r="AP6" s="577">
        <f t="shared" ref="AP6:AP65" si="10">N6/100*AB6</f>
        <v>0</v>
      </c>
      <c r="AQ6" s="577">
        <f t="shared" ref="AQ6:AQ65" si="11">O6/100*AC6</f>
        <v>0</v>
      </c>
      <c r="AR6" s="577">
        <f t="shared" ref="AR6:AR65" si="12">P6/100*AD6</f>
        <v>0</v>
      </c>
      <c r="AS6" s="578">
        <f t="shared" ref="AS6:AS65" si="13">SUM(AF6:AR6)</f>
        <v>174290005.14788207</v>
      </c>
    </row>
    <row r="7" spans="2:45" s="458" customFormat="1" x14ac:dyDescent="0.2">
      <c r="B7" s="634" t="s">
        <v>661</v>
      </c>
      <c r="C7" s="579"/>
      <c r="D7" s="580">
        <v>8.8409999999999993</v>
      </c>
      <c r="E7" s="581">
        <v>6.593</v>
      </c>
      <c r="F7" s="581">
        <v>0</v>
      </c>
      <c r="G7" s="581">
        <v>0</v>
      </c>
      <c r="H7" s="581">
        <v>4.8849999999999998</v>
      </c>
      <c r="I7" s="581">
        <v>1.831</v>
      </c>
      <c r="J7" s="581">
        <v>0</v>
      </c>
      <c r="K7" s="581">
        <v>0</v>
      </c>
      <c r="L7" s="581">
        <v>0</v>
      </c>
      <c r="M7" s="581">
        <v>0</v>
      </c>
      <c r="N7" s="581">
        <v>0</v>
      </c>
      <c r="O7" s="581">
        <v>0</v>
      </c>
      <c r="P7" s="582">
        <v>0</v>
      </c>
      <c r="R7" s="704">
        <v>45377.16506450923</v>
      </c>
      <c r="S7" s="707">
        <v>302993.89143638534</v>
      </c>
      <c r="T7" s="707">
        <v>0</v>
      </c>
      <c r="U7" s="707">
        <v>0</v>
      </c>
      <c r="V7" s="707">
        <v>578609.48262818658</v>
      </c>
      <c r="W7" s="707">
        <v>0</v>
      </c>
      <c r="X7" s="707">
        <v>0</v>
      </c>
      <c r="Y7" s="707">
        <v>0</v>
      </c>
      <c r="Z7" s="707">
        <v>0</v>
      </c>
      <c r="AA7" s="707">
        <v>0</v>
      </c>
      <c r="AB7" s="707">
        <v>0</v>
      </c>
      <c r="AC7" s="707">
        <v>0</v>
      </c>
      <c r="AD7" s="708"/>
      <c r="AF7" s="556">
        <f t="shared" si="0"/>
        <v>4011.7951633532607</v>
      </c>
      <c r="AG7" s="557">
        <f t="shared" si="1"/>
        <v>19976.387262400887</v>
      </c>
      <c r="AH7" s="557">
        <f t="shared" si="2"/>
        <v>0</v>
      </c>
      <c r="AI7" s="557">
        <f t="shared" si="3"/>
        <v>0</v>
      </c>
      <c r="AJ7" s="557">
        <f t="shared" si="4"/>
        <v>28265.073226386914</v>
      </c>
      <c r="AK7" s="557">
        <f t="shared" si="5"/>
        <v>0</v>
      </c>
      <c r="AL7" s="557">
        <f t="shared" si="6"/>
        <v>0</v>
      </c>
      <c r="AM7" s="557">
        <f t="shared" si="7"/>
        <v>0</v>
      </c>
      <c r="AN7" s="557">
        <f t="shared" si="8"/>
        <v>0</v>
      </c>
      <c r="AO7" s="557">
        <f t="shared" si="9"/>
        <v>0</v>
      </c>
      <c r="AP7" s="557">
        <f t="shared" si="10"/>
        <v>0</v>
      </c>
      <c r="AQ7" s="557">
        <f t="shared" si="11"/>
        <v>0</v>
      </c>
      <c r="AR7" s="557">
        <f t="shared" si="12"/>
        <v>0</v>
      </c>
      <c r="AS7" s="469">
        <f t="shared" si="13"/>
        <v>52253.255652141059</v>
      </c>
    </row>
    <row r="8" spans="2:45" s="458" customFormat="1" x14ac:dyDescent="0.2">
      <c r="B8" s="634" t="s">
        <v>662</v>
      </c>
      <c r="C8" s="579"/>
      <c r="D8" s="580">
        <v>0</v>
      </c>
      <c r="E8" s="581">
        <v>0</v>
      </c>
      <c r="F8" s="581">
        <v>0</v>
      </c>
      <c r="G8" s="581">
        <v>0</v>
      </c>
      <c r="H8" s="581">
        <v>0</v>
      </c>
      <c r="I8" s="581">
        <v>0</v>
      </c>
      <c r="J8" s="581">
        <v>0</v>
      </c>
      <c r="K8" s="581">
        <v>0</v>
      </c>
      <c r="L8" s="581">
        <v>0</v>
      </c>
      <c r="M8" s="581">
        <v>0</v>
      </c>
      <c r="N8" s="581">
        <v>0</v>
      </c>
      <c r="O8" s="581">
        <v>0</v>
      </c>
      <c r="P8" s="582">
        <v>0</v>
      </c>
      <c r="R8" s="704">
        <v>0</v>
      </c>
      <c r="S8" s="707">
        <v>0</v>
      </c>
      <c r="T8" s="707">
        <v>0</v>
      </c>
      <c r="U8" s="707">
        <v>0</v>
      </c>
      <c r="V8" s="707">
        <v>0</v>
      </c>
      <c r="W8" s="707">
        <v>0</v>
      </c>
      <c r="X8" s="707">
        <v>0</v>
      </c>
      <c r="Y8" s="707">
        <v>0</v>
      </c>
      <c r="Z8" s="707">
        <v>0</v>
      </c>
      <c r="AA8" s="707">
        <v>0</v>
      </c>
      <c r="AB8" s="707">
        <v>0</v>
      </c>
      <c r="AC8" s="707">
        <v>0</v>
      </c>
      <c r="AD8" s="708"/>
      <c r="AF8" s="556">
        <f t="shared" si="0"/>
        <v>0</v>
      </c>
      <c r="AG8" s="557">
        <f t="shared" si="1"/>
        <v>0</v>
      </c>
      <c r="AH8" s="557">
        <f t="shared" si="2"/>
        <v>0</v>
      </c>
      <c r="AI8" s="557">
        <f t="shared" si="3"/>
        <v>0</v>
      </c>
      <c r="AJ8" s="557">
        <f t="shared" si="4"/>
        <v>0</v>
      </c>
      <c r="AK8" s="557">
        <f t="shared" si="5"/>
        <v>0</v>
      </c>
      <c r="AL8" s="557">
        <f t="shared" si="6"/>
        <v>0</v>
      </c>
      <c r="AM8" s="557">
        <f t="shared" si="7"/>
        <v>0</v>
      </c>
      <c r="AN8" s="557">
        <f t="shared" si="8"/>
        <v>0</v>
      </c>
      <c r="AO8" s="557">
        <f t="shared" si="9"/>
        <v>0</v>
      </c>
      <c r="AP8" s="557">
        <f t="shared" si="10"/>
        <v>0</v>
      </c>
      <c r="AQ8" s="557">
        <f t="shared" si="11"/>
        <v>0</v>
      </c>
      <c r="AR8" s="557">
        <f t="shared" si="12"/>
        <v>0</v>
      </c>
      <c r="AS8" s="469">
        <f t="shared" si="13"/>
        <v>0</v>
      </c>
    </row>
    <row r="9" spans="2:45" s="458" customFormat="1" x14ac:dyDescent="0.2">
      <c r="B9" s="634" t="s">
        <v>663</v>
      </c>
      <c r="C9" s="579"/>
      <c r="D9" s="580">
        <v>14.02</v>
      </c>
      <c r="E9" s="581">
        <v>0</v>
      </c>
      <c r="F9" s="581">
        <v>0</v>
      </c>
      <c r="G9" s="581">
        <v>10.063000000000001</v>
      </c>
      <c r="H9" s="581">
        <v>0</v>
      </c>
      <c r="I9" s="581">
        <v>0</v>
      </c>
      <c r="J9" s="581">
        <v>7.6319999999999997</v>
      </c>
      <c r="K9" s="581">
        <v>1.7450000000000001</v>
      </c>
      <c r="L9" s="581">
        <v>0</v>
      </c>
      <c r="M9" s="581">
        <v>0</v>
      </c>
      <c r="N9" s="581">
        <v>0</v>
      </c>
      <c r="O9" s="581">
        <v>0</v>
      </c>
      <c r="P9" s="582">
        <v>0</v>
      </c>
      <c r="R9" s="704">
        <v>1512412.6828954241</v>
      </c>
      <c r="S9" s="707">
        <v>0</v>
      </c>
      <c r="T9" s="707">
        <v>0</v>
      </c>
      <c r="U9" s="707">
        <v>4357801.8995413752</v>
      </c>
      <c r="V9" s="707">
        <v>0</v>
      </c>
      <c r="W9" s="707">
        <v>0</v>
      </c>
      <c r="X9" s="707">
        <v>6953080.2419008315</v>
      </c>
      <c r="Y9" s="707">
        <v>14873749.96422084</v>
      </c>
      <c r="Z9" s="707">
        <v>0</v>
      </c>
      <c r="AA9" s="707">
        <v>0</v>
      </c>
      <c r="AB9" s="707">
        <v>0</v>
      </c>
      <c r="AC9" s="707">
        <v>0</v>
      </c>
      <c r="AD9" s="708"/>
      <c r="AF9" s="556">
        <f t="shared" si="0"/>
        <v>212040.25814193845</v>
      </c>
      <c r="AG9" s="557">
        <f t="shared" si="1"/>
        <v>0</v>
      </c>
      <c r="AH9" s="557">
        <f t="shared" si="2"/>
        <v>0</v>
      </c>
      <c r="AI9" s="557">
        <f t="shared" si="3"/>
        <v>438525.60515084863</v>
      </c>
      <c r="AJ9" s="557">
        <f t="shared" si="4"/>
        <v>0</v>
      </c>
      <c r="AK9" s="557">
        <f t="shared" si="5"/>
        <v>0</v>
      </c>
      <c r="AL9" s="557">
        <f t="shared" si="6"/>
        <v>530659.0840618714</v>
      </c>
      <c r="AM9" s="557">
        <f t="shared" si="7"/>
        <v>259546.93687565366</v>
      </c>
      <c r="AN9" s="557">
        <f t="shared" si="8"/>
        <v>0</v>
      </c>
      <c r="AO9" s="557">
        <f t="shared" si="9"/>
        <v>0</v>
      </c>
      <c r="AP9" s="557">
        <f t="shared" si="10"/>
        <v>0</v>
      </c>
      <c r="AQ9" s="557">
        <f t="shared" si="11"/>
        <v>0</v>
      </c>
      <c r="AR9" s="557">
        <f t="shared" si="12"/>
        <v>0</v>
      </c>
      <c r="AS9" s="469">
        <f t="shared" si="13"/>
        <v>1440771.8842303122</v>
      </c>
    </row>
    <row r="10" spans="2:45" s="458" customFormat="1" x14ac:dyDescent="0.2">
      <c r="B10" s="634" t="s">
        <v>664</v>
      </c>
      <c r="C10" s="579"/>
      <c r="D10" s="580">
        <v>0</v>
      </c>
      <c r="E10" s="581">
        <v>0</v>
      </c>
      <c r="F10" s="581">
        <v>0</v>
      </c>
      <c r="G10" s="581">
        <v>0</v>
      </c>
      <c r="H10" s="581">
        <v>0</v>
      </c>
      <c r="I10" s="581">
        <v>0</v>
      </c>
      <c r="J10" s="581">
        <v>0</v>
      </c>
      <c r="K10" s="581">
        <v>1.931</v>
      </c>
      <c r="L10" s="581">
        <v>0</v>
      </c>
      <c r="M10" s="581">
        <v>0</v>
      </c>
      <c r="N10" s="581">
        <v>0</v>
      </c>
      <c r="O10" s="581">
        <v>0</v>
      </c>
      <c r="P10" s="582">
        <v>0</v>
      </c>
      <c r="R10" s="704">
        <v>1960437.019180858</v>
      </c>
      <c r="S10" s="707">
        <v>0</v>
      </c>
      <c r="T10" s="707">
        <v>0</v>
      </c>
      <c r="U10" s="707">
        <v>0</v>
      </c>
      <c r="V10" s="707">
        <v>0</v>
      </c>
      <c r="W10" s="707">
        <v>0</v>
      </c>
      <c r="X10" s="707">
        <v>0</v>
      </c>
      <c r="Y10" s="707">
        <v>89664408.336873919</v>
      </c>
      <c r="Z10" s="707">
        <v>0</v>
      </c>
      <c r="AA10" s="707">
        <v>0</v>
      </c>
      <c r="AB10" s="707">
        <v>0</v>
      </c>
      <c r="AC10" s="707">
        <v>0</v>
      </c>
      <c r="AD10" s="708"/>
      <c r="AF10" s="556">
        <f t="shared" si="0"/>
        <v>0</v>
      </c>
      <c r="AG10" s="557">
        <f t="shared" si="1"/>
        <v>0</v>
      </c>
      <c r="AH10" s="557">
        <f t="shared" si="2"/>
        <v>0</v>
      </c>
      <c r="AI10" s="557">
        <f t="shared" si="3"/>
        <v>0</v>
      </c>
      <c r="AJ10" s="557">
        <f t="shared" si="4"/>
        <v>0</v>
      </c>
      <c r="AK10" s="557">
        <f t="shared" si="5"/>
        <v>0</v>
      </c>
      <c r="AL10" s="557">
        <f t="shared" si="6"/>
        <v>0</v>
      </c>
      <c r="AM10" s="557">
        <f t="shared" si="7"/>
        <v>1731419.7249850354</v>
      </c>
      <c r="AN10" s="557">
        <f t="shared" si="8"/>
        <v>0</v>
      </c>
      <c r="AO10" s="557">
        <f t="shared" si="9"/>
        <v>0</v>
      </c>
      <c r="AP10" s="557">
        <f t="shared" si="10"/>
        <v>0</v>
      </c>
      <c r="AQ10" s="557">
        <f t="shared" si="11"/>
        <v>0</v>
      </c>
      <c r="AR10" s="557">
        <f t="shared" si="12"/>
        <v>0</v>
      </c>
      <c r="AS10" s="469">
        <f t="shared" si="13"/>
        <v>1731419.7249850354</v>
      </c>
    </row>
    <row r="11" spans="2:45" s="458" customFormat="1" x14ac:dyDescent="0.2">
      <c r="B11" s="634" t="s">
        <v>665</v>
      </c>
      <c r="C11" s="579"/>
      <c r="D11" s="580">
        <v>11.651999999999999</v>
      </c>
      <c r="E11" s="581">
        <v>10.241</v>
      </c>
      <c r="F11" s="581">
        <v>0</v>
      </c>
      <c r="G11" s="581">
        <v>0</v>
      </c>
      <c r="H11" s="581">
        <v>6.391</v>
      </c>
      <c r="I11" s="581">
        <v>0</v>
      </c>
      <c r="J11" s="581">
        <v>0</v>
      </c>
      <c r="K11" s="581">
        <v>0</v>
      </c>
      <c r="L11" s="581">
        <v>0</v>
      </c>
      <c r="M11" s="581">
        <v>0</v>
      </c>
      <c r="N11" s="581">
        <v>0</v>
      </c>
      <c r="O11" s="581">
        <v>0</v>
      </c>
      <c r="P11" s="582">
        <v>0</v>
      </c>
      <c r="R11" s="704">
        <v>12103894.642855167</v>
      </c>
      <c r="S11" s="707">
        <v>163534676.50539243</v>
      </c>
      <c r="T11" s="707">
        <v>0</v>
      </c>
      <c r="U11" s="707">
        <v>0</v>
      </c>
      <c r="V11" s="707">
        <v>244508549.48999846</v>
      </c>
      <c r="W11" s="707">
        <v>0</v>
      </c>
      <c r="X11" s="707">
        <v>0</v>
      </c>
      <c r="Y11" s="707">
        <v>0</v>
      </c>
      <c r="Z11" s="707">
        <v>0</v>
      </c>
      <c r="AA11" s="707">
        <v>0</v>
      </c>
      <c r="AB11" s="707">
        <v>0</v>
      </c>
      <c r="AC11" s="707">
        <v>0</v>
      </c>
      <c r="AD11" s="708"/>
      <c r="AF11" s="556">
        <f t="shared" si="0"/>
        <v>1410345.8037854841</v>
      </c>
      <c r="AG11" s="557">
        <f t="shared" si="1"/>
        <v>16747586.22091724</v>
      </c>
      <c r="AH11" s="557">
        <f t="shared" si="2"/>
        <v>0</v>
      </c>
      <c r="AI11" s="557">
        <f t="shared" si="3"/>
        <v>0</v>
      </c>
      <c r="AJ11" s="557">
        <f t="shared" si="4"/>
        <v>15626541.3979058</v>
      </c>
      <c r="AK11" s="557">
        <f t="shared" si="5"/>
        <v>0</v>
      </c>
      <c r="AL11" s="557">
        <f t="shared" si="6"/>
        <v>0</v>
      </c>
      <c r="AM11" s="557">
        <f t="shared" si="7"/>
        <v>0</v>
      </c>
      <c r="AN11" s="557">
        <f t="shared" si="8"/>
        <v>0</v>
      </c>
      <c r="AO11" s="557">
        <f t="shared" si="9"/>
        <v>0</v>
      </c>
      <c r="AP11" s="557">
        <f t="shared" si="10"/>
        <v>0</v>
      </c>
      <c r="AQ11" s="557">
        <f t="shared" si="11"/>
        <v>0</v>
      </c>
      <c r="AR11" s="557">
        <f t="shared" si="12"/>
        <v>0</v>
      </c>
      <c r="AS11" s="469">
        <f t="shared" si="13"/>
        <v>33784473.422608525</v>
      </c>
    </row>
    <row r="12" spans="2:45" s="458" customFormat="1" x14ac:dyDescent="0.2">
      <c r="B12" s="634" t="s">
        <v>666</v>
      </c>
      <c r="C12" s="579"/>
      <c r="D12" s="580">
        <v>22.303000000000001</v>
      </c>
      <c r="E12" s="581">
        <v>0</v>
      </c>
      <c r="F12" s="581">
        <v>0</v>
      </c>
      <c r="G12" s="581">
        <v>10.83</v>
      </c>
      <c r="H12" s="581">
        <v>0</v>
      </c>
      <c r="I12" s="581">
        <v>0</v>
      </c>
      <c r="J12" s="581">
        <v>8.1159999999999997</v>
      </c>
      <c r="K12" s="581">
        <v>2.0219999999999998</v>
      </c>
      <c r="L12" s="581">
        <v>0</v>
      </c>
      <c r="M12" s="581">
        <v>0</v>
      </c>
      <c r="N12" s="581">
        <v>0</v>
      </c>
      <c r="O12" s="581">
        <v>0</v>
      </c>
      <c r="P12" s="582">
        <v>0</v>
      </c>
      <c r="R12" s="704">
        <v>3269874.0172774848</v>
      </c>
      <c r="S12" s="707">
        <v>0</v>
      </c>
      <c r="T12" s="707">
        <v>0</v>
      </c>
      <c r="U12" s="707">
        <v>48815797.803827435</v>
      </c>
      <c r="V12" s="707">
        <v>0</v>
      </c>
      <c r="W12" s="707">
        <v>0</v>
      </c>
      <c r="X12" s="707">
        <v>76642995.376129091</v>
      </c>
      <c r="Y12" s="707">
        <v>73750815.478119001</v>
      </c>
      <c r="Z12" s="707">
        <v>0</v>
      </c>
      <c r="AA12" s="707">
        <v>0</v>
      </c>
      <c r="AB12" s="707">
        <v>0</v>
      </c>
      <c r="AC12" s="707">
        <v>0</v>
      </c>
      <c r="AD12" s="708"/>
      <c r="AF12" s="556">
        <f t="shared" si="0"/>
        <v>729280.00207339739</v>
      </c>
      <c r="AG12" s="557">
        <f t="shared" si="1"/>
        <v>0</v>
      </c>
      <c r="AH12" s="557">
        <f t="shared" si="2"/>
        <v>0</v>
      </c>
      <c r="AI12" s="557">
        <f t="shared" si="3"/>
        <v>5286750.9021545118</v>
      </c>
      <c r="AJ12" s="557">
        <f t="shared" si="4"/>
        <v>0</v>
      </c>
      <c r="AK12" s="557">
        <f t="shared" si="5"/>
        <v>0</v>
      </c>
      <c r="AL12" s="557">
        <f t="shared" si="6"/>
        <v>6220345.5047266372</v>
      </c>
      <c r="AM12" s="557">
        <f t="shared" si="7"/>
        <v>1491241.4889675661</v>
      </c>
      <c r="AN12" s="557">
        <f t="shared" si="8"/>
        <v>0</v>
      </c>
      <c r="AO12" s="557">
        <f t="shared" si="9"/>
        <v>0</v>
      </c>
      <c r="AP12" s="557">
        <f t="shared" si="10"/>
        <v>0</v>
      </c>
      <c r="AQ12" s="557">
        <f t="shared" si="11"/>
        <v>0</v>
      </c>
      <c r="AR12" s="557">
        <f t="shared" si="12"/>
        <v>0</v>
      </c>
      <c r="AS12" s="469">
        <f t="shared" si="13"/>
        <v>13727617.897922112</v>
      </c>
    </row>
    <row r="13" spans="2:45" s="458" customFormat="1" x14ac:dyDescent="0.2">
      <c r="B13" s="634" t="s">
        <v>667</v>
      </c>
      <c r="C13" s="579"/>
      <c r="D13" s="580">
        <v>23.742000000000001</v>
      </c>
      <c r="E13" s="581">
        <v>0</v>
      </c>
      <c r="F13" s="581">
        <v>0</v>
      </c>
      <c r="G13" s="581">
        <v>10.307</v>
      </c>
      <c r="H13" s="581">
        <v>0</v>
      </c>
      <c r="I13" s="581">
        <v>0</v>
      </c>
      <c r="J13" s="581">
        <v>7.9809999999999999</v>
      </c>
      <c r="K13" s="581">
        <v>1.88</v>
      </c>
      <c r="L13" s="581">
        <v>0</v>
      </c>
      <c r="M13" s="581">
        <v>0</v>
      </c>
      <c r="N13" s="581">
        <v>0</v>
      </c>
      <c r="O13" s="581">
        <v>0</v>
      </c>
      <c r="P13" s="582">
        <v>0</v>
      </c>
      <c r="R13" s="704">
        <v>1655208.3921497124</v>
      </c>
      <c r="S13" s="707">
        <v>0</v>
      </c>
      <c r="T13" s="707">
        <v>0</v>
      </c>
      <c r="U13" s="707">
        <v>21784409.061092354</v>
      </c>
      <c r="V13" s="707">
        <v>0</v>
      </c>
      <c r="W13" s="707">
        <v>0</v>
      </c>
      <c r="X13" s="707">
        <v>35541857.096002646</v>
      </c>
      <c r="Y13" s="707">
        <v>15171726.589555863</v>
      </c>
      <c r="Z13" s="707">
        <v>0</v>
      </c>
      <c r="AA13" s="707">
        <v>0</v>
      </c>
      <c r="AB13" s="707">
        <v>0</v>
      </c>
      <c r="AC13" s="707">
        <v>0</v>
      </c>
      <c r="AD13" s="708"/>
      <c r="AF13" s="556">
        <f t="shared" si="0"/>
        <v>392979.57646418473</v>
      </c>
      <c r="AG13" s="557">
        <f t="shared" si="1"/>
        <v>0</v>
      </c>
      <c r="AH13" s="557">
        <f t="shared" si="2"/>
        <v>0</v>
      </c>
      <c r="AI13" s="557">
        <f t="shared" si="3"/>
        <v>2245319.0419267891</v>
      </c>
      <c r="AJ13" s="557">
        <f t="shared" si="4"/>
        <v>0</v>
      </c>
      <c r="AK13" s="557">
        <f t="shared" si="5"/>
        <v>0</v>
      </c>
      <c r="AL13" s="557">
        <f t="shared" si="6"/>
        <v>2836595.614831971</v>
      </c>
      <c r="AM13" s="557">
        <f t="shared" si="7"/>
        <v>285228.45988365018</v>
      </c>
      <c r="AN13" s="557">
        <f t="shared" si="8"/>
        <v>0</v>
      </c>
      <c r="AO13" s="557">
        <f t="shared" si="9"/>
        <v>0</v>
      </c>
      <c r="AP13" s="557">
        <f t="shared" si="10"/>
        <v>0</v>
      </c>
      <c r="AQ13" s="557">
        <f t="shared" si="11"/>
        <v>0</v>
      </c>
      <c r="AR13" s="557">
        <f t="shared" si="12"/>
        <v>0</v>
      </c>
      <c r="AS13" s="469">
        <f t="shared" si="13"/>
        <v>5760122.6931065945</v>
      </c>
    </row>
    <row r="14" spans="2:45" s="458" customFormat="1" x14ac:dyDescent="0.2">
      <c r="B14" s="634" t="s">
        <v>668</v>
      </c>
      <c r="C14" s="579"/>
      <c r="D14" s="580">
        <v>0</v>
      </c>
      <c r="E14" s="581">
        <v>0</v>
      </c>
      <c r="F14" s="581">
        <v>0</v>
      </c>
      <c r="G14" s="581">
        <v>8.4589999999999996</v>
      </c>
      <c r="H14" s="581">
        <v>0</v>
      </c>
      <c r="I14" s="581">
        <v>0</v>
      </c>
      <c r="J14" s="581">
        <v>6.1879999999999997</v>
      </c>
      <c r="K14" s="581">
        <v>1.5249999999999999</v>
      </c>
      <c r="L14" s="581">
        <v>0</v>
      </c>
      <c r="M14" s="581">
        <v>0</v>
      </c>
      <c r="N14" s="581">
        <v>0</v>
      </c>
      <c r="O14" s="581">
        <v>0</v>
      </c>
      <c r="P14" s="582">
        <v>0</v>
      </c>
      <c r="R14" s="704">
        <v>1969509.4767538456</v>
      </c>
      <c r="S14" s="707">
        <v>0</v>
      </c>
      <c r="T14" s="707">
        <v>0</v>
      </c>
      <c r="U14" s="707">
        <v>13849579.425705153</v>
      </c>
      <c r="V14" s="707">
        <v>0</v>
      </c>
      <c r="W14" s="707">
        <v>0</v>
      </c>
      <c r="X14" s="707">
        <v>26202949.438063513</v>
      </c>
      <c r="Y14" s="707">
        <v>60264599.840833753</v>
      </c>
      <c r="Z14" s="707">
        <v>0</v>
      </c>
      <c r="AA14" s="707">
        <v>0</v>
      </c>
      <c r="AB14" s="707">
        <v>0</v>
      </c>
      <c r="AC14" s="707">
        <v>0</v>
      </c>
      <c r="AD14" s="708"/>
      <c r="AF14" s="556">
        <f t="shared" si="0"/>
        <v>0</v>
      </c>
      <c r="AG14" s="557">
        <f t="shared" si="1"/>
        <v>0</v>
      </c>
      <c r="AH14" s="557">
        <f t="shared" si="2"/>
        <v>0</v>
      </c>
      <c r="AI14" s="557">
        <f t="shared" si="3"/>
        <v>1171535.9236203989</v>
      </c>
      <c r="AJ14" s="557">
        <f t="shared" si="4"/>
        <v>0</v>
      </c>
      <c r="AK14" s="557">
        <f t="shared" si="5"/>
        <v>0</v>
      </c>
      <c r="AL14" s="557">
        <f t="shared" si="6"/>
        <v>1621438.5112273702</v>
      </c>
      <c r="AM14" s="557">
        <f t="shared" si="7"/>
        <v>919035.14757271472</v>
      </c>
      <c r="AN14" s="557">
        <f t="shared" si="8"/>
        <v>0</v>
      </c>
      <c r="AO14" s="557">
        <f t="shared" si="9"/>
        <v>0</v>
      </c>
      <c r="AP14" s="557">
        <f t="shared" si="10"/>
        <v>0</v>
      </c>
      <c r="AQ14" s="557">
        <f t="shared" si="11"/>
        <v>0</v>
      </c>
      <c r="AR14" s="557">
        <f t="shared" si="12"/>
        <v>0</v>
      </c>
      <c r="AS14" s="469">
        <f t="shared" si="13"/>
        <v>3712009.5824204842</v>
      </c>
    </row>
    <row r="15" spans="2:45" s="458" customFormat="1" x14ac:dyDescent="0.2">
      <c r="B15" s="634" t="s">
        <v>669</v>
      </c>
      <c r="C15" s="579"/>
      <c r="D15" s="580">
        <v>13.641</v>
      </c>
      <c r="E15" s="581">
        <v>6.2469999999999999</v>
      </c>
      <c r="F15" s="581">
        <v>0</v>
      </c>
      <c r="G15" s="581">
        <v>0</v>
      </c>
      <c r="H15" s="581">
        <v>4.9290000000000003</v>
      </c>
      <c r="I15" s="581">
        <v>0</v>
      </c>
      <c r="J15" s="581">
        <v>0</v>
      </c>
      <c r="K15" s="581">
        <v>0</v>
      </c>
      <c r="L15" s="581">
        <v>0</v>
      </c>
      <c r="M15" s="581">
        <v>0</v>
      </c>
      <c r="N15" s="581">
        <v>0</v>
      </c>
      <c r="O15" s="581">
        <v>0</v>
      </c>
      <c r="P15" s="582">
        <v>0</v>
      </c>
      <c r="R15" s="704">
        <v>2284.06611547582</v>
      </c>
      <c r="S15" s="707">
        <v>593575.62292224064</v>
      </c>
      <c r="T15" s="707">
        <v>0</v>
      </c>
      <c r="U15" s="707">
        <v>0</v>
      </c>
      <c r="V15" s="707">
        <v>787538.80436954857</v>
      </c>
      <c r="W15" s="707">
        <v>0</v>
      </c>
      <c r="X15" s="707">
        <v>0</v>
      </c>
      <c r="Y15" s="707">
        <v>0</v>
      </c>
      <c r="Z15" s="707">
        <v>0</v>
      </c>
      <c r="AA15" s="707">
        <v>0</v>
      </c>
      <c r="AB15" s="707">
        <v>0</v>
      </c>
      <c r="AC15" s="707">
        <v>0</v>
      </c>
      <c r="AD15" s="708"/>
      <c r="AF15" s="556">
        <f t="shared" si="0"/>
        <v>311.56945881205661</v>
      </c>
      <c r="AG15" s="557">
        <f t="shared" si="1"/>
        <v>37080.669163952371</v>
      </c>
      <c r="AH15" s="557">
        <f t="shared" si="2"/>
        <v>0</v>
      </c>
      <c r="AI15" s="557">
        <f t="shared" si="3"/>
        <v>0</v>
      </c>
      <c r="AJ15" s="557">
        <f t="shared" si="4"/>
        <v>38817.787667375051</v>
      </c>
      <c r="AK15" s="557">
        <f t="shared" si="5"/>
        <v>0</v>
      </c>
      <c r="AL15" s="557">
        <f t="shared" si="6"/>
        <v>0</v>
      </c>
      <c r="AM15" s="557">
        <f t="shared" si="7"/>
        <v>0</v>
      </c>
      <c r="AN15" s="557">
        <f t="shared" si="8"/>
        <v>0</v>
      </c>
      <c r="AO15" s="557">
        <f t="shared" si="9"/>
        <v>0</v>
      </c>
      <c r="AP15" s="557">
        <f t="shared" si="10"/>
        <v>0</v>
      </c>
      <c r="AQ15" s="557">
        <f t="shared" si="11"/>
        <v>0</v>
      </c>
      <c r="AR15" s="557">
        <f t="shared" si="12"/>
        <v>0</v>
      </c>
      <c r="AS15" s="469">
        <f t="shared" si="13"/>
        <v>76210.026290139474</v>
      </c>
    </row>
    <row r="16" spans="2:45" s="458" customFormat="1" x14ac:dyDescent="0.2">
      <c r="B16" s="634" t="s">
        <v>670</v>
      </c>
      <c r="C16" s="579"/>
      <c r="D16" s="580">
        <v>19.678000000000001</v>
      </c>
      <c r="E16" s="581">
        <v>0</v>
      </c>
      <c r="F16" s="581">
        <v>0</v>
      </c>
      <c r="G16" s="581">
        <v>9.7799999999999994</v>
      </c>
      <c r="H16" s="581">
        <v>0</v>
      </c>
      <c r="I16" s="581">
        <v>0</v>
      </c>
      <c r="J16" s="581">
        <v>7.7759999999999998</v>
      </c>
      <c r="K16" s="581">
        <v>1.861</v>
      </c>
      <c r="L16" s="581">
        <v>0</v>
      </c>
      <c r="M16" s="581">
        <v>0</v>
      </c>
      <c r="N16" s="581">
        <v>0</v>
      </c>
      <c r="O16" s="581">
        <v>0</v>
      </c>
      <c r="P16" s="582">
        <v>0</v>
      </c>
      <c r="R16" s="704">
        <v>6546.679367207641</v>
      </c>
      <c r="S16" s="707">
        <v>0</v>
      </c>
      <c r="T16" s="707">
        <v>0</v>
      </c>
      <c r="U16" s="707">
        <v>849445.1711176812</v>
      </c>
      <c r="V16" s="707">
        <v>0</v>
      </c>
      <c r="W16" s="707">
        <v>0</v>
      </c>
      <c r="X16" s="707">
        <v>1153521.6860541257</v>
      </c>
      <c r="Y16" s="707">
        <v>1508497.2585641092</v>
      </c>
      <c r="Z16" s="707">
        <v>0</v>
      </c>
      <c r="AA16" s="707">
        <v>0</v>
      </c>
      <c r="AB16" s="707">
        <v>0</v>
      </c>
      <c r="AC16" s="707">
        <v>0</v>
      </c>
      <c r="AD16" s="708"/>
      <c r="AF16" s="556">
        <f t="shared" si="0"/>
        <v>1288.2555658791196</v>
      </c>
      <c r="AG16" s="557">
        <f t="shared" si="1"/>
        <v>0</v>
      </c>
      <c r="AH16" s="557">
        <f t="shared" si="2"/>
        <v>0</v>
      </c>
      <c r="AI16" s="557">
        <f t="shared" si="3"/>
        <v>83075.737735309216</v>
      </c>
      <c r="AJ16" s="557">
        <f t="shared" si="4"/>
        <v>0</v>
      </c>
      <c r="AK16" s="557">
        <f t="shared" si="5"/>
        <v>0</v>
      </c>
      <c r="AL16" s="557">
        <f t="shared" si="6"/>
        <v>89697.846307568805</v>
      </c>
      <c r="AM16" s="557">
        <f t="shared" si="7"/>
        <v>28073.133981878076</v>
      </c>
      <c r="AN16" s="557">
        <f t="shared" si="8"/>
        <v>0</v>
      </c>
      <c r="AO16" s="557">
        <f t="shared" si="9"/>
        <v>0</v>
      </c>
      <c r="AP16" s="557">
        <f t="shared" si="10"/>
        <v>0</v>
      </c>
      <c r="AQ16" s="557">
        <f t="shared" si="11"/>
        <v>0</v>
      </c>
      <c r="AR16" s="557">
        <f t="shared" si="12"/>
        <v>0</v>
      </c>
      <c r="AS16" s="469">
        <f t="shared" si="13"/>
        <v>202134.97359063523</v>
      </c>
    </row>
    <row r="17" spans="2:45" s="458" customFormat="1" x14ac:dyDescent="0.2">
      <c r="B17" s="634" t="s">
        <v>671</v>
      </c>
      <c r="C17" s="579"/>
      <c r="D17" s="580">
        <v>0</v>
      </c>
      <c r="E17" s="581">
        <v>0</v>
      </c>
      <c r="F17" s="581">
        <v>0</v>
      </c>
      <c r="G17" s="581">
        <v>8.9130000000000003</v>
      </c>
      <c r="H17" s="581">
        <v>0</v>
      </c>
      <c r="I17" s="581">
        <v>0</v>
      </c>
      <c r="J17" s="581">
        <v>5.2220000000000004</v>
      </c>
      <c r="K17" s="581">
        <v>2.0750000000000002</v>
      </c>
      <c r="L17" s="581">
        <v>0</v>
      </c>
      <c r="M17" s="581">
        <v>0</v>
      </c>
      <c r="N17" s="581">
        <v>42.68</v>
      </c>
      <c r="O17" s="581">
        <v>0</v>
      </c>
      <c r="P17" s="582">
        <v>0</v>
      </c>
      <c r="R17" s="704">
        <v>48172.706514614823</v>
      </c>
      <c r="S17" s="707">
        <v>0</v>
      </c>
      <c r="T17" s="707">
        <v>0</v>
      </c>
      <c r="U17" s="707">
        <v>3089851.3218058241</v>
      </c>
      <c r="V17" s="707">
        <v>0</v>
      </c>
      <c r="W17" s="707">
        <v>0</v>
      </c>
      <c r="X17" s="707">
        <v>4905638.0836019199</v>
      </c>
      <c r="Y17" s="707">
        <v>7484286.2595233629</v>
      </c>
      <c r="Z17" s="707">
        <v>0</v>
      </c>
      <c r="AA17" s="707">
        <v>0</v>
      </c>
      <c r="AB17" s="707">
        <v>593374.18803061428</v>
      </c>
      <c r="AC17" s="707">
        <v>0</v>
      </c>
      <c r="AD17" s="708"/>
      <c r="AF17" s="556">
        <f t="shared" si="0"/>
        <v>0</v>
      </c>
      <c r="AG17" s="557">
        <f t="shared" si="1"/>
        <v>0</v>
      </c>
      <c r="AH17" s="557">
        <f t="shared" si="2"/>
        <v>0</v>
      </c>
      <c r="AI17" s="557">
        <f t="shared" si="3"/>
        <v>275398.44831255311</v>
      </c>
      <c r="AJ17" s="557">
        <f t="shared" si="4"/>
        <v>0</v>
      </c>
      <c r="AK17" s="557">
        <f t="shared" si="5"/>
        <v>0</v>
      </c>
      <c r="AL17" s="557">
        <f t="shared" si="6"/>
        <v>256172.42072569227</v>
      </c>
      <c r="AM17" s="557">
        <f t="shared" si="7"/>
        <v>155298.93988510978</v>
      </c>
      <c r="AN17" s="557">
        <f t="shared" si="8"/>
        <v>0</v>
      </c>
      <c r="AO17" s="557">
        <f t="shared" si="9"/>
        <v>0</v>
      </c>
      <c r="AP17" s="557">
        <f t="shared" si="10"/>
        <v>253252.10345146619</v>
      </c>
      <c r="AQ17" s="557">
        <f t="shared" si="11"/>
        <v>0</v>
      </c>
      <c r="AR17" s="557">
        <f t="shared" si="12"/>
        <v>0</v>
      </c>
      <c r="AS17" s="469">
        <f t="shared" si="13"/>
        <v>940121.91237482138</v>
      </c>
    </row>
    <row r="18" spans="2:45" s="458" customFormat="1" x14ac:dyDescent="0.2">
      <c r="B18" s="634" t="s">
        <v>672</v>
      </c>
      <c r="C18" s="579"/>
      <c r="D18" s="580">
        <v>0</v>
      </c>
      <c r="E18" s="581">
        <v>0</v>
      </c>
      <c r="F18" s="581">
        <v>0</v>
      </c>
      <c r="G18" s="581">
        <v>7.76</v>
      </c>
      <c r="H18" s="581">
        <v>0</v>
      </c>
      <c r="I18" s="581">
        <v>0</v>
      </c>
      <c r="J18" s="581">
        <v>5.9649999999999999</v>
      </c>
      <c r="K18" s="581">
        <v>1.7529999999999999</v>
      </c>
      <c r="L18" s="581">
        <v>0</v>
      </c>
      <c r="M18" s="581">
        <v>0</v>
      </c>
      <c r="N18" s="581">
        <v>68.290999999999997</v>
      </c>
      <c r="O18" s="581">
        <v>0</v>
      </c>
      <c r="P18" s="582">
        <v>0</v>
      </c>
      <c r="R18" s="704">
        <v>3377.2963478435508</v>
      </c>
      <c r="S18" s="707">
        <v>0</v>
      </c>
      <c r="T18" s="707">
        <v>0</v>
      </c>
      <c r="U18" s="707">
        <v>108342.11368740152</v>
      </c>
      <c r="V18" s="707">
        <v>0</v>
      </c>
      <c r="W18" s="707">
        <v>0</v>
      </c>
      <c r="X18" s="707">
        <v>359846.06235580798</v>
      </c>
      <c r="Y18" s="707">
        <v>701806.42737128097</v>
      </c>
      <c r="Z18" s="707">
        <v>0</v>
      </c>
      <c r="AA18" s="707">
        <v>0</v>
      </c>
      <c r="AB18" s="707">
        <v>83234.846769077732</v>
      </c>
      <c r="AC18" s="707">
        <v>0</v>
      </c>
      <c r="AD18" s="708"/>
      <c r="AF18" s="556">
        <f t="shared" si="0"/>
        <v>0</v>
      </c>
      <c r="AG18" s="557">
        <f t="shared" si="1"/>
        <v>0</v>
      </c>
      <c r="AH18" s="557">
        <f t="shared" si="2"/>
        <v>0</v>
      </c>
      <c r="AI18" s="557">
        <f t="shared" si="3"/>
        <v>8407.3480221423579</v>
      </c>
      <c r="AJ18" s="557">
        <f t="shared" si="4"/>
        <v>0</v>
      </c>
      <c r="AK18" s="557">
        <f t="shared" si="5"/>
        <v>0</v>
      </c>
      <c r="AL18" s="557">
        <f t="shared" si="6"/>
        <v>21464.817619523947</v>
      </c>
      <c r="AM18" s="557">
        <f t="shared" si="7"/>
        <v>12302.666671818555</v>
      </c>
      <c r="AN18" s="557">
        <f t="shared" si="8"/>
        <v>0</v>
      </c>
      <c r="AO18" s="557">
        <f t="shared" si="9"/>
        <v>0</v>
      </c>
      <c r="AP18" s="557">
        <f t="shared" si="10"/>
        <v>56841.909207070872</v>
      </c>
      <c r="AQ18" s="557">
        <f t="shared" si="11"/>
        <v>0</v>
      </c>
      <c r="AR18" s="557">
        <f t="shared" si="12"/>
        <v>0</v>
      </c>
      <c r="AS18" s="469">
        <f t="shared" si="13"/>
        <v>99016.741520555734</v>
      </c>
    </row>
    <row r="19" spans="2:45" s="458" customFormat="1" x14ac:dyDescent="0.2">
      <c r="B19" s="634" t="s">
        <v>673</v>
      </c>
      <c r="C19" s="579"/>
      <c r="D19" s="580">
        <v>0</v>
      </c>
      <c r="E19" s="581">
        <v>0</v>
      </c>
      <c r="F19" s="581">
        <v>0</v>
      </c>
      <c r="G19" s="581">
        <v>1.4059999999999999</v>
      </c>
      <c r="H19" s="581">
        <v>0</v>
      </c>
      <c r="I19" s="581">
        <v>0</v>
      </c>
      <c r="J19" s="581">
        <v>1.1919999999999999</v>
      </c>
      <c r="K19" s="581">
        <v>1.18</v>
      </c>
      <c r="L19" s="581">
        <v>0</v>
      </c>
      <c r="M19" s="581">
        <v>14.196</v>
      </c>
      <c r="N19" s="581">
        <v>21.178000000000001</v>
      </c>
      <c r="O19" s="581">
        <v>0</v>
      </c>
      <c r="P19" s="582">
        <v>0</v>
      </c>
      <c r="R19" s="704">
        <v>764344.95686236827</v>
      </c>
      <c r="S19" s="707">
        <v>0</v>
      </c>
      <c r="T19" s="707">
        <v>0</v>
      </c>
      <c r="U19" s="707">
        <v>460132576.88722563</v>
      </c>
      <c r="V19" s="707">
        <v>0</v>
      </c>
      <c r="W19" s="707">
        <v>0</v>
      </c>
      <c r="X19" s="707">
        <v>673775020.51341701</v>
      </c>
      <c r="Y19" s="707">
        <v>1285828208.3606589</v>
      </c>
      <c r="Z19" s="707">
        <v>0</v>
      </c>
      <c r="AA19" s="707">
        <v>322292593.38509929</v>
      </c>
      <c r="AB19" s="707">
        <v>94706335.244417608</v>
      </c>
      <c r="AC19" s="707">
        <v>0</v>
      </c>
      <c r="AD19" s="708"/>
      <c r="AF19" s="556">
        <f t="shared" si="0"/>
        <v>0</v>
      </c>
      <c r="AG19" s="557">
        <f t="shared" si="1"/>
        <v>0</v>
      </c>
      <c r="AH19" s="557">
        <f t="shared" si="2"/>
        <v>0</v>
      </c>
      <c r="AI19" s="557">
        <f t="shared" si="3"/>
        <v>6469464.0310343923</v>
      </c>
      <c r="AJ19" s="557">
        <f t="shared" si="4"/>
        <v>0</v>
      </c>
      <c r="AK19" s="557">
        <f t="shared" si="5"/>
        <v>0</v>
      </c>
      <c r="AL19" s="557">
        <f t="shared" si="6"/>
        <v>8031398.2445199303</v>
      </c>
      <c r="AM19" s="557">
        <f t="shared" si="7"/>
        <v>15172772.858655775</v>
      </c>
      <c r="AN19" s="557">
        <f t="shared" si="8"/>
        <v>0</v>
      </c>
      <c r="AO19" s="557">
        <f t="shared" si="9"/>
        <v>45752656.556948699</v>
      </c>
      <c r="AP19" s="557">
        <f t="shared" si="10"/>
        <v>20056907.678062759</v>
      </c>
      <c r="AQ19" s="557">
        <f t="shared" si="11"/>
        <v>0</v>
      </c>
      <c r="AR19" s="557">
        <f t="shared" si="12"/>
        <v>0</v>
      </c>
      <c r="AS19" s="469">
        <f t="shared" si="13"/>
        <v>95483199.369221568</v>
      </c>
    </row>
    <row r="20" spans="2:45" s="458" customFormat="1" x14ac:dyDescent="0.2">
      <c r="B20" s="634" t="s">
        <v>674</v>
      </c>
      <c r="C20" s="579"/>
      <c r="D20" s="580">
        <v>0</v>
      </c>
      <c r="E20" s="581">
        <v>0</v>
      </c>
      <c r="F20" s="581">
        <v>0</v>
      </c>
      <c r="G20" s="581">
        <v>0</v>
      </c>
      <c r="H20" s="581">
        <v>0</v>
      </c>
      <c r="I20" s="581">
        <v>0</v>
      </c>
      <c r="J20" s="581">
        <v>0</v>
      </c>
      <c r="K20" s="581">
        <v>0</v>
      </c>
      <c r="L20" s="581">
        <v>0</v>
      </c>
      <c r="M20" s="581">
        <v>0</v>
      </c>
      <c r="N20" s="581">
        <v>0</v>
      </c>
      <c r="O20" s="581">
        <v>0</v>
      </c>
      <c r="P20" s="582">
        <v>0</v>
      </c>
      <c r="R20" s="704">
        <v>0</v>
      </c>
      <c r="S20" s="707">
        <v>0</v>
      </c>
      <c r="T20" s="707">
        <v>0</v>
      </c>
      <c r="U20" s="707">
        <v>0</v>
      </c>
      <c r="V20" s="707">
        <v>0</v>
      </c>
      <c r="W20" s="707">
        <v>0</v>
      </c>
      <c r="X20" s="707">
        <v>0</v>
      </c>
      <c r="Y20" s="707">
        <v>0</v>
      </c>
      <c r="Z20" s="707">
        <v>0</v>
      </c>
      <c r="AA20" s="707">
        <v>0</v>
      </c>
      <c r="AB20" s="707">
        <v>0</v>
      </c>
      <c r="AC20" s="707">
        <v>0</v>
      </c>
      <c r="AD20" s="708"/>
      <c r="AF20" s="556">
        <f t="shared" si="0"/>
        <v>0</v>
      </c>
      <c r="AG20" s="557">
        <f t="shared" si="1"/>
        <v>0</v>
      </c>
      <c r="AH20" s="557">
        <f t="shared" si="2"/>
        <v>0</v>
      </c>
      <c r="AI20" s="557">
        <f t="shared" si="3"/>
        <v>0</v>
      </c>
      <c r="AJ20" s="557">
        <f t="shared" si="4"/>
        <v>0</v>
      </c>
      <c r="AK20" s="557">
        <f t="shared" si="5"/>
        <v>0</v>
      </c>
      <c r="AL20" s="557">
        <f t="shared" si="6"/>
        <v>0</v>
      </c>
      <c r="AM20" s="557">
        <f t="shared" si="7"/>
        <v>0</v>
      </c>
      <c r="AN20" s="557">
        <f t="shared" si="8"/>
        <v>0</v>
      </c>
      <c r="AO20" s="557">
        <f t="shared" si="9"/>
        <v>0</v>
      </c>
      <c r="AP20" s="557">
        <f t="shared" si="10"/>
        <v>0</v>
      </c>
      <c r="AQ20" s="557">
        <f t="shared" si="11"/>
        <v>0</v>
      </c>
      <c r="AR20" s="557">
        <f t="shared" si="12"/>
        <v>0</v>
      </c>
      <c r="AS20" s="469">
        <f t="shared" si="13"/>
        <v>0</v>
      </c>
    </row>
    <row r="21" spans="2:45" s="458" customFormat="1" x14ac:dyDescent="0.2">
      <c r="B21" s="634" t="s">
        <v>675</v>
      </c>
      <c r="C21" s="579"/>
      <c r="D21" s="580">
        <v>0</v>
      </c>
      <c r="E21" s="581">
        <v>0</v>
      </c>
      <c r="F21" s="581">
        <v>0</v>
      </c>
      <c r="G21" s="581">
        <v>0.84299999999999997</v>
      </c>
      <c r="H21" s="581">
        <v>0</v>
      </c>
      <c r="I21" s="581">
        <v>0</v>
      </c>
      <c r="J21" s="581">
        <v>0.74399999999999999</v>
      </c>
      <c r="K21" s="581">
        <v>0.73099999999999998</v>
      </c>
      <c r="L21" s="581">
        <v>0</v>
      </c>
      <c r="M21" s="581">
        <v>8.5909999999999993</v>
      </c>
      <c r="N21" s="581">
        <v>11.798</v>
      </c>
      <c r="O21" s="581">
        <v>0</v>
      </c>
      <c r="P21" s="582">
        <v>0</v>
      </c>
      <c r="R21" s="704">
        <v>23617.124230962414</v>
      </c>
      <c r="S21" s="707">
        <v>0</v>
      </c>
      <c r="T21" s="707">
        <v>0</v>
      </c>
      <c r="U21" s="707">
        <v>174081366.56664249</v>
      </c>
      <c r="V21" s="707">
        <v>0</v>
      </c>
      <c r="W21" s="707">
        <v>0</v>
      </c>
      <c r="X21" s="707">
        <v>259668945.42942247</v>
      </c>
      <c r="Y21" s="707">
        <v>644419593.14659941</v>
      </c>
      <c r="Z21" s="707">
        <v>0</v>
      </c>
      <c r="AA21" s="707">
        <v>104174290.29862042</v>
      </c>
      <c r="AB21" s="707">
        <v>32696351.560311582</v>
      </c>
      <c r="AC21" s="707">
        <v>0</v>
      </c>
      <c r="AD21" s="708"/>
      <c r="AF21" s="556">
        <f t="shared" si="0"/>
        <v>0</v>
      </c>
      <c r="AG21" s="557">
        <f t="shared" si="1"/>
        <v>0</v>
      </c>
      <c r="AH21" s="557">
        <f t="shared" si="2"/>
        <v>0</v>
      </c>
      <c r="AI21" s="557">
        <f t="shared" si="3"/>
        <v>1467505.9201567962</v>
      </c>
      <c r="AJ21" s="557">
        <f t="shared" si="4"/>
        <v>0</v>
      </c>
      <c r="AK21" s="557">
        <f t="shared" si="5"/>
        <v>0</v>
      </c>
      <c r="AL21" s="557">
        <f t="shared" si="6"/>
        <v>1931936.953994903</v>
      </c>
      <c r="AM21" s="557">
        <f t="shared" si="7"/>
        <v>4710707.2259016419</v>
      </c>
      <c r="AN21" s="557">
        <f t="shared" si="8"/>
        <v>0</v>
      </c>
      <c r="AO21" s="557">
        <f t="shared" si="9"/>
        <v>8949613.2795544788</v>
      </c>
      <c r="AP21" s="557">
        <f t="shared" si="10"/>
        <v>3857515.5570855606</v>
      </c>
      <c r="AQ21" s="557">
        <f t="shared" si="11"/>
        <v>0</v>
      </c>
      <c r="AR21" s="557">
        <f t="shared" si="12"/>
        <v>0</v>
      </c>
      <c r="AS21" s="469">
        <f t="shared" si="13"/>
        <v>20917278.936693378</v>
      </c>
    </row>
    <row r="22" spans="2:45" s="458" customFormat="1" x14ac:dyDescent="0.2">
      <c r="B22" s="634" t="s">
        <v>676</v>
      </c>
      <c r="C22" s="579"/>
      <c r="D22" s="580">
        <v>0</v>
      </c>
      <c r="E22" s="581">
        <v>0</v>
      </c>
      <c r="F22" s="581">
        <v>0</v>
      </c>
      <c r="G22" s="581">
        <v>0</v>
      </c>
      <c r="H22" s="581">
        <v>0</v>
      </c>
      <c r="I22" s="581">
        <v>0</v>
      </c>
      <c r="J22" s="581">
        <v>0</v>
      </c>
      <c r="K22" s="581">
        <v>0</v>
      </c>
      <c r="L22" s="581">
        <v>0</v>
      </c>
      <c r="M22" s="581">
        <v>0</v>
      </c>
      <c r="N22" s="581">
        <v>0</v>
      </c>
      <c r="O22" s="581">
        <v>0</v>
      </c>
      <c r="P22" s="582">
        <v>0</v>
      </c>
      <c r="R22" s="704">
        <v>0</v>
      </c>
      <c r="S22" s="707">
        <v>0</v>
      </c>
      <c r="T22" s="707">
        <v>0</v>
      </c>
      <c r="U22" s="707">
        <v>0</v>
      </c>
      <c r="V22" s="707">
        <v>0</v>
      </c>
      <c r="W22" s="707">
        <v>0</v>
      </c>
      <c r="X22" s="707">
        <v>0</v>
      </c>
      <c r="Y22" s="707">
        <v>0</v>
      </c>
      <c r="Z22" s="707">
        <v>0</v>
      </c>
      <c r="AA22" s="707">
        <v>0</v>
      </c>
      <c r="AB22" s="707">
        <v>0</v>
      </c>
      <c r="AC22" s="707">
        <v>0</v>
      </c>
      <c r="AD22" s="708"/>
      <c r="AF22" s="556">
        <f t="shared" si="0"/>
        <v>0</v>
      </c>
      <c r="AG22" s="557">
        <f t="shared" si="1"/>
        <v>0</v>
      </c>
      <c r="AH22" s="557">
        <f t="shared" si="2"/>
        <v>0</v>
      </c>
      <c r="AI22" s="557">
        <f t="shared" si="3"/>
        <v>0</v>
      </c>
      <c r="AJ22" s="557">
        <f t="shared" si="4"/>
        <v>0</v>
      </c>
      <c r="AK22" s="557">
        <f t="shared" si="5"/>
        <v>0</v>
      </c>
      <c r="AL22" s="557">
        <f t="shared" si="6"/>
        <v>0</v>
      </c>
      <c r="AM22" s="557">
        <f t="shared" si="7"/>
        <v>0</v>
      </c>
      <c r="AN22" s="557">
        <f t="shared" si="8"/>
        <v>0</v>
      </c>
      <c r="AO22" s="557">
        <f t="shared" si="9"/>
        <v>0</v>
      </c>
      <c r="AP22" s="557">
        <f t="shared" si="10"/>
        <v>0</v>
      </c>
      <c r="AQ22" s="557">
        <f t="shared" si="11"/>
        <v>0</v>
      </c>
      <c r="AR22" s="557">
        <f t="shared" si="12"/>
        <v>0</v>
      </c>
      <c r="AS22" s="469">
        <f t="shared" si="13"/>
        <v>0</v>
      </c>
    </row>
    <row r="23" spans="2:45" s="458" customFormat="1" x14ac:dyDescent="0.2">
      <c r="B23" s="634" t="s">
        <v>677</v>
      </c>
      <c r="C23" s="579"/>
      <c r="D23" s="580">
        <v>0</v>
      </c>
      <c r="E23" s="581">
        <v>0</v>
      </c>
      <c r="F23" s="581">
        <v>0</v>
      </c>
      <c r="G23" s="581">
        <v>0.48</v>
      </c>
      <c r="H23" s="581">
        <v>0</v>
      </c>
      <c r="I23" s="581">
        <v>0</v>
      </c>
      <c r="J23" s="581">
        <v>0.374</v>
      </c>
      <c r="K23" s="581">
        <v>0.32400000000000001</v>
      </c>
      <c r="L23" s="581">
        <v>0</v>
      </c>
      <c r="M23" s="581">
        <v>0.84099999999999997</v>
      </c>
      <c r="N23" s="581">
        <v>1.232</v>
      </c>
      <c r="O23" s="581">
        <v>0</v>
      </c>
      <c r="P23" s="582">
        <v>0</v>
      </c>
      <c r="R23" s="704">
        <v>254.9822872220187</v>
      </c>
      <c r="S23" s="707">
        <v>0</v>
      </c>
      <c r="T23" s="707">
        <v>0</v>
      </c>
      <c r="U23" s="707">
        <v>8490617.7384865712</v>
      </c>
      <c r="V23" s="707">
        <v>0</v>
      </c>
      <c r="W23" s="707">
        <v>0</v>
      </c>
      <c r="X23" s="707">
        <v>11592624.597042518</v>
      </c>
      <c r="Y23" s="707">
        <v>16560893.601771353</v>
      </c>
      <c r="Z23" s="707">
        <v>0</v>
      </c>
      <c r="AA23" s="707">
        <v>4295974.8330156021</v>
      </c>
      <c r="AB23" s="707">
        <v>1468306.6399210575</v>
      </c>
      <c r="AC23" s="707">
        <v>0</v>
      </c>
      <c r="AD23" s="708"/>
      <c r="AF23" s="556">
        <f t="shared" si="0"/>
        <v>0</v>
      </c>
      <c r="AG23" s="557">
        <f t="shared" si="1"/>
        <v>0</v>
      </c>
      <c r="AH23" s="557">
        <f t="shared" si="2"/>
        <v>0</v>
      </c>
      <c r="AI23" s="557">
        <f t="shared" si="3"/>
        <v>40754.965144735535</v>
      </c>
      <c r="AJ23" s="557">
        <f t="shared" si="4"/>
        <v>0</v>
      </c>
      <c r="AK23" s="557">
        <f t="shared" si="5"/>
        <v>0</v>
      </c>
      <c r="AL23" s="557">
        <f t="shared" si="6"/>
        <v>43356.415992939015</v>
      </c>
      <c r="AM23" s="557">
        <f t="shared" si="7"/>
        <v>53657.295269739188</v>
      </c>
      <c r="AN23" s="557">
        <f t="shared" si="8"/>
        <v>0</v>
      </c>
      <c r="AO23" s="557">
        <f t="shared" si="9"/>
        <v>36129.148345661211</v>
      </c>
      <c r="AP23" s="557">
        <f t="shared" si="10"/>
        <v>18089.537803827428</v>
      </c>
      <c r="AQ23" s="557">
        <f t="shared" si="11"/>
        <v>0</v>
      </c>
      <c r="AR23" s="557">
        <f t="shared" si="12"/>
        <v>0</v>
      </c>
      <c r="AS23" s="469">
        <f t="shared" si="13"/>
        <v>191987.36255690237</v>
      </c>
    </row>
    <row r="24" spans="2:45" s="458" customFormat="1" x14ac:dyDescent="0.2">
      <c r="B24" s="634" t="s">
        <v>678</v>
      </c>
      <c r="C24" s="579"/>
      <c r="D24" s="580">
        <v>6.53</v>
      </c>
      <c r="E24" s="581">
        <v>0</v>
      </c>
      <c r="F24" s="581">
        <v>4.4240000000000004</v>
      </c>
      <c r="G24" s="581">
        <v>15.698</v>
      </c>
      <c r="H24" s="581">
        <v>0</v>
      </c>
      <c r="I24" s="581">
        <v>0</v>
      </c>
      <c r="J24" s="581">
        <v>9.2520000000000007</v>
      </c>
      <c r="K24" s="581">
        <v>3.0270000000000001</v>
      </c>
      <c r="L24" s="581">
        <v>3.2589999999999999</v>
      </c>
      <c r="M24" s="581">
        <v>0</v>
      </c>
      <c r="N24" s="581">
        <v>0</v>
      </c>
      <c r="O24" s="581">
        <v>0</v>
      </c>
      <c r="P24" s="582">
        <v>0</v>
      </c>
      <c r="R24" s="704">
        <v>15646965.572124485</v>
      </c>
      <c r="S24" s="707">
        <v>0</v>
      </c>
      <c r="T24" s="707">
        <v>12981338.044567086</v>
      </c>
      <c r="U24" s="707">
        <v>24005631.63872676</v>
      </c>
      <c r="V24" s="707">
        <v>0</v>
      </c>
      <c r="W24" s="707">
        <v>0</v>
      </c>
      <c r="X24" s="707">
        <v>44926998.687545806</v>
      </c>
      <c r="Y24" s="707">
        <v>113601967.92548038</v>
      </c>
      <c r="Z24" s="707">
        <v>24041636.918775704</v>
      </c>
      <c r="AA24" s="707">
        <v>0</v>
      </c>
      <c r="AB24" s="707">
        <v>0</v>
      </c>
      <c r="AC24" s="707">
        <v>0</v>
      </c>
      <c r="AD24" s="708"/>
      <c r="AF24" s="556">
        <f t="shared" si="0"/>
        <v>1021746.8518597288</v>
      </c>
      <c r="AG24" s="557">
        <f t="shared" si="1"/>
        <v>0</v>
      </c>
      <c r="AH24" s="557">
        <f t="shared" si="2"/>
        <v>574294.39509164786</v>
      </c>
      <c r="AI24" s="557">
        <f t="shared" si="3"/>
        <v>3768404.0546473269</v>
      </c>
      <c r="AJ24" s="557">
        <f t="shared" si="4"/>
        <v>0</v>
      </c>
      <c r="AK24" s="557">
        <f t="shared" si="5"/>
        <v>0</v>
      </c>
      <c r="AL24" s="557">
        <f t="shared" si="6"/>
        <v>4156645.9185717381</v>
      </c>
      <c r="AM24" s="557">
        <f t="shared" si="7"/>
        <v>3438731.5691042915</v>
      </c>
      <c r="AN24" s="557">
        <f t="shared" si="8"/>
        <v>783516.94718290016</v>
      </c>
      <c r="AO24" s="557">
        <f t="shared" si="9"/>
        <v>0</v>
      </c>
      <c r="AP24" s="557">
        <f t="shared" si="10"/>
        <v>0</v>
      </c>
      <c r="AQ24" s="557">
        <f t="shared" si="11"/>
        <v>0</v>
      </c>
      <c r="AR24" s="557">
        <f t="shared" si="12"/>
        <v>0</v>
      </c>
      <c r="AS24" s="469">
        <f t="shared" si="13"/>
        <v>13743339.736457633</v>
      </c>
    </row>
    <row r="25" spans="2:45" s="458" customFormat="1" x14ac:dyDescent="0.2">
      <c r="B25" s="634" t="s">
        <v>679</v>
      </c>
      <c r="C25" s="579"/>
      <c r="D25" s="580">
        <v>6.774</v>
      </c>
      <c r="E25" s="581">
        <v>0</v>
      </c>
      <c r="F25" s="581">
        <v>5.4870000000000001</v>
      </c>
      <c r="G25" s="581">
        <v>17.7</v>
      </c>
      <c r="H25" s="581">
        <v>0</v>
      </c>
      <c r="I25" s="581">
        <v>0</v>
      </c>
      <c r="J25" s="581">
        <v>11</v>
      </c>
      <c r="K25" s="581">
        <v>4.1929999999999996</v>
      </c>
      <c r="L25" s="581">
        <v>4.4080000000000004</v>
      </c>
      <c r="M25" s="581">
        <v>0</v>
      </c>
      <c r="N25" s="581">
        <v>0</v>
      </c>
      <c r="O25" s="581">
        <v>0</v>
      </c>
      <c r="P25" s="582">
        <v>0</v>
      </c>
      <c r="R25" s="704">
        <v>698982.3764513043</v>
      </c>
      <c r="S25" s="707">
        <v>0</v>
      </c>
      <c r="T25" s="707">
        <v>458383.27284907468</v>
      </c>
      <c r="U25" s="707">
        <v>704379.18300563958</v>
      </c>
      <c r="V25" s="707">
        <v>0</v>
      </c>
      <c r="W25" s="707">
        <v>0</v>
      </c>
      <c r="X25" s="707">
        <v>1715045.284054603</v>
      </c>
      <c r="Y25" s="707">
        <v>5147486.2983944518</v>
      </c>
      <c r="Z25" s="707">
        <v>1156234.759408884</v>
      </c>
      <c r="AA25" s="707">
        <v>0</v>
      </c>
      <c r="AB25" s="707">
        <v>0</v>
      </c>
      <c r="AC25" s="707">
        <v>0</v>
      </c>
      <c r="AD25" s="708"/>
      <c r="AF25" s="556">
        <f t="shared" si="0"/>
        <v>47349.066180811351</v>
      </c>
      <c r="AG25" s="557">
        <f t="shared" si="1"/>
        <v>0</v>
      </c>
      <c r="AH25" s="557">
        <f t="shared" si="2"/>
        <v>25151.490181228728</v>
      </c>
      <c r="AI25" s="557">
        <f t="shared" si="3"/>
        <v>124675.1153919982</v>
      </c>
      <c r="AJ25" s="557">
        <f t="shared" si="4"/>
        <v>0</v>
      </c>
      <c r="AK25" s="557">
        <f t="shared" si="5"/>
        <v>0</v>
      </c>
      <c r="AL25" s="557">
        <f t="shared" si="6"/>
        <v>188654.98124600633</v>
      </c>
      <c r="AM25" s="557">
        <f t="shared" si="7"/>
        <v>215834.10049167933</v>
      </c>
      <c r="AN25" s="557">
        <f t="shared" si="8"/>
        <v>50966.828194743604</v>
      </c>
      <c r="AO25" s="557">
        <f t="shared" si="9"/>
        <v>0</v>
      </c>
      <c r="AP25" s="557">
        <f t="shared" si="10"/>
        <v>0</v>
      </c>
      <c r="AQ25" s="557">
        <f t="shared" si="11"/>
        <v>0</v>
      </c>
      <c r="AR25" s="557">
        <f t="shared" si="12"/>
        <v>0</v>
      </c>
      <c r="AS25" s="469">
        <f t="shared" si="13"/>
        <v>652631.58168646751</v>
      </c>
    </row>
    <row r="26" spans="2:45" s="458" customFormat="1" x14ac:dyDescent="0.2">
      <c r="B26" s="634" t="s">
        <v>680</v>
      </c>
      <c r="C26" s="579"/>
      <c r="D26" s="580">
        <v>0</v>
      </c>
      <c r="E26" s="581">
        <v>0</v>
      </c>
      <c r="F26" s="581">
        <v>0</v>
      </c>
      <c r="G26" s="581">
        <v>9.6460000000000008</v>
      </c>
      <c r="H26" s="581">
        <v>0</v>
      </c>
      <c r="I26" s="581">
        <v>0</v>
      </c>
      <c r="J26" s="581">
        <v>5.86</v>
      </c>
      <c r="K26" s="581">
        <v>2.8290000000000002</v>
      </c>
      <c r="L26" s="581">
        <v>0</v>
      </c>
      <c r="M26" s="581">
        <v>0</v>
      </c>
      <c r="N26" s="581">
        <v>41.890999999999998</v>
      </c>
      <c r="O26" s="581">
        <v>0</v>
      </c>
      <c r="P26" s="582">
        <v>0</v>
      </c>
      <c r="R26" s="704">
        <v>168848.19915218107</v>
      </c>
      <c r="S26" s="707">
        <v>0</v>
      </c>
      <c r="T26" s="707">
        <v>0</v>
      </c>
      <c r="U26" s="707">
        <v>4805127.267966155</v>
      </c>
      <c r="V26" s="707">
        <v>0</v>
      </c>
      <c r="W26" s="707">
        <v>0</v>
      </c>
      <c r="X26" s="707">
        <v>8039117.8005384253</v>
      </c>
      <c r="Y26" s="707">
        <v>9760139.2286830526</v>
      </c>
      <c r="Z26" s="707">
        <v>0</v>
      </c>
      <c r="AA26" s="707">
        <v>0</v>
      </c>
      <c r="AB26" s="707">
        <v>812870.66145761427</v>
      </c>
      <c r="AC26" s="707">
        <v>0</v>
      </c>
      <c r="AD26" s="708"/>
      <c r="AF26" s="556">
        <f t="shared" si="0"/>
        <v>0</v>
      </c>
      <c r="AG26" s="557">
        <f t="shared" si="1"/>
        <v>0</v>
      </c>
      <c r="AH26" s="557">
        <f t="shared" si="2"/>
        <v>0</v>
      </c>
      <c r="AI26" s="557">
        <f t="shared" si="3"/>
        <v>463502.57626801531</v>
      </c>
      <c r="AJ26" s="557">
        <f t="shared" si="4"/>
        <v>0</v>
      </c>
      <c r="AK26" s="557">
        <f t="shared" si="5"/>
        <v>0</v>
      </c>
      <c r="AL26" s="557">
        <f t="shared" si="6"/>
        <v>471092.3031115518</v>
      </c>
      <c r="AM26" s="557">
        <f t="shared" si="7"/>
        <v>276114.33877944358</v>
      </c>
      <c r="AN26" s="557">
        <f t="shared" si="8"/>
        <v>0</v>
      </c>
      <c r="AO26" s="557">
        <f t="shared" si="9"/>
        <v>0</v>
      </c>
      <c r="AP26" s="557">
        <f t="shared" si="10"/>
        <v>340519.64879120921</v>
      </c>
      <c r="AQ26" s="557">
        <f t="shared" si="11"/>
        <v>0</v>
      </c>
      <c r="AR26" s="557">
        <f t="shared" si="12"/>
        <v>0</v>
      </c>
      <c r="AS26" s="469">
        <f t="shared" si="13"/>
        <v>1551228.86695022</v>
      </c>
    </row>
    <row r="27" spans="2:45" s="458" customFormat="1" x14ac:dyDescent="0.2">
      <c r="B27" s="634" t="s">
        <v>681</v>
      </c>
      <c r="C27" s="579"/>
      <c r="D27" s="580">
        <v>7.2949999999999999</v>
      </c>
      <c r="E27" s="581">
        <v>0</v>
      </c>
      <c r="F27" s="581">
        <v>4.7290000000000001</v>
      </c>
      <c r="G27" s="581">
        <v>17.414000000000001</v>
      </c>
      <c r="H27" s="581">
        <v>0</v>
      </c>
      <c r="I27" s="581">
        <v>0</v>
      </c>
      <c r="J27" s="581">
        <v>9.9960000000000004</v>
      </c>
      <c r="K27" s="581">
        <v>4.0090000000000003</v>
      </c>
      <c r="L27" s="581">
        <v>4.7290000000000001</v>
      </c>
      <c r="M27" s="581">
        <v>0</v>
      </c>
      <c r="N27" s="581">
        <v>0</v>
      </c>
      <c r="O27" s="581">
        <v>0</v>
      </c>
      <c r="P27" s="582">
        <v>0</v>
      </c>
      <c r="R27" s="704">
        <v>707665.9845626707</v>
      </c>
      <c r="S27" s="707">
        <v>0</v>
      </c>
      <c r="T27" s="707">
        <v>1751306.7666805629</v>
      </c>
      <c r="U27" s="707">
        <v>851710.93174947728</v>
      </c>
      <c r="V27" s="707">
        <v>0</v>
      </c>
      <c r="W27" s="707">
        <v>0</v>
      </c>
      <c r="X27" s="707">
        <v>1453136.0320939666</v>
      </c>
      <c r="Y27" s="707">
        <v>3614429.9433507249</v>
      </c>
      <c r="Z27" s="707">
        <v>3021129.6229164279</v>
      </c>
      <c r="AA27" s="707">
        <v>0</v>
      </c>
      <c r="AB27" s="707">
        <v>0</v>
      </c>
      <c r="AC27" s="707">
        <v>0</v>
      </c>
      <c r="AD27" s="708"/>
      <c r="AF27" s="556">
        <f t="shared" si="0"/>
        <v>51624.233573846825</v>
      </c>
      <c r="AG27" s="557">
        <f t="shared" si="1"/>
        <v>0</v>
      </c>
      <c r="AH27" s="557">
        <f t="shared" si="2"/>
        <v>82819.296996323814</v>
      </c>
      <c r="AI27" s="557">
        <f t="shared" si="3"/>
        <v>148316.94165485399</v>
      </c>
      <c r="AJ27" s="557">
        <f t="shared" si="4"/>
        <v>0</v>
      </c>
      <c r="AK27" s="557">
        <f t="shared" si="5"/>
        <v>0</v>
      </c>
      <c r="AL27" s="557">
        <f t="shared" si="6"/>
        <v>145255.47776811291</v>
      </c>
      <c r="AM27" s="557">
        <f t="shared" si="7"/>
        <v>144902.49642893055</v>
      </c>
      <c r="AN27" s="557">
        <f t="shared" si="8"/>
        <v>142869.21986771788</v>
      </c>
      <c r="AO27" s="557">
        <f t="shared" si="9"/>
        <v>0</v>
      </c>
      <c r="AP27" s="557">
        <f t="shared" si="10"/>
        <v>0</v>
      </c>
      <c r="AQ27" s="557">
        <f t="shared" si="11"/>
        <v>0</v>
      </c>
      <c r="AR27" s="557">
        <f t="shared" si="12"/>
        <v>0</v>
      </c>
      <c r="AS27" s="469">
        <f t="shared" si="13"/>
        <v>715787.66628978588</v>
      </c>
    </row>
    <row r="28" spans="2:45" s="458" customFormat="1" x14ac:dyDescent="0.2">
      <c r="B28" s="634" t="s">
        <v>682</v>
      </c>
      <c r="C28" s="579"/>
      <c r="D28" s="580">
        <v>0</v>
      </c>
      <c r="E28" s="581">
        <v>2.7120000000000002</v>
      </c>
      <c r="F28" s="581">
        <v>2.7120000000000002</v>
      </c>
      <c r="G28" s="581">
        <v>2.7120000000000002</v>
      </c>
      <c r="H28" s="581">
        <v>2.7120000000000002</v>
      </c>
      <c r="I28" s="581">
        <v>2.7120000000000002</v>
      </c>
      <c r="J28" s="581">
        <v>2.7120000000000002</v>
      </c>
      <c r="K28" s="581">
        <v>2.7120000000000002</v>
      </c>
      <c r="L28" s="581">
        <v>2.7120000000000002</v>
      </c>
      <c r="M28" s="581">
        <v>0</v>
      </c>
      <c r="N28" s="581">
        <v>0</v>
      </c>
      <c r="O28" s="581">
        <v>26.13</v>
      </c>
      <c r="P28" s="582">
        <v>10.311</v>
      </c>
      <c r="R28" s="704">
        <v>2826.3547375973726</v>
      </c>
      <c r="S28" s="707">
        <v>0</v>
      </c>
      <c r="T28" s="707">
        <v>0</v>
      </c>
      <c r="U28" s="707">
        <v>13329.577355123805</v>
      </c>
      <c r="V28" s="707">
        <v>0</v>
      </c>
      <c r="W28" s="707">
        <v>0</v>
      </c>
      <c r="X28" s="707">
        <v>24988.071743663233</v>
      </c>
      <c r="Y28" s="707">
        <v>0</v>
      </c>
      <c r="Z28" s="707">
        <v>0</v>
      </c>
      <c r="AA28" s="707">
        <v>0</v>
      </c>
      <c r="AB28" s="707">
        <v>0</v>
      </c>
      <c r="AC28" s="707">
        <v>3245.4217658789721</v>
      </c>
      <c r="AD28" s="708">
        <v>5347.9291775978709</v>
      </c>
      <c r="AF28" s="556">
        <f t="shared" si="0"/>
        <v>0</v>
      </c>
      <c r="AG28" s="557">
        <f t="shared" si="1"/>
        <v>0</v>
      </c>
      <c r="AH28" s="557">
        <f t="shared" si="2"/>
        <v>0</v>
      </c>
      <c r="AI28" s="557">
        <f t="shared" si="3"/>
        <v>361.49813787095763</v>
      </c>
      <c r="AJ28" s="557">
        <f t="shared" si="4"/>
        <v>0</v>
      </c>
      <c r="AK28" s="557">
        <f t="shared" si="5"/>
        <v>0</v>
      </c>
      <c r="AL28" s="557">
        <f t="shared" si="6"/>
        <v>677.6765056881469</v>
      </c>
      <c r="AM28" s="557">
        <f t="shared" si="7"/>
        <v>0</v>
      </c>
      <c r="AN28" s="557">
        <f t="shared" si="8"/>
        <v>0</v>
      </c>
      <c r="AO28" s="557">
        <f t="shared" si="9"/>
        <v>0</v>
      </c>
      <c r="AP28" s="557">
        <f t="shared" si="10"/>
        <v>0</v>
      </c>
      <c r="AQ28" s="557">
        <f t="shared" si="11"/>
        <v>848.02870742417531</v>
      </c>
      <c r="AR28" s="557">
        <f t="shared" si="12"/>
        <v>551.42497750211646</v>
      </c>
      <c r="AS28" s="469">
        <f t="shared" si="13"/>
        <v>2438.6283284853962</v>
      </c>
    </row>
    <row r="29" spans="2:45" s="458" customFormat="1" x14ac:dyDescent="0.2">
      <c r="B29" s="634" t="s">
        <v>683</v>
      </c>
      <c r="C29" s="579"/>
      <c r="D29" s="580">
        <v>0</v>
      </c>
      <c r="E29" s="581">
        <v>3.6859999999999999</v>
      </c>
      <c r="F29" s="581">
        <v>3.6859999999999999</v>
      </c>
      <c r="G29" s="581">
        <v>3.6859999999999999</v>
      </c>
      <c r="H29" s="581">
        <v>3.6859999999999999</v>
      </c>
      <c r="I29" s="581">
        <v>3.6859999999999999</v>
      </c>
      <c r="J29" s="581">
        <v>3.6859999999999999</v>
      </c>
      <c r="K29" s="581">
        <v>3.6859999999999999</v>
      </c>
      <c r="L29" s="581">
        <v>3.6859999999999999</v>
      </c>
      <c r="M29" s="581">
        <v>0</v>
      </c>
      <c r="N29" s="581">
        <v>0</v>
      </c>
      <c r="O29" s="581">
        <v>30.492000000000001</v>
      </c>
      <c r="P29" s="582">
        <v>20.327999999999999</v>
      </c>
      <c r="R29" s="704">
        <v>90787.080051499332</v>
      </c>
      <c r="S29" s="707">
        <v>0</v>
      </c>
      <c r="T29" s="707">
        <v>0</v>
      </c>
      <c r="U29" s="707">
        <v>18491573.068425383</v>
      </c>
      <c r="V29" s="707">
        <v>0</v>
      </c>
      <c r="W29" s="707">
        <v>0</v>
      </c>
      <c r="X29" s="707">
        <v>19354558.323015686</v>
      </c>
      <c r="Y29" s="707">
        <v>0</v>
      </c>
      <c r="Z29" s="707">
        <v>0</v>
      </c>
      <c r="AA29" s="707">
        <v>0</v>
      </c>
      <c r="AB29" s="707">
        <v>0</v>
      </c>
      <c r="AC29" s="707">
        <v>1676011.6411662186</v>
      </c>
      <c r="AD29" s="708">
        <v>2131721.2605446144</v>
      </c>
      <c r="AF29" s="556">
        <f t="shared" ref="AF29" si="14">D29/100*R29</f>
        <v>0</v>
      </c>
      <c r="AG29" s="557">
        <f t="shared" ref="AG29" si="15">E29/100*S29</f>
        <v>0</v>
      </c>
      <c r="AH29" s="557">
        <f t="shared" ref="AH29" si="16">F29/100*T29</f>
        <v>0</v>
      </c>
      <c r="AI29" s="557">
        <f t="shared" ref="AI29" si="17">G29/100*U29</f>
        <v>681599.38330215961</v>
      </c>
      <c r="AJ29" s="557">
        <f t="shared" ref="AJ29" si="18">H29/100*V29</f>
        <v>0</v>
      </c>
      <c r="AK29" s="557">
        <f t="shared" ref="AK29" si="19">I29/100*W29</f>
        <v>0</v>
      </c>
      <c r="AL29" s="557">
        <f t="shared" ref="AL29" si="20">J29/100*X29</f>
        <v>713409.01978635811</v>
      </c>
      <c r="AM29" s="557">
        <f t="shared" ref="AM29" si="21">K29/100*Y29</f>
        <v>0</v>
      </c>
      <c r="AN29" s="557">
        <f t="shared" ref="AN29" si="22">L29/100*Z29</f>
        <v>0</v>
      </c>
      <c r="AO29" s="557">
        <f t="shared" ref="AO29" si="23">M29/100*AA29</f>
        <v>0</v>
      </c>
      <c r="AP29" s="557">
        <f t="shared" ref="AP29" si="24">N29/100*AB29</f>
        <v>0</v>
      </c>
      <c r="AQ29" s="557">
        <f t="shared" ref="AQ29" si="25">O29/100*AC29</f>
        <v>511049.4696244034</v>
      </c>
      <c r="AR29" s="557">
        <f t="shared" ref="AR29" si="26">P29/100*AD29</f>
        <v>433336.29784350918</v>
      </c>
      <c r="AS29" s="469">
        <f t="shared" ref="AS29" si="27">SUM(AF29:AR29)</f>
        <v>2339394.1705564302</v>
      </c>
    </row>
    <row r="30" spans="2:45" s="458" customFormat="1" x14ac:dyDescent="0.2">
      <c r="B30" s="634" t="s">
        <v>684</v>
      </c>
      <c r="C30" s="579"/>
      <c r="D30" s="580">
        <v>0</v>
      </c>
      <c r="E30" s="581">
        <v>5.657</v>
      </c>
      <c r="F30" s="581">
        <v>5.657</v>
      </c>
      <c r="G30" s="581">
        <v>5.657</v>
      </c>
      <c r="H30" s="581">
        <v>5.657</v>
      </c>
      <c r="I30" s="581">
        <v>5.657</v>
      </c>
      <c r="J30" s="581">
        <v>5.657</v>
      </c>
      <c r="K30" s="581">
        <v>5.657</v>
      </c>
      <c r="L30" s="581">
        <v>5.657</v>
      </c>
      <c r="M30" s="581">
        <v>0</v>
      </c>
      <c r="N30" s="581">
        <v>0</v>
      </c>
      <c r="O30" s="581">
        <v>18.954999999999998</v>
      </c>
      <c r="P30" s="582">
        <v>12.635999999999999</v>
      </c>
      <c r="R30" s="704">
        <v>2579907.6975799496</v>
      </c>
      <c r="S30" s="707">
        <v>0</v>
      </c>
      <c r="T30" s="707">
        <v>0</v>
      </c>
      <c r="U30" s="707">
        <v>257764758.85220429</v>
      </c>
      <c r="V30" s="707">
        <v>0</v>
      </c>
      <c r="W30" s="707">
        <v>0</v>
      </c>
      <c r="X30" s="707">
        <v>383778125.53597784</v>
      </c>
      <c r="Y30" s="707">
        <v>0</v>
      </c>
      <c r="Z30" s="707">
        <v>0</v>
      </c>
      <c r="AA30" s="707">
        <v>0</v>
      </c>
      <c r="AB30" s="707">
        <v>0</v>
      </c>
      <c r="AC30" s="707">
        <v>24833141.676567871</v>
      </c>
      <c r="AD30" s="708">
        <v>46272310.338532321</v>
      </c>
      <c r="AF30" s="556">
        <f t="shared" si="0"/>
        <v>0</v>
      </c>
      <c r="AG30" s="557">
        <f t="shared" si="1"/>
        <v>0</v>
      </c>
      <c r="AH30" s="557">
        <f t="shared" si="2"/>
        <v>0</v>
      </c>
      <c r="AI30" s="557">
        <f t="shared" si="3"/>
        <v>14581752.408269197</v>
      </c>
      <c r="AJ30" s="557">
        <f t="shared" si="4"/>
        <v>0</v>
      </c>
      <c r="AK30" s="557">
        <f t="shared" si="5"/>
        <v>0</v>
      </c>
      <c r="AL30" s="557">
        <f t="shared" si="6"/>
        <v>21710328.561570268</v>
      </c>
      <c r="AM30" s="557">
        <f t="shared" si="7"/>
        <v>0</v>
      </c>
      <c r="AN30" s="557">
        <f t="shared" si="8"/>
        <v>0</v>
      </c>
      <c r="AO30" s="557">
        <f t="shared" si="9"/>
        <v>0</v>
      </c>
      <c r="AP30" s="557">
        <f t="shared" si="10"/>
        <v>0</v>
      </c>
      <c r="AQ30" s="557">
        <f t="shared" si="11"/>
        <v>4707122.00479344</v>
      </c>
      <c r="AR30" s="557">
        <f t="shared" si="12"/>
        <v>5846969.134376944</v>
      </c>
      <c r="AS30" s="469">
        <f t="shared" si="13"/>
        <v>46846172.109009854</v>
      </c>
    </row>
    <row r="31" spans="2:45" s="458" customFormat="1" x14ac:dyDescent="0.2">
      <c r="B31" s="464"/>
      <c r="C31" s="579"/>
      <c r="D31" s="580"/>
      <c r="E31" s="581"/>
      <c r="F31" s="581"/>
      <c r="G31" s="581"/>
      <c r="H31" s="581"/>
      <c r="I31" s="581"/>
      <c r="J31" s="581"/>
      <c r="K31" s="581"/>
      <c r="L31" s="581"/>
      <c r="M31" s="581"/>
      <c r="N31" s="581"/>
      <c r="O31" s="581"/>
      <c r="P31" s="582"/>
      <c r="R31" s="466"/>
      <c r="S31" s="474"/>
      <c r="T31" s="474"/>
      <c r="U31" s="474"/>
      <c r="V31" s="474"/>
      <c r="W31" s="474"/>
      <c r="X31" s="474"/>
      <c r="Y31" s="474"/>
      <c r="Z31" s="474"/>
      <c r="AA31" s="474"/>
      <c r="AB31" s="474"/>
      <c r="AC31" s="474"/>
      <c r="AD31" s="475"/>
      <c r="AF31" s="556">
        <f t="shared" si="0"/>
        <v>0</v>
      </c>
      <c r="AG31" s="557">
        <f t="shared" si="1"/>
        <v>0</v>
      </c>
      <c r="AH31" s="557">
        <f t="shared" si="2"/>
        <v>0</v>
      </c>
      <c r="AI31" s="557">
        <f t="shared" si="3"/>
        <v>0</v>
      </c>
      <c r="AJ31" s="557">
        <f t="shared" si="4"/>
        <v>0</v>
      </c>
      <c r="AK31" s="557">
        <f t="shared" si="5"/>
        <v>0</v>
      </c>
      <c r="AL31" s="557">
        <f t="shared" si="6"/>
        <v>0</v>
      </c>
      <c r="AM31" s="557">
        <f t="shared" si="7"/>
        <v>0</v>
      </c>
      <c r="AN31" s="557">
        <f t="shared" si="8"/>
        <v>0</v>
      </c>
      <c r="AO31" s="557">
        <f t="shared" si="9"/>
        <v>0</v>
      </c>
      <c r="AP31" s="557">
        <f t="shared" si="10"/>
        <v>0</v>
      </c>
      <c r="AQ31" s="557">
        <f t="shared" si="11"/>
        <v>0</v>
      </c>
      <c r="AR31" s="557">
        <f t="shared" si="12"/>
        <v>0</v>
      </c>
      <c r="AS31" s="469">
        <f t="shared" si="13"/>
        <v>0</v>
      </c>
    </row>
    <row r="32" spans="2:45" s="458" customFormat="1" x14ac:dyDescent="0.2">
      <c r="B32" s="464"/>
      <c r="C32" s="579"/>
      <c r="D32" s="580"/>
      <c r="E32" s="581"/>
      <c r="F32" s="581"/>
      <c r="G32" s="581"/>
      <c r="H32" s="581"/>
      <c r="I32" s="581"/>
      <c r="J32" s="581"/>
      <c r="K32" s="581"/>
      <c r="L32" s="581"/>
      <c r="M32" s="581"/>
      <c r="N32" s="581"/>
      <c r="O32" s="581"/>
      <c r="P32" s="582"/>
      <c r="R32" s="466"/>
      <c r="S32" s="474"/>
      <c r="T32" s="474"/>
      <c r="U32" s="474"/>
      <c r="V32" s="474"/>
      <c r="W32" s="474"/>
      <c r="X32" s="474"/>
      <c r="Y32" s="474"/>
      <c r="Z32" s="474"/>
      <c r="AA32" s="474"/>
      <c r="AB32" s="474"/>
      <c r="AC32" s="474"/>
      <c r="AD32" s="475"/>
      <c r="AF32" s="556">
        <f t="shared" si="0"/>
        <v>0</v>
      </c>
      <c r="AG32" s="557">
        <f t="shared" si="1"/>
        <v>0</v>
      </c>
      <c r="AH32" s="557">
        <f t="shared" si="2"/>
        <v>0</v>
      </c>
      <c r="AI32" s="557">
        <f t="shared" si="3"/>
        <v>0</v>
      </c>
      <c r="AJ32" s="557">
        <f t="shared" si="4"/>
        <v>0</v>
      </c>
      <c r="AK32" s="557">
        <f t="shared" si="5"/>
        <v>0</v>
      </c>
      <c r="AL32" s="557">
        <f t="shared" si="6"/>
        <v>0</v>
      </c>
      <c r="AM32" s="557">
        <f t="shared" si="7"/>
        <v>0</v>
      </c>
      <c r="AN32" s="557">
        <f t="shared" si="8"/>
        <v>0</v>
      </c>
      <c r="AO32" s="557">
        <f t="shared" si="9"/>
        <v>0</v>
      </c>
      <c r="AP32" s="557">
        <f t="shared" si="10"/>
        <v>0</v>
      </c>
      <c r="AQ32" s="557">
        <f t="shared" si="11"/>
        <v>0</v>
      </c>
      <c r="AR32" s="557">
        <f t="shared" si="12"/>
        <v>0</v>
      </c>
      <c r="AS32" s="469">
        <f t="shared" si="13"/>
        <v>0</v>
      </c>
    </row>
    <row r="33" spans="2:45" s="458" customFormat="1" x14ac:dyDescent="0.2">
      <c r="B33" s="464"/>
      <c r="C33" s="579"/>
      <c r="D33" s="580"/>
      <c r="E33" s="581"/>
      <c r="F33" s="581"/>
      <c r="G33" s="581"/>
      <c r="H33" s="581"/>
      <c r="I33" s="581"/>
      <c r="J33" s="581"/>
      <c r="K33" s="581"/>
      <c r="L33" s="581"/>
      <c r="M33" s="581"/>
      <c r="N33" s="581"/>
      <c r="O33" s="581"/>
      <c r="P33" s="582"/>
      <c r="R33" s="583"/>
      <c r="S33" s="584"/>
      <c r="T33" s="584"/>
      <c r="U33" s="584"/>
      <c r="V33" s="584"/>
      <c r="W33" s="584"/>
      <c r="X33" s="584"/>
      <c r="Y33" s="584"/>
      <c r="Z33" s="584"/>
      <c r="AA33" s="584"/>
      <c r="AB33" s="584"/>
      <c r="AC33" s="584"/>
      <c r="AD33" s="585"/>
      <c r="AF33" s="556">
        <f t="shared" si="0"/>
        <v>0</v>
      </c>
      <c r="AG33" s="557">
        <f t="shared" si="1"/>
        <v>0</v>
      </c>
      <c r="AH33" s="557">
        <f t="shared" si="2"/>
        <v>0</v>
      </c>
      <c r="AI33" s="557">
        <f t="shared" si="3"/>
        <v>0</v>
      </c>
      <c r="AJ33" s="557">
        <f t="shared" si="4"/>
        <v>0</v>
      </c>
      <c r="AK33" s="557">
        <f t="shared" si="5"/>
        <v>0</v>
      </c>
      <c r="AL33" s="557">
        <f t="shared" si="6"/>
        <v>0</v>
      </c>
      <c r="AM33" s="557">
        <f t="shared" si="7"/>
        <v>0</v>
      </c>
      <c r="AN33" s="557">
        <f t="shared" si="8"/>
        <v>0</v>
      </c>
      <c r="AO33" s="557">
        <f t="shared" si="9"/>
        <v>0</v>
      </c>
      <c r="AP33" s="557">
        <f t="shared" si="10"/>
        <v>0</v>
      </c>
      <c r="AQ33" s="557">
        <f t="shared" si="11"/>
        <v>0</v>
      </c>
      <c r="AR33" s="557">
        <f t="shared" si="12"/>
        <v>0</v>
      </c>
      <c r="AS33" s="469">
        <f t="shared" si="13"/>
        <v>0</v>
      </c>
    </row>
    <row r="34" spans="2:45" s="458" customFormat="1" x14ac:dyDescent="0.2">
      <c r="B34" s="464"/>
      <c r="C34" s="579"/>
      <c r="D34" s="580"/>
      <c r="E34" s="581"/>
      <c r="F34" s="581"/>
      <c r="G34" s="581"/>
      <c r="H34" s="581"/>
      <c r="I34" s="581"/>
      <c r="J34" s="581"/>
      <c r="K34" s="581"/>
      <c r="L34" s="581"/>
      <c r="M34" s="581"/>
      <c r="N34" s="581"/>
      <c r="O34" s="581"/>
      <c r="P34" s="582"/>
      <c r="R34" s="583"/>
      <c r="S34" s="584"/>
      <c r="T34" s="584"/>
      <c r="U34" s="584"/>
      <c r="V34" s="584"/>
      <c r="W34" s="584"/>
      <c r="X34" s="584"/>
      <c r="Y34" s="584"/>
      <c r="Z34" s="584"/>
      <c r="AA34" s="584"/>
      <c r="AB34" s="584"/>
      <c r="AC34" s="584"/>
      <c r="AD34" s="585"/>
      <c r="AF34" s="556">
        <f t="shared" si="0"/>
        <v>0</v>
      </c>
      <c r="AG34" s="557">
        <f t="shared" si="1"/>
        <v>0</v>
      </c>
      <c r="AH34" s="557">
        <f t="shared" si="2"/>
        <v>0</v>
      </c>
      <c r="AI34" s="557">
        <f t="shared" si="3"/>
        <v>0</v>
      </c>
      <c r="AJ34" s="557">
        <f t="shared" si="4"/>
        <v>0</v>
      </c>
      <c r="AK34" s="557">
        <f t="shared" si="5"/>
        <v>0</v>
      </c>
      <c r="AL34" s="557">
        <f t="shared" si="6"/>
        <v>0</v>
      </c>
      <c r="AM34" s="557">
        <f t="shared" si="7"/>
        <v>0</v>
      </c>
      <c r="AN34" s="557">
        <f t="shared" si="8"/>
        <v>0</v>
      </c>
      <c r="AO34" s="557">
        <f t="shared" si="9"/>
        <v>0</v>
      </c>
      <c r="AP34" s="557">
        <f t="shared" si="10"/>
        <v>0</v>
      </c>
      <c r="AQ34" s="557">
        <f t="shared" si="11"/>
        <v>0</v>
      </c>
      <c r="AR34" s="557">
        <f t="shared" si="12"/>
        <v>0</v>
      </c>
      <c r="AS34" s="469">
        <f t="shared" si="13"/>
        <v>0</v>
      </c>
    </row>
    <row r="35" spans="2:45" s="458" customFormat="1" x14ac:dyDescent="0.2">
      <c r="B35" s="464"/>
      <c r="C35" s="579"/>
      <c r="D35" s="580"/>
      <c r="E35" s="581"/>
      <c r="F35" s="581"/>
      <c r="G35" s="581"/>
      <c r="H35" s="581"/>
      <c r="I35" s="581"/>
      <c r="J35" s="581"/>
      <c r="K35" s="581"/>
      <c r="L35" s="581"/>
      <c r="M35" s="581"/>
      <c r="N35" s="581"/>
      <c r="O35" s="581"/>
      <c r="P35" s="582"/>
      <c r="R35" s="583"/>
      <c r="S35" s="584"/>
      <c r="T35" s="584"/>
      <c r="U35" s="584"/>
      <c r="V35" s="584"/>
      <c r="W35" s="584"/>
      <c r="X35" s="584"/>
      <c r="Y35" s="584"/>
      <c r="Z35" s="584"/>
      <c r="AA35" s="584"/>
      <c r="AB35" s="584"/>
      <c r="AC35" s="584"/>
      <c r="AD35" s="585"/>
      <c r="AF35" s="556">
        <f t="shared" si="0"/>
        <v>0</v>
      </c>
      <c r="AG35" s="557">
        <f t="shared" si="1"/>
        <v>0</v>
      </c>
      <c r="AH35" s="557">
        <f t="shared" si="2"/>
        <v>0</v>
      </c>
      <c r="AI35" s="557">
        <f t="shared" si="3"/>
        <v>0</v>
      </c>
      <c r="AJ35" s="557">
        <f t="shared" si="4"/>
        <v>0</v>
      </c>
      <c r="AK35" s="557">
        <f t="shared" si="5"/>
        <v>0</v>
      </c>
      <c r="AL35" s="557">
        <f t="shared" si="6"/>
        <v>0</v>
      </c>
      <c r="AM35" s="557">
        <f t="shared" si="7"/>
        <v>0</v>
      </c>
      <c r="AN35" s="557">
        <f t="shared" si="8"/>
        <v>0</v>
      </c>
      <c r="AO35" s="557">
        <f t="shared" si="9"/>
        <v>0</v>
      </c>
      <c r="AP35" s="557">
        <f t="shared" si="10"/>
        <v>0</v>
      </c>
      <c r="AQ35" s="557">
        <f t="shared" si="11"/>
        <v>0</v>
      </c>
      <c r="AR35" s="557">
        <f t="shared" si="12"/>
        <v>0</v>
      </c>
      <c r="AS35" s="469">
        <f t="shared" si="13"/>
        <v>0</v>
      </c>
    </row>
    <row r="36" spans="2:45" s="458" customFormat="1" x14ac:dyDescent="0.2">
      <c r="B36" s="464"/>
      <c r="C36" s="579"/>
      <c r="D36" s="580"/>
      <c r="E36" s="581"/>
      <c r="F36" s="581"/>
      <c r="G36" s="581"/>
      <c r="H36" s="581"/>
      <c r="I36" s="581"/>
      <c r="J36" s="581"/>
      <c r="K36" s="581"/>
      <c r="L36" s="581"/>
      <c r="M36" s="581"/>
      <c r="N36" s="581"/>
      <c r="O36" s="581"/>
      <c r="P36" s="582"/>
      <c r="R36" s="583"/>
      <c r="S36" s="584"/>
      <c r="T36" s="584"/>
      <c r="U36" s="584"/>
      <c r="V36" s="584"/>
      <c r="W36" s="584"/>
      <c r="X36" s="584"/>
      <c r="Y36" s="584"/>
      <c r="Z36" s="584"/>
      <c r="AA36" s="584"/>
      <c r="AB36" s="584"/>
      <c r="AC36" s="584"/>
      <c r="AD36" s="585"/>
      <c r="AF36" s="556">
        <f t="shared" si="0"/>
        <v>0</v>
      </c>
      <c r="AG36" s="557">
        <f t="shared" si="1"/>
        <v>0</v>
      </c>
      <c r="AH36" s="557">
        <f t="shared" si="2"/>
        <v>0</v>
      </c>
      <c r="AI36" s="557">
        <f t="shared" si="3"/>
        <v>0</v>
      </c>
      <c r="AJ36" s="557">
        <f t="shared" si="4"/>
        <v>0</v>
      </c>
      <c r="AK36" s="557">
        <f t="shared" si="5"/>
        <v>0</v>
      </c>
      <c r="AL36" s="557">
        <f t="shared" si="6"/>
        <v>0</v>
      </c>
      <c r="AM36" s="557">
        <f t="shared" si="7"/>
        <v>0</v>
      </c>
      <c r="AN36" s="557">
        <f t="shared" si="8"/>
        <v>0</v>
      </c>
      <c r="AO36" s="557">
        <f t="shared" si="9"/>
        <v>0</v>
      </c>
      <c r="AP36" s="557">
        <f t="shared" si="10"/>
        <v>0</v>
      </c>
      <c r="AQ36" s="557">
        <f t="shared" si="11"/>
        <v>0</v>
      </c>
      <c r="AR36" s="557">
        <f t="shared" si="12"/>
        <v>0</v>
      </c>
      <c r="AS36" s="469">
        <f t="shared" si="13"/>
        <v>0</v>
      </c>
    </row>
    <row r="37" spans="2:45" s="458" customFormat="1" x14ac:dyDescent="0.2">
      <c r="B37" s="464"/>
      <c r="C37" s="579"/>
      <c r="D37" s="580"/>
      <c r="E37" s="581"/>
      <c r="F37" s="581"/>
      <c r="G37" s="581"/>
      <c r="H37" s="581"/>
      <c r="I37" s="581"/>
      <c r="J37" s="581"/>
      <c r="K37" s="581"/>
      <c r="L37" s="581"/>
      <c r="M37" s="581"/>
      <c r="N37" s="581"/>
      <c r="O37" s="581"/>
      <c r="P37" s="582"/>
      <c r="R37" s="583"/>
      <c r="S37" s="584"/>
      <c r="T37" s="584"/>
      <c r="U37" s="584"/>
      <c r="V37" s="584"/>
      <c r="W37" s="584"/>
      <c r="X37" s="584"/>
      <c r="Y37" s="584"/>
      <c r="Z37" s="584"/>
      <c r="AA37" s="584"/>
      <c r="AB37" s="584"/>
      <c r="AC37" s="584"/>
      <c r="AD37" s="585"/>
      <c r="AF37" s="556">
        <f t="shared" si="0"/>
        <v>0</v>
      </c>
      <c r="AG37" s="557">
        <f t="shared" si="1"/>
        <v>0</v>
      </c>
      <c r="AH37" s="557">
        <f t="shared" si="2"/>
        <v>0</v>
      </c>
      <c r="AI37" s="557">
        <f t="shared" si="3"/>
        <v>0</v>
      </c>
      <c r="AJ37" s="557">
        <f t="shared" si="4"/>
        <v>0</v>
      </c>
      <c r="AK37" s="557">
        <f t="shared" si="5"/>
        <v>0</v>
      </c>
      <c r="AL37" s="557">
        <f t="shared" si="6"/>
        <v>0</v>
      </c>
      <c r="AM37" s="557">
        <f t="shared" si="7"/>
        <v>0</v>
      </c>
      <c r="AN37" s="557">
        <f t="shared" si="8"/>
        <v>0</v>
      </c>
      <c r="AO37" s="557">
        <f t="shared" si="9"/>
        <v>0</v>
      </c>
      <c r="AP37" s="557">
        <f t="shared" si="10"/>
        <v>0</v>
      </c>
      <c r="AQ37" s="557">
        <f t="shared" si="11"/>
        <v>0</v>
      </c>
      <c r="AR37" s="557">
        <f t="shared" si="12"/>
        <v>0</v>
      </c>
      <c r="AS37" s="469">
        <f t="shared" si="13"/>
        <v>0</v>
      </c>
    </row>
    <row r="38" spans="2:45" s="458" customFormat="1" x14ac:dyDescent="0.2">
      <c r="B38" s="464"/>
      <c r="C38" s="579"/>
      <c r="D38" s="580"/>
      <c r="E38" s="581"/>
      <c r="F38" s="581"/>
      <c r="G38" s="581"/>
      <c r="H38" s="581"/>
      <c r="I38" s="581"/>
      <c r="J38" s="581"/>
      <c r="K38" s="581"/>
      <c r="L38" s="581"/>
      <c r="M38" s="581"/>
      <c r="N38" s="581"/>
      <c r="O38" s="581"/>
      <c r="P38" s="582"/>
      <c r="R38" s="583"/>
      <c r="S38" s="584"/>
      <c r="T38" s="584"/>
      <c r="U38" s="584"/>
      <c r="V38" s="584"/>
      <c r="W38" s="584"/>
      <c r="X38" s="584"/>
      <c r="Y38" s="584"/>
      <c r="Z38" s="584"/>
      <c r="AA38" s="584"/>
      <c r="AB38" s="584"/>
      <c r="AC38" s="584"/>
      <c r="AD38" s="585"/>
      <c r="AF38" s="556">
        <f t="shared" si="0"/>
        <v>0</v>
      </c>
      <c r="AG38" s="557">
        <f t="shared" si="1"/>
        <v>0</v>
      </c>
      <c r="AH38" s="557">
        <f t="shared" si="2"/>
        <v>0</v>
      </c>
      <c r="AI38" s="557">
        <f t="shared" si="3"/>
        <v>0</v>
      </c>
      <c r="AJ38" s="557">
        <f t="shared" si="4"/>
        <v>0</v>
      </c>
      <c r="AK38" s="557">
        <f t="shared" si="5"/>
        <v>0</v>
      </c>
      <c r="AL38" s="557">
        <f t="shared" si="6"/>
        <v>0</v>
      </c>
      <c r="AM38" s="557">
        <f t="shared" si="7"/>
        <v>0</v>
      </c>
      <c r="AN38" s="557">
        <f t="shared" si="8"/>
        <v>0</v>
      </c>
      <c r="AO38" s="557">
        <f t="shared" si="9"/>
        <v>0</v>
      </c>
      <c r="AP38" s="557">
        <f t="shared" si="10"/>
        <v>0</v>
      </c>
      <c r="AQ38" s="557">
        <f t="shared" si="11"/>
        <v>0</v>
      </c>
      <c r="AR38" s="557">
        <f t="shared" si="12"/>
        <v>0</v>
      </c>
      <c r="AS38" s="469">
        <f t="shared" si="13"/>
        <v>0</v>
      </c>
    </row>
    <row r="39" spans="2:45" s="458" customFormat="1" x14ac:dyDescent="0.2">
      <c r="B39" s="464"/>
      <c r="C39" s="579"/>
      <c r="D39" s="580"/>
      <c r="E39" s="581"/>
      <c r="F39" s="581"/>
      <c r="G39" s="581"/>
      <c r="H39" s="581"/>
      <c r="I39" s="581"/>
      <c r="J39" s="581"/>
      <c r="K39" s="581"/>
      <c r="L39" s="581"/>
      <c r="M39" s="581"/>
      <c r="N39" s="581"/>
      <c r="O39" s="581"/>
      <c r="P39" s="582"/>
      <c r="R39" s="583"/>
      <c r="S39" s="584"/>
      <c r="T39" s="584"/>
      <c r="U39" s="584"/>
      <c r="V39" s="584"/>
      <c r="W39" s="584"/>
      <c r="X39" s="584"/>
      <c r="Y39" s="584"/>
      <c r="Z39" s="584"/>
      <c r="AA39" s="584"/>
      <c r="AB39" s="584"/>
      <c r="AC39" s="584"/>
      <c r="AD39" s="585"/>
      <c r="AF39" s="556">
        <f t="shared" si="0"/>
        <v>0</v>
      </c>
      <c r="AG39" s="557">
        <f t="shared" si="1"/>
        <v>0</v>
      </c>
      <c r="AH39" s="557">
        <f t="shared" si="2"/>
        <v>0</v>
      </c>
      <c r="AI39" s="557">
        <f t="shared" si="3"/>
        <v>0</v>
      </c>
      <c r="AJ39" s="557">
        <f t="shared" si="4"/>
        <v>0</v>
      </c>
      <c r="AK39" s="557">
        <f t="shared" si="5"/>
        <v>0</v>
      </c>
      <c r="AL39" s="557">
        <f t="shared" si="6"/>
        <v>0</v>
      </c>
      <c r="AM39" s="557">
        <f t="shared" si="7"/>
        <v>0</v>
      </c>
      <c r="AN39" s="557">
        <f t="shared" si="8"/>
        <v>0</v>
      </c>
      <c r="AO39" s="557">
        <f t="shared" si="9"/>
        <v>0</v>
      </c>
      <c r="AP39" s="557">
        <f t="shared" si="10"/>
        <v>0</v>
      </c>
      <c r="AQ39" s="557">
        <f t="shared" si="11"/>
        <v>0</v>
      </c>
      <c r="AR39" s="557">
        <f t="shared" si="12"/>
        <v>0</v>
      </c>
      <c r="AS39" s="469">
        <f t="shared" si="13"/>
        <v>0</v>
      </c>
    </row>
    <row r="40" spans="2:45" s="458" customFormat="1" x14ac:dyDescent="0.2">
      <c r="B40" s="464"/>
      <c r="C40" s="579"/>
      <c r="D40" s="580"/>
      <c r="E40" s="581"/>
      <c r="F40" s="581"/>
      <c r="G40" s="581"/>
      <c r="H40" s="581"/>
      <c r="I40" s="581"/>
      <c r="J40" s="581"/>
      <c r="K40" s="581"/>
      <c r="L40" s="581"/>
      <c r="M40" s="581"/>
      <c r="N40" s="581"/>
      <c r="O40" s="581"/>
      <c r="P40" s="582"/>
      <c r="R40" s="583"/>
      <c r="S40" s="584"/>
      <c r="T40" s="584"/>
      <c r="U40" s="584"/>
      <c r="V40" s="584"/>
      <c r="W40" s="584"/>
      <c r="X40" s="584"/>
      <c r="Y40" s="584"/>
      <c r="Z40" s="584"/>
      <c r="AA40" s="584"/>
      <c r="AB40" s="584"/>
      <c r="AC40" s="584"/>
      <c r="AD40" s="585"/>
      <c r="AF40" s="556">
        <f t="shared" si="0"/>
        <v>0</v>
      </c>
      <c r="AG40" s="557">
        <f t="shared" si="1"/>
        <v>0</v>
      </c>
      <c r="AH40" s="557">
        <f t="shared" si="2"/>
        <v>0</v>
      </c>
      <c r="AI40" s="557">
        <f t="shared" si="3"/>
        <v>0</v>
      </c>
      <c r="AJ40" s="557">
        <f t="shared" si="4"/>
        <v>0</v>
      </c>
      <c r="AK40" s="557">
        <f t="shared" si="5"/>
        <v>0</v>
      </c>
      <c r="AL40" s="557">
        <f t="shared" si="6"/>
        <v>0</v>
      </c>
      <c r="AM40" s="557">
        <f t="shared" si="7"/>
        <v>0</v>
      </c>
      <c r="AN40" s="557">
        <f t="shared" si="8"/>
        <v>0</v>
      </c>
      <c r="AO40" s="557">
        <f t="shared" si="9"/>
        <v>0</v>
      </c>
      <c r="AP40" s="557">
        <f t="shared" si="10"/>
        <v>0</v>
      </c>
      <c r="AQ40" s="557">
        <f t="shared" si="11"/>
        <v>0</v>
      </c>
      <c r="AR40" s="557">
        <f t="shared" si="12"/>
        <v>0</v>
      </c>
      <c r="AS40" s="469">
        <f t="shared" si="13"/>
        <v>0</v>
      </c>
    </row>
    <row r="41" spans="2:45" s="458" customFormat="1" x14ac:dyDescent="0.2">
      <c r="B41" s="464"/>
      <c r="C41" s="579"/>
      <c r="D41" s="580"/>
      <c r="E41" s="581"/>
      <c r="F41" s="581"/>
      <c r="G41" s="581"/>
      <c r="H41" s="581"/>
      <c r="I41" s="581"/>
      <c r="J41" s="581"/>
      <c r="K41" s="581"/>
      <c r="L41" s="581"/>
      <c r="M41" s="581"/>
      <c r="N41" s="581"/>
      <c r="O41" s="581"/>
      <c r="P41" s="582"/>
      <c r="R41" s="583"/>
      <c r="S41" s="584"/>
      <c r="T41" s="584"/>
      <c r="U41" s="584"/>
      <c r="V41" s="584"/>
      <c r="W41" s="584"/>
      <c r="X41" s="584"/>
      <c r="Y41" s="584"/>
      <c r="Z41" s="584"/>
      <c r="AA41" s="584"/>
      <c r="AB41" s="584"/>
      <c r="AC41" s="584"/>
      <c r="AD41" s="585"/>
      <c r="AF41" s="556">
        <f t="shared" si="0"/>
        <v>0</v>
      </c>
      <c r="AG41" s="557">
        <f t="shared" si="1"/>
        <v>0</v>
      </c>
      <c r="AH41" s="557">
        <f t="shared" si="2"/>
        <v>0</v>
      </c>
      <c r="AI41" s="557">
        <f t="shared" si="3"/>
        <v>0</v>
      </c>
      <c r="AJ41" s="557">
        <f t="shared" si="4"/>
        <v>0</v>
      </c>
      <c r="AK41" s="557">
        <f t="shared" si="5"/>
        <v>0</v>
      </c>
      <c r="AL41" s="557">
        <f t="shared" si="6"/>
        <v>0</v>
      </c>
      <c r="AM41" s="557">
        <f t="shared" si="7"/>
        <v>0</v>
      </c>
      <c r="AN41" s="557">
        <f t="shared" si="8"/>
        <v>0</v>
      </c>
      <c r="AO41" s="557">
        <f t="shared" si="9"/>
        <v>0</v>
      </c>
      <c r="AP41" s="557">
        <f t="shared" si="10"/>
        <v>0</v>
      </c>
      <c r="AQ41" s="557">
        <f t="shared" si="11"/>
        <v>0</v>
      </c>
      <c r="AR41" s="557">
        <f t="shared" si="12"/>
        <v>0</v>
      </c>
      <c r="AS41" s="469">
        <f t="shared" si="13"/>
        <v>0</v>
      </c>
    </row>
    <row r="42" spans="2:45" s="458" customFormat="1" x14ac:dyDescent="0.2">
      <c r="B42" s="464"/>
      <c r="C42" s="579"/>
      <c r="D42" s="580"/>
      <c r="E42" s="581"/>
      <c r="F42" s="581"/>
      <c r="G42" s="581"/>
      <c r="H42" s="581"/>
      <c r="I42" s="581"/>
      <c r="J42" s="581"/>
      <c r="K42" s="581"/>
      <c r="L42" s="581"/>
      <c r="M42" s="581"/>
      <c r="N42" s="581"/>
      <c r="O42" s="581"/>
      <c r="P42" s="582"/>
      <c r="R42" s="583"/>
      <c r="S42" s="584"/>
      <c r="T42" s="584"/>
      <c r="U42" s="584"/>
      <c r="V42" s="584"/>
      <c r="W42" s="584"/>
      <c r="X42" s="584"/>
      <c r="Y42" s="584"/>
      <c r="Z42" s="584"/>
      <c r="AA42" s="584"/>
      <c r="AB42" s="584"/>
      <c r="AC42" s="584"/>
      <c r="AD42" s="585"/>
      <c r="AF42" s="556">
        <f t="shared" si="0"/>
        <v>0</v>
      </c>
      <c r="AG42" s="557">
        <f t="shared" si="1"/>
        <v>0</v>
      </c>
      <c r="AH42" s="557">
        <f t="shared" si="2"/>
        <v>0</v>
      </c>
      <c r="AI42" s="557">
        <f t="shared" si="3"/>
        <v>0</v>
      </c>
      <c r="AJ42" s="557">
        <f t="shared" si="4"/>
        <v>0</v>
      </c>
      <c r="AK42" s="557">
        <f t="shared" si="5"/>
        <v>0</v>
      </c>
      <c r="AL42" s="557">
        <f t="shared" si="6"/>
        <v>0</v>
      </c>
      <c r="AM42" s="557">
        <f t="shared" si="7"/>
        <v>0</v>
      </c>
      <c r="AN42" s="557">
        <f t="shared" si="8"/>
        <v>0</v>
      </c>
      <c r="AO42" s="557">
        <f t="shared" si="9"/>
        <v>0</v>
      </c>
      <c r="AP42" s="557">
        <f t="shared" si="10"/>
        <v>0</v>
      </c>
      <c r="AQ42" s="557">
        <f t="shared" si="11"/>
        <v>0</v>
      </c>
      <c r="AR42" s="557">
        <f t="shared" si="12"/>
        <v>0</v>
      </c>
      <c r="AS42" s="469">
        <f t="shared" si="13"/>
        <v>0</v>
      </c>
    </row>
    <row r="43" spans="2:45" s="458" customFormat="1" x14ac:dyDescent="0.2">
      <c r="B43" s="464"/>
      <c r="C43" s="579"/>
      <c r="D43" s="580"/>
      <c r="E43" s="581"/>
      <c r="F43" s="581"/>
      <c r="G43" s="581"/>
      <c r="H43" s="581"/>
      <c r="I43" s="581"/>
      <c r="J43" s="581"/>
      <c r="K43" s="581"/>
      <c r="L43" s="581"/>
      <c r="M43" s="581"/>
      <c r="N43" s="581"/>
      <c r="O43" s="581"/>
      <c r="P43" s="582"/>
      <c r="R43" s="583"/>
      <c r="S43" s="584"/>
      <c r="T43" s="584"/>
      <c r="U43" s="584"/>
      <c r="V43" s="584"/>
      <c r="W43" s="584"/>
      <c r="X43" s="584"/>
      <c r="Y43" s="584"/>
      <c r="Z43" s="584"/>
      <c r="AA43" s="584"/>
      <c r="AB43" s="584"/>
      <c r="AC43" s="584"/>
      <c r="AD43" s="585"/>
      <c r="AF43" s="556">
        <f t="shared" si="0"/>
        <v>0</v>
      </c>
      <c r="AG43" s="557">
        <f t="shared" si="1"/>
        <v>0</v>
      </c>
      <c r="AH43" s="557">
        <f t="shared" si="2"/>
        <v>0</v>
      </c>
      <c r="AI43" s="557">
        <f t="shared" si="3"/>
        <v>0</v>
      </c>
      <c r="AJ43" s="557">
        <f t="shared" si="4"/>
        <v>0</v>
      </c>
      <c r="AK43" s="557">
        <f t="shared" si="5"/>
        <v>0</v>
      </c>
      <c r="AL43" s="557">
        <f t="shared" si="6"/>
        <v>0</v>
      </c>
      <c r="AM43" s="557">
        <f t="shared" si="7"/>
        <v>0</v>
      </c>
      <c r="AN43" s="557">
        <f t="shared" si="8"/>
        <v>0</v>
      </c>
      <c r="AO43" s="557">
        <f t="shared" si="9"/>
        <v>0</v>
      </c>
      <c r="AP43" s="557">
        <f t="shared" si="10"/>
        <v>0</v>
      </c>
      <c r="AQ43" s="557">
        <f t="shared" si="11"/>
        <v>0</v>
      </c>
      <c r="AR43" s="557">
        <f t="shared" si="12"/>
        <v>0</v>
      </c>
      <c r="AS43" s="469">
        <f t="shared" si="13"/>
        <v>0</v>
      </c>
    </row>
    <row r="44" spans="2:45" s="458" customFormat="1" x14ac:dyDescent="0.2">
      <c r="B44" s="464"/>
      <c r="C44" s="579"/>
      <c r="D44" s="580"/>
      <c r="E44" s="581"/>
      <c r="F44" s="581"/>
      <c r="G44" s="581"/>
      <c r="H44" s="581"/>
      <c r="I44" s="581"/>
      <c r="J44" s="581"/>
      <c r="K44" s="581"/>
      <c r="L44" s="581"/>
      <c r="M44" s="581"/>
      <c r="N44" s="581"/>
      <c r="O44" s="581"/>
      <c r="P44" s="582"/>
      <c r="R44" s="583"/>
      <c r="S44" s="584"/>
      <c r="T44" s="584"/>
      <c r="U44" s="584"/>
      <c r="V44" s="584"/>
      <c r="W44" s="584"/>
      <c r="X44" s="584"/>
      <c r="Y44" s="584"/>
      <c r="Z44" s="584"/>
      <c r="AA44" s="584"/>
      <c r="AB44" s="584"/>
      <c r="AC44" s="584"/>
      <c r="AD44" s="585"/>
      <c r="AF44" s="556">
        <f t="shared" si="0"/>
        <v>0</v>
      </c>
      <c r="AG44" s="557">
        <f t="shared" si="1"/>
        <v>0</v>
      </c>
      <c r="AH44" s="557">
        <f t="shared" si="2"/>
        <v>0</v>
      </c>
      <c r="AI44" s="557">
        <f t="shared" si="3"/>
        <v>0</v>
      </c>
      <c r="AJ44" s="557">
        <f t="shared" si="4"/>
        <v>0</v>
      </c>
      <c r="AK44" s="557">
        <f t="shared" si="5"/>
        <v>0</v>
      </c>
      <c r="AL44" s="557">
        <f t="shared" si="6"/>
        <v>0</v>
      </c>
      <c r="AM44" s="557">
        <f t="shared" si="7"/>
        <v>0</v>
      </c>
      <c r="AN44" s="557">
        <f t="shared" si="8"/>
        <v>0</v>
      </c>
      <c r="AO44" s="557">
        <f t="shared" si="9"/>
        <v>0</v>
      </c>
      <c r="AP44" s="557">
        <f t="shared" si="10"/>
        <v>0</v>
      </c>
      <c r="AQ44" s="557">
        <f t="shared" si="11"/>
        <v>0</v>
      </c>
      <c r="AR44" s="557">
        <f t="shared" si="12"/>
        <v>0</v>
      </c>
      <c r="AS44" s="469">
        <f t="shared" si="13"/>
        <v>0</v>
      </c>
    </row>
    <row r="45" spans="2:45" s="458" customFormat="1" x14ac:dyDescent="0.2">
      <c r="B45" s="464"/>
      <c r="C45" s="579"/>
      <c r="D45" s="580"/>
      <c r="E45" s="581"/>
      <c r="F45" s="581"/>
      <c r="G45" s="581"/>
      <c r="H45" s="581"/>
      <c r="I45" s="581"/>
      <c r="J45" s="581"/>
      <c r="K45" s="581"/>
      <c r="L45" s="581"/>
      <c r="M45" s="581"/>
      <c r="N45" s="581"/>
      <c r="O45" s="581"/>
      <c r="P45" s="582"/>
      <c r="R45" s="583"/>
      <c r="S45" s="584"/>
      <c r="T45" s="584"/>
      <c r="U45" s="584"/>
      <c r="V45" s="584"/>
      <c r="W45" s="584"/>
      <c r="X45" s="584"/>
      <c r="Y45" s="584"/>
      <c r="Z45" s="584"/>
      <c r="AA45" s="584"/>
      <c r="AB45" s="584"/>
      <c r="AC45" s="584"/>
      <c r="AD45" s="585"/>
      <c r="AF45" s="556">
        <f t="shared" si="0"/>
        <v>0</v>
      </c>
      <c r="AG45" s="557">
        <f t="shared" si="1"/>
        <v>0</v>
      </c>
      <c r="AH45" s="557">
        <f t="shared" si="2"/>
        <v>0</v>
      </c>
      <c r="AI45" s="557">
        <f t="shared" si="3"/>
        <v>0</v>
      </c>
      <c r="AJ45" s="557">
        <f t="shared" si="4"/>
        <v>0</v>
      </c>
      <c r="AK45" s="557">
        <f t="shared" si="5"/>
        <v>0</v>
      </c>
      <c r="AL45" s="557">
        <f t="shared" si="6"/>
        <v>0</v>
      </c>
      <c r="AM45" s="557">
        <f t="shared" si="7"/>
        <v>0</v>
      </c>
      <c r="AN45" s="557">
        <f t="shared" si="8"/>
        <v>0</v>
      </c>
      <c r="AO45" s="557">
        <f t="shared" si="9"/>
        <v>0</v>
      </c>
      <c r="AP45" s="557">
        <f t="shared" si="10"/>
        <v>0</v>
      </c>
      <c r="AQ45" s="557">
        <f t="shared" si="11"/>
        <v>0</v>
      </c>
      <c r="AR45" s="557">
        <f t="shared" si="12"/>
        <v>0</v>
      </c>
      <c r="AS45" s="469">
        <f t="shared" si="13"/>
        <v>0</v>
      </c>
    </row>
    <row r="46" spans="2:45" s="458" customFormat="1" x14ac:dyDescent="0.2">
      <c r="B46" s="464"/>
      <c r="C46" s="579"/>
      <c r="D46" s="580"/>
      <c r="E46" s="581"/>
      <c r="F46" s="581"/>
      <c r="G46" s="581"/>
      <c r="H46" s="581"/>
      <c r="I46" s="581"/>
      <c r="J46" s="581"/>
      <c r="K46" s="581"/>
      <c r="L46" s="581"/>
      <c r="M46" s="581"/>
      <c r="N46" s="581"/>
      <c r="O46" s="581"/>
      <c r="P46" s="582"/>
      <c r="R46" s="583"/>
      <c r="S46" s="584"/>
      <c r="T46" s="584"/>
      <c r="U46" s="584"/>
      <c r="V46" s="584"/>
      <c r="W46" s="584"/>
      <c r="X46" s="584"/>
      <c r="Y46" s="584"/>
      <c r="Z46" s="584"/>
      <c r="AA46" s="584"/>
      <c r="AB46" s="584"/>
      <c r="AC46" s="584"/>
      <c r="AD46" s="585"/>
      <c r="AF46" s="556">
        <f t="shared" si="0"/>
        <v>0</v>
      </c>
      <c r="AG46" s="557">
        <f t="shared" si="1"/>
        <v>0</v>
      </c>
      <c r="AH46" s="557">
        <f t="shared" si="2"/>
        <v>0</v>
      </c>
      <c r="AI46" s="557">
        <f t="shared" si="3"/>
        <v>0</v>
      </c>
      <c r="AJ46" s="557">
        <f t="shared" si="4"/>
        <v>0</v>
      </c>
      <c r="AK46" s="557">
        <f t="shared" si="5"/>
        <v>0</v>
      </c>
      <c r="AL46" s="557">
        <f t="shared" si="6"/>
        <v>0</v>
      </c>
      <c r="AM46" s="557">
        <f t="shared" si="7"/>
        <v>0</v>
      </c>
      <c r="AN46" s="557">
        <f t="shared" si="8"/>
        <v>0</v>
      </c>
      <c r="AO46" s="557">
        <f t="shared" si="9"/>
        <v>0</v>
      </c>
      <c r="AP46" s="557">
        <f t="shared" si="10"/>
        <v>0</v>
      </c>
      <c r="AQ46" s="557">
        <f t="shared" si="11"/>
        <v>0</v>
      </c>
      <c r="AR46" s="557">
        <f t="shared" si="12"/>
        <v>0</v>
      </c>
      <c r="AS46" s="469">
        <f t="shared" si="13"/>
        <v>0</v>
      </c>
    </row>
    <row r="47" spans="2:45" s="458" customFormat="1" x14ac:dyDescent="0.2">
      <c r="B47" s="464"/>
      <c r="C47" s="579"/>
      <c r="D47" s="586"/>
      <c r="E47" s="587"/>
      <c r="F47" s="587"/>
      <c r="G47" s="587"/>
      <c r="H47" s="587"/>
      <c r="I47" s="587"/>
      <c r="J47" s="587"/>
      <c r="K47" s="587"/>
      <c r="L47" s="587"/>
      <c r="M47" s="587"/>
      <c r="N47" s="587"/>
      <c r="O47" s="587"/>
      <c r="P47" s="588"/>
      <c r="R47" s="583"/>
      <c r="S47" s="584"/>
      <c r="T47" s="584"/>
      <c r="U47" s="584"/>
      <c r="V47" s="584"/>
      <c r="W47" s="584"/>
      <c r="X47" s="584"/>
      <c r="Y47" s="584"/>
      <c r="Z47" s="584"/>
      <c r="AA47" s="584"/>
      <c r="AB47" s="584"/>
      <c r="AC47" s="584"/>
      <c r="AD47" s="585"/>
      <c r="AF47" s="556">
        <f t="shared" si="0"/>
        <v>0</v>
      </c>
      <c r="AG47" s="557">
        <f t="shared" si="1"/>
        <v>0</v>
      </c>
      <c r="AH47" s="557">
        <f t="shared" si="2"/>
        <v>0</v>
      </c>
      <c r="AI47" s="557">
        <f t="shared" si="3"/>
        <v>0</v>
      </c>
      <c r="AJ47" s="557">
        <f t="shared" si="4"/>
        <v>0</v>
      </c>
      <c r="AK47" s="557">
        <f t="shared" si="5"/>
        <v>0</v>
      </c>
      <c r="AL47" s="557">
        <f t="shared" si="6"/>
        <v>0</v>
      </c>
      <c r="AM47" s="557">
        <f t="shared" si="7"/>
        <v>0</v>
      </c>
      <c r="AN47" s="557">
        <f t="shared" si="8"/>
        <v>0</v>
      </c>
      <c r="AO47" s="557">
        <f t="shared" si="9"/>
        <v>0</v>
      </c>
      <c r="AP47" s="557">
        <f t="shared" si="10"/>
        <v>0</v>
      </c>
      <c r="AQ47" s="557">
        <f t="shared" si="11"/>
        <v>0</v>
      </c>
      <c r="AR47" s="557">
        <f t="shared" si="12"/>
        <v>0</v>
      </c>
      <c r="AS47" s="469">
        <f t="shared" si="13"/>
        <v>0</v>
      </c>
    </row>
    <row r="48" spans="2:45" s="458" customFormat="1" x14ac:dyDescent="0.2">
      <c r="B48" s="464"/>
      <c r="C48" s="579"/>
      <c r="D48" s="586"/>
      <c r="E48" s="587"/>
      <c r="F48" s="587"/>
      <c r="G48" s="587"/>
      <c r="H48" s="587"/>
      <c r="I48" s="587"/>
      <c r="J48" s="587"/>
      <c r="K48" s="587"/>
      <c r="L48" s="587"/>
      <c r="M48" s="587"/>
      <c r="N48" s="587"/>
      <c r="O48" s="587"/>
      <c r="P48" s="588"/>
      <c r="R48" s="583"/>
      <c r="S48" s="584"/>
      <c r="T48" s="584"/>
      <c r="U48" s="584"/>
      <c r="V48" s="584"/>
      <c r="W48" s="584"/>
      <c r="X48" s="584"/>
      <c r="Y48" s="584"/>
      <c r="Z48" s="584"/>
      <c r="AA48" s="584"/>
      <c r="AB48" s="584"/>
      <c r="AC48" s="584"/>
      <c r="AD48" s="585"/>
      <c r="AF48" s="556">
        <f t="shared" si="0"/>
        <v>0</v>
      </c>
      <c r="AG48" s="557">
        <f t="shared" si="1"/>
        <v>0</v>
      </c>
      <c r="AH48" s="557">
        <f t="shared" si="2"/>
        <v>0</v>
      </c>
      <c r="AI48" s="557">
        <f t="shared" si="3"/>
        <v>0</v>
      </c>
      <c r="AJ48" s="557">
        <f t="shared" si="4"/>
        <v>0</v>
      </c>
      <c r="AK48" s="557">
        <f t="shared" si="5"/>
        <v>0</v>
      </c>
      <c r="AL48" s="557">
        <f t="shared" si="6"/>
        <v>0</v>
      </c>
      <c r="AM48" s="557">
        <f t="shared" si="7"/>
        <v>0</v>
      </c>
      <c r="AN48" s="557">
        <f t="shared" si="8"/>
        <v>0</v>
      </c>
      <c r="AO48" s="557">
        <f t="shared" si="9"/>
        <v>0</v>
      </c>
      <c r="AP48" s="557">
        <f t="shared" si="10"/>
        <v>0</v>
      </c>
      <c r="AQ48" s="557">
        <f t="shared" si="11"/>
        <v>0</v>
      </c>
      <c r="AR48" s="557">
        <f t="shared" si="12"/>
        <v>0</v>
      </c>
      <c r="AS48" s="469">
        <f t="shared" si="13"/>
        <v>0</v>
      </c>
    </row>
    <row r="49" spans="2:45" s="458" customFormat="1" x14ac:dyDescent="0.2">
      <c r="B49" s="464"/>
      <c r="C49" s="579"/>
      <c r="D49" s="586"/>
      <c r="E49" s="587"/>
      <c r="F49" s="587"/>
      <c r="G49" s="587"/>
      <c r="H49" s="587"/>
      <c r="I49" s="587"/>
      <c r="J49" s="587"/>
      <c r="K49" s="587"/>
      <c r="L49" s="587"/>
      <c r="M49" s="587"/>
      <c r="N49" s="587"/>
      <c r="O49" s="587"/>
      <c r="P49" s="588"/>
      <c r="R49" s="583"/>
      <c r="S49" s="584"/>
      <c r="T49" s="584"/>
      <c r="U49" s="584"/>
      <c r="V49" s="584"/>
      <c r="W49" s="584"/>
      <c r="X49" s="584"/>
      <c r="Y49" s="584"/>
      <c r="Z49" s="584"/>
      <c r="AA49" s="584"/>
      <c r="AB49" s="584"/>
      <c r="AC49" s="584"/>
      <c r="AD49" s="585"/>
      <c r="AF49" s="556">
        <f t="shared" si="0"/>
        <v>0</v>
      </c>
      <c r="AG49" s="557">
        <f t="shared" si="1"/>
        <v>0</v>
      </c>
      <c r="AH49" s="557">
        <f t="shared" si="2"/>
        <v>0</v>
      </c>
      <c r="AI49" s="557">
        <f t="shared" si="3"/>
        <v>0</v>
      </c>
      <c r="AJ49" s="557">
        <f t="shared" si="4"/>
        <v>0</v>
      </c>
      <c r="AK49" s="557">
        <f t="shared" si="5"/>
        <v>0</v>
      </c>
      <c r="AL49" s="557">
        <f t="shared" si="6"/>
        <v>0</v>
      </c>
      <c r="AM49" s="557">
        <f t="shared" si="7"/>
        <v>0</v>
      </c>
      <c r="AN49" s="557">
        <f t="shared" si="8"/>
        <v>0</v>
      </c>
      <c r="AO49" s="557">
        <f t="shared" si="9"/>
        <v>0</v>
      </c>
      <c r="AP49" s="557">
        <f t="shared" si="10"/>
        <v>0</v>
      </c>
      <c r="AQ49" s="557">
        <f t="shared" si="11"/>
        <v>0</v>
      </c>
      <c r="AR49" s="557">
        <f t="shared" si="12"/>
        <v>0</v>
      </c>
      <c r="AS49" s="469">
        <f t="shared" si="13"/>
        <v>0</v>
      </c>
    </row>
    <row r="50" spans="2:45" s="458" customFormat="1" x14ac:dyDescent="0.2">
      <c r="B50" s="464"/>
      <c r="C50" s="579"/>
      <c r="D50" s="586"/>
      <c r="E50" s="587"/>
      <c r="F50" s="587"/>
      <c r="G50" s="587"/>
      <c r="H50" s="587"/>
      <c r="I50" s="587"/>
      <c r="J50" s="587"/>
      <c r="K50" s="587"/>
      <c r="L50" s="587"/>
      <c r="M50" s="587"/>
      <c r="N50" s="587"/>
      <c r="O50" s="587"/>
      <c r="P50" s="588"/>
      <c r="R50" s="583"/>
      <c r="S50" s="584"/>
      <c r="T50" s="584"/>
      <c r="U50" s="584"/>
      <c r="V50" s="584"/>
      <c r="W50" s="584"/>
      <c r="X50" s="584"/>
      <c r="Y50" s="584"/>
      <c r="Z50" s="584"/>
      <c r="AA50" s="584"/>
      <c r="AB50" s="584"/>
      <c r="AC50" s="584"/>
      <c r="AD50" s="585"/>
      <c r="AF50" s="556">
        <f t="shared" si="0"/>
        <v>0</v>
      </c>
      <c r="AG50" s="557">
        <f t="shared" si="1"/>
        <v>0</v>
      </c>
      <c r="AH50" s="557">
        <f t="shared" si="2"/>
        <v>0</v>
      </c>
      <c r="AI50" s="557">
        <f t="shared" si="3"/>
        <v>0</v>
      </c>
      <c r="AJ50" s="557">
        <f t="shared" si="4"/>
        <v>0</v>
      </c>
      <c r="AK50" s="557">
        <f t="shared" si="5"/>
        <v>0</v>
      </c>
      <c r="AL50" s="557">
        <f t="shared" si="6"/>
        <v>0</v>
      </c>
      <c r="AM50" s="557">
        <f t="shared" si="7"/>
        <v>0</v>
      </c>
      <c r="AN50" s="557">
        <f t="shared" si="8"/>
        <v>0</v>
      </c>
      <c r="AO50" s="557">
        <f t="shared" si="9"/>
        <v>0</v>
      </c>
      <c r="AP50" s="557">
        <f t="shared" si="10"/>
        <v>0</v>
      </c>
      <c r="AQ50" s="557">
        <f t="shared" si="11"/>
        <v>0</v>
      </c>
      <c r="AR50" s="557">
        <f t="shared" si="12"/>
        <v>0</v>
      </c>
      <c r="AS50" s="469">
        <f t="shared" si="13"/>
        <v>0</v>
      </c>
    </row>
    <row r="51" spans="2:45" s="458" customFormat="1" x14ac:dyDescent="0.2">
      <c r="B51" s="464"/>
      <c r="C51" s="579"/>
      <c r="D51" s="586"/>
      <c r="E51" s="587"/>
      <c r="F51" s="587"/>
      <c r="G51" s="587"/>
      <c r="H51" s="587"/>
      <c r="I51" s="587"/>
      <c r="J51" s="587"/>
      <c r="K51" s="587"/>
      <c r="L51" s="587"/>
      <c r="M51" s="587"/>
      <c r="N51" s="587"/>
      <c r="O51" s="587"/>
      <c r="P51" s="588"/>
      <c r="R51" s="583"/>
      <c r="S51" s="584"/>
      <c r="T51" s="584"/>
      <c r="U51" s="584"/>
      <c r="V51" s="584"/>
      <c r="W51" s="584"/>
      <c r="X51" s="584"/>
      <c r="Y51" s="584"/>
      <c r="Z51" s="584"/>
      <c r="AA51" s="584"/>
      <c r="AB51" s="584"/>
      <c r="AC51" s="584"/>
      <c r="AD51" s="585"/>
      <c r="AF51" s="556">
        <f t="shared" si="0"/>
        <v>0</v>
      </c>
      <c r="AG51" s="557">
        <f t="shared" si="1"/>
        <v>0</v>
      </c>
      <c r="AH51" s="557">
        <f t="shared" si="2"/>
        <v>0</v>
      </c>
      <c r="AI51" s="557">
        <f t="shared" si="3"/>
        <v>0</v>
      </c>
      <c r="AJ51" s="557">
        <f t="shared" si="4"/>
        <v>0</v>
      </c>
      <c r="AK51" s="557">
        <f t="shared" si="5"/>
        <v>0</v>
      </c>
      <c r="AL51" s="557">
        <f t="shared" si="6"/>
        <v>0</v>
      </c>
      <c r="AM51" s="557">
        <f t="shared" si="7"/>
        <v>0</v>
      </c>
      <c r="AN51" s="557">
        <f t="shared" si="8"/>
        <v>0</v>
      </c>
      <c r="AO51" s="557">
        <f t="shared" si="9"/>
        <v>0</v>
      </c>
      <c r="AP51" s="557">
        <f t="shared" si="10"/>
        <v>0</v>
      </c>
      <c r="AQ51" s="557">
        <f t="shared" si="11"/>
        <v>0</v>
      </c>
      <c r="AR51" s="557">
        <f t="shared" si="12"/>
        <v>0</v>
      </c>
      <c r="AS51" s="469">
        <f t="shared" si="13"/>
        <v>0</v>
      </c>
    </row>
    <row r="52" spans="2:45" s="458" customFormat="1" x14ac:dyDescent="0.2">
      <c r="B52" s="464"/>
      <c r="C52" s="579"/>
      <c r="D52" s="586"/>
      <c r="E52" s="587"/>
      <c r="F52" s="587"/>
      <c r="G52" s="587"/>
      <c r="H52" s="587"/>
      <c r="I52" s="587"/>
      <c r="J52" s="587"/>
      <c r="K52" s="587"/>
      <c r="L52" s="587"/>
      <c r="M52" s="587"/>
      <c r="N52" s="587"/>
      <c r="O52" s="587"/>
      <c r="P52" s="588"/>
      <c r="R52" s="583"/>
      <c r="S52" s="584"/>
      <c r="T52" s="584"/>
      <c r="U52" s="584"/>
      <c r="V52" s="584"/>
      <c r="W52" s="584"/>
      <c r="X52" s="584"/>
      <c r="Y52" s="584"/>
      <c r="Z52" s="584"/>
      <c r="AA52" s="584"/>
      <c r="AB52" s="584"/>
      <c r="AC52" s="584"/>
      <c r="AD52" s="585"/>
      <c r="AF52" s="556">
        <f t="shared" si="0"/>
        <v>0</v>
      </c>
      <c r="AG52" s="557">
        <f t="shared" si="1"/>
        <v>0</v>
      </c>
      <c r="AH52" s="557">
        <f t="shared" si="2"/>
        <v>0</v>
      </c>
      <c r="AI52" s="557">
        <f t="shared" si="3"/>
        <v>0</v>
      </c>
      <c r="AJ52" s="557">
        <f t="shared" si="4"/>
        <v>0</v>
      </c>
      <c r="AK52" s="557">
        <f t="shared" si="5"/>
        <v>0</v>
      </c>
      <c r="AL52" s="557">
        <f t="shared" si="6"/>
        <v>0</v>
      </c>
      <c r="AM52" s="557">
        <f t="shared" si="7"/>
        <v>0</v>
      </c>
      <c r="AN52" s="557">
        <f t="shared" si="8"/>
        <v>0</v>
      </c>
      <c r="AO52" s="557">
        <f t="shared" si="9"/>
        <v>0</v>
      </c>
      <c r="AP52" s="557">
        <f t="shared" si="10"/>
        <v>0</v>
      </c>
      <c r="AQ52" s="557">
        <f t="shared" si="11"/>
        <v>0</v>
      </c>
      <c r="AR52" s="557">
        <f t="shared" si="12"/>
        <v>0</v>
      </c>
      <c r="AS52" s="469">
        <f t="shared" si="13"/>
        <v>0</v>
      </c>
    </row>
    <row r="53" spans="2:45" s="458" customFormat="1" x14ac:dyDescent="0.2">
      <c r="B53" s="464"/>
      <c r="C53" s="579"/>
      <c r="D53" s="586"/>
      <c r="E53" s="587"/>
      <c r="F53" s="587"/>
      <c r="G53" s="587"/>
      <c r="H53" s="587"/>
      <c r="I53" s="587"/>
      <c r="J53" s="587"/>
      <c r="K53" s="587"/>
      <c r="L53" s="587"/>
      <c r="M53" s="587"/>
      <c r="N53" s="587"/>
      <c r="O53" s="587"/>
      <c r="P53" s="588"/>
      <c r="R53" s="583"/>
      <c r="S53" s="584"/>
      <c r="T53" s="584"/>
      <c r="U53" s="584"/>
      <c r="V53" s="584"/>
      <c r="W53" s="584"/>
      <c r="X53" s="584"/>
      <c r="Y53" s="584"/>
      <c r="Z53" s="584"/>
      <c r="AA53" s="584"/>
      <c r="AB53" s="584"/>
      <c r="AC53" s="584"/>
      <c r="AD53" s="585"/>
      <c r="AF53" s="556">
        <f t="shared" si="0"/>
        <v>0</v>
      </c>
      <c r="AG53" s="557">
        <f t="shared" si="1"/>
        <v>0</v>
      </c>
      <c r="AH53" s="557">
        <f t="shared" si="2"/>
        <v>0</v>
      </c>
      <c r="AI53" s="557">
        <f t="shared" si="3"/>
        <v>0</v>
      </c>
      <c r="AJ53" s="557">
        <f t="shared" si="4"/>
        <v>0</v>
      </c>
      <c r="AK53" s="557">
        <f t="shared" si="5"/>
        <v>0</v>
      </c>
      <c r="AL53" s="557">
        <f t="shared" si="6"/>
        <v>0</v>
      </c>
      <c r="AM53" s="557">
        <f t="shared" si="7"/>
        <v>0</v>
      </c>
      <c r="AN53" s="557">
        <f t="shared" si="8"/>
        <v>0</v>
      </c>
      <c r="AO53" s="557">
        <f t="shared" si="9"/>
        <v>0</v>
      </c>
      <c r="AP53" s="557">
        <f t="shared" si="10"/>
        <v>0</v>
      </c>
      <c r="AQ53" s="557">
        <f t="shared" si="11"/>
        <v>0</v>
      </c>
      <c r="AR53" s="557">
        <f t="shared" si="12"/>
        <v>0</v>
      </c>
      <c r="AS53" s="469">
        <f t="shared" si="13"/>
        <v>0</v>
      </c>
    </row>
    <row r="54" spans="2:45" s="458" customFormat="1" x14ac:dyDescent="0.2">
      <c r="B54" s="464"/>
      <c r="C54" s="579"/>
      <c r="D54" s="586"/>
      <c r="E54" s="587"/>
      <c r="F54" s="587"/>
      <c r="G54" s="587"/>
      <c r="H54" s="587"/>
      <c r="I54" s="587"/>
      <c r="J54" s="587"/>
      <c r="K54" s="587"/>
      <c r="L54" s="587"/>
      <c r="M54" s="587"/>
      <c r="N54" s="587"/>
      <c r="O54" s="587"/>
      <c r="P54" s="588"/>
      <c r="R54" s="583"/>
      <c r="S54" s="584"/>
      <c r="T54" s="584"/>
      <c r="U54" s="584"/>
      <c r="V54" s="584"/>
      <c r="W54" s="584"/>
      <c r="X54" s="584"/>
      <c r="Y54" s="584"/>
      <c r="Z54" s="584"/>
      <c r="AA54" s="584"/>
      <c r="AB54" s="584"/>
      <c r="AC54" s="584"/>
      <c r="AD54" s="585"/>
      <c r="AF54" s="556">
        <f t="shared" si="0"/>
        <v>0</v>
      </c>
      <c r="AG54" s="557">
        <f t="shared" si="1"/>
        <v>0</v>
      </c>
      <c r="AH54" s="557">
        <f t="shared" si="2"/>
        <v>0</v>
      </c>
      <c r="AI54" s="557">
        <f t="shared" si="3"/>
        <v>0</v>
      </c>
      <c r="AJ54" s="557">
        <f t="shared" si="4"/>
        <v>0</v>
      </c>
      <c r="AK54" s="557">
        <f t="shared" si="5"/>
        <v>0</v>
      </c>
      <c r="AL54" s="557">
        <f t="shared" si="6"/>
        <v>0</v>
      </c>
      <c r="AM54" s="557">
        <f t="shared" si="7"/>
        <v>0</v>
      </c>
      <c r="AN54" s="557">
        <f t="shared" si="8"/>
        <v>0</v>
      </c>
      <c r="AO54" s="557">
        <f t="shared" si="9"/>
        <v>0</v>
      </c>
      <c r="AP54" s="557">
        <f t="shared" si="10"/>
        <v>0</v>
      </c>
      <c r="AQ54" s="557">
        <f t="shared" si="11"/>
        <v>0</v>
      </c>
      <c r="AR54" s="557">
        <f t="shared" si="12"/>
        <v>0</v>
      </c>
      <c r="AS54" s="469">
        <f t="shared" si="13"/>
        <v>0</v>
      </c>
    </row>
    <row r="55" spans="2:45" s="458" customFormat="1" x14ac:dyDescent="0.2">
      <c r="B55" s="464"/>
      <c r="C55" s="579"/>
      <c r="D55" s="586"/>
      <c r="E55" s="587"/>
      <c r="F55" s="587"/>
      <c r="G55" s="587"/>
      <c r="H55" s="587"/>
      <c r="I55" s="587"/>
      <c r="J55" s="587"/>
      <c r="K55" s="587"/>
      <c r="L55" s="587"/>
      <c r="M55" s="587"/>
      <c r="N55" s="587"/>
      <c r="O55" s="587"/>
      <c r="P55" s="588"/>
      <c r="R55" s="583"/>
      <c r="S55" s="584"/>
      <c r="T55" s="584"/>
      <c r="U55" s="584"/>
      <c r="V55" s="584"/>
      <c r="W55" s="584"/>
      <c r="X55" s="584"/>
      <c r="Y55" s="584"/>
      <c r="Z55" s="584"/>
      <c r="AA55" s="584"/>
      <c r="AB55" s="584"/>
      <c r="AC55" s="584"/>
      <c r="AD55" s="585"/>
      <c r="AF55" s="556">
        <f t="shared" si="0"/>
        <v>0</v>
      </c>
      <c r="AG55" s="557">
        <f t="shared" si="1"/>
        <v>0</v>
      </c>
      <c r="AH55" s="557">
        <f t="shared" si="2"/>
        <v>0</v>
      </c>
      <c r="AI55" s="557">
        <f t="shared" si="3"/>
        <v>0</v>
      </c>
      <c r="AJ55" s="557">
        <f t="shared" si="4"/>
        <v>0</v>
      </c>
      <c r="AK55" s="557">
        <f t="shared" si="5"/>
        <v>0</v>
      </c>
      <c r="AL55" s="557">
        <f t="shared" si="6"/>
        <v>0</v>
      </c>
      <c r="AM55" s="557">
        <f t="shared" si="7"/>
        <v>0</v>
      </c>
      <c r="AN55" s="557">
        <f t="shared" si="8"/>
        <v>0</v>
      </c>
      <c r="AO55" s="557">
        <f t="shared" si="9"/>
        <v>0</v>
      </c>
      <c r="AP55" s="557">
        <f t="shared" si="10"/>
        <v>0</v>
      </c>
      <c r="AQ55" s="557">
        <f t="shared" si="11"/>
        <v>0</v>
      </c>
      <c r="AR55" s="557">
        <f t="shared" si="12"/>
        <v>0</v>
      </c>
      <c r="AS55" s="469">
        <f t="shared" si="13"/>
        <v>0</v>
      </c>
    </row>
    <row r="56" spans="2:45" s="458" customFormat="1" x14ac:dyDescent="0.2">
      <c r="B56" s="464"/>
      <c r="C56" s="579"/>
      <c r="D56" s="586"/>
      <c r="E56" s="587"/>
      <c r="F56" s="587"/>
      <c r="G56" s="587"/>
      <c r="H56" s="587"/>
      <c r="I56" s="587"/>
      <c r="J56" s="587"/>
      <c r="K56" s="587"/>
      <c r="L56" s="587"/>
      <c r="M56" s="587"/>
      <c r="N56" s="587"/>
      <c r="O56" s="587"/>
      <c r="P56" s="588"/>
      <c r="R56" s="583"/>
      <c r="S56" s="584"/>
      <c r="T56" s="584"/>
      <c r="U56" s="584"/>
      <c r="V56" s="584"/>
      <c r="W56" s="584"/>
      <c r="X56" s="584"/>
      <c r="Y56" s="584"/>
      <c r="Z56" s="584"/>
      <c r="AA56" s="584"/>
      <c r="AB56" s="584"/>
      <c r="AC56" s="584"/>
      <c r="AD56" s="585"/>
      <c r="AF56" s="556">
        <f t="shared" si="0"/>
        <v>0</v>
      </c>
      <c r="AG56" s="557">
        <f t="shared" si="1"/>
        <v>0</v>
      </c>
      <c r="AH56" s="557">
        <f t="shared" si="2"/>
        <v>0</v>
      </c>
      <c r="AI56" s="557">
        <f t="shared" si="3"/>
        <v>0</v>
      </c>
      <c r="AJ56" s="557">
        <f t="shared" si="4"/>
        <v>0</v>
      </c>
      <c r="AK56" s="557">
        <f t="shared" si="5"/>
        <v>0</v>
      </c>
      <c r="AL56" s="557">
        <f t="shared" si="6"/>
        <v>0</v>
      </c>
      <c r="AM56" s="557">
        <f t="shared" si="7"/>
        <v>0</v>
      </c>
      <c r="AN56" s="557">
        <f t="shared" si="8"/>
        <v>0</v>
      </c>
      <c r="AO56" s="557">
        <f t="shared" si="9"/>
        <v>0</v>
      </c>
      <c r="AP56" s="557">
        <f t="shared" si="10"/>
        <v>0</v>
      </c>
      <c r="AQ56" s="557">
        <f t="shared" si="11"/>
        <v>0</v>
      </c>
      <c r="AR56" s="557">
        <f t="shared" si="12"/>
        <v>0</v>
      </c>
      <c r="AS56" s="469">
        <f t="shared" si="13"/>
        <v>0</v>
      </c>
    </row>
    <row r="57" spans="2:45" s="458" customFormat="1" x14ac:dyDescent="0.2">
      <c r="B57" s="464"/>
      <c r="C57" s="579"/>
      <c r="D57" s="586"/>
      <c r="E57" s="587"/>
      <c r="F57" s="587"/>
      <c r="G57" s="587"/>
      <c r="H57" s="587"/>
      <c r="I57" s="587"/>
      <c r="J57" s="587"/>
      <c r="K57" s="587"/>
      <c r="L57" s="587"/>
      <c r="M57" s="587"/>
      <c r="N57" s="587"/>
      <c r="O57" s="587"/>
      <c r="P57" s="588"/>
      <c r="R57" s="583"/>
      <c r="S57" s="584"/>
      <c r="T57" s="584"/>
      <c r="U57" s="584"/>
      <c r="V57" s="584"/>
      <c r="W57" s="584"/>
      <c r="X57" s="584"/>
      <c r="Y57" s="584"/>
      <c r="Z57" s="584"/>
      <c r="AA57" s="584"/>
      <c r="AB57" s="584"/>
      <c r="AC57" s="584"/>
      <c r="AD57" s="585"/>
      <c r="AF57" s="556">
        <f t="shared" si="0"/>
        <v>0</v>
      </c>
      <c r="AG57" s="557">
        <f t="shared" si="1"/>
        <v>0</v>
      </c>
      <c r="AH57" s="557">
        <f t="shared" si="2"/>
        <v>0</v>
      </c>
      <c r="AI57" s="557">
        <f t="shared" si="3"/>
        <v>0</v>
      </c>
      <c r="AJ57" s="557">
        <f t="shared" si="4"/>
        <v>0</v>
      </c>
      <c r="AK57" s="557">
        <f t="shared" si="5"/>
        <v>0</v>
      </c>
      <c r="AL57" s="557">
        <f t="shared" si="6"/>
        <v>0</v>
      </c>
      <c r="AM57" s="557">
        <f t="shared" si="7"/>
        <v>0</v>
      </c>
      <c r="AN57" s="557">
        <f t="shared" si="8"/>
        <v>0</v>
      </c>
      <c r="AO57" s="557">
        <f t="shared" si="9"/>
        <v>0</v>
      </c>
      <c r="AP57" s="557">
        <f t="shared" si="10"/>
        <v>0</v>
      </c>
      <c r="AQ57" s="557">
        <f t="shared" si="11"/>
        <v>0</v>
      </c>
      <c r="AR57" s="557">
        <f t="shared" si="12"/>
        <v>0</v>
      </c>
      <c r="AS57" s="469">
        <f t="shared" si="13"/>
        <v>0</v>
      </c>
    </row>
    <row r="58" spans="2:45" s="458" customFormat="1" x14ac:dyDescent="0.2">
      <c r="B58" s="464"/>
      <c r="C58" s="579"/>
      <c r="D58" s="586"/>
      <c r="E58" s="587"/>
      <c r="F58" s="587"/>
      <c r="G58" s="587"/>
      <c r="H58" s="587"/>
      <c r="I58" s="587"/>
      <c r="J58" s="587"/>
      <c r="K58" s="587"/>
      <c r="L58" s="587"/>
      <c r="M58" s="587"/>
      <c r="N58" s="587"/>
      <c r="O58" s="587"/>
      <c r="P58" s="588"/>
      <c r="R58" s="583"/>
      <c r="S58" s="584"/>
      <c r="T58" s="584"/>
      <c r="U58" s="584"/>
      <c r="V58" s="584"/>
      <c r="W58" s="584"/>
      <c r="X58" s="584"/>
      <c r="Y58" s="584"/>
      <c r="Z58" s="584"/>
      <c r="AA58" s="584"/>
      <c r="AB58" s="584"/>
      <c r="AC58" s="584"/>
      <c r="AD58" s="585"/>
      <c r="AF58" s="556">
        <f t="shared" si="0"/>
        <v>0</v>
      </c>
      <c r="AG58" s="557">
        <f t="shared" si="1"/>
        <v>0</v>
      </c>
      <c r="AH58" s="557">
        <f t="shared" si="2"/>
        <v>0</v>
      </c>
      <c r="AI58" s="557">
        <f t="shared" si="3"/>
        <v>0</v>
      </c>
      <c r="AJ58" s="557">
        <f t="shared" si="4"/>
        <v>0</v>
      </c>
      <c r="AK58" s="557">
        <f t="shared" si="5"/>
        <v>0</v>
      </c>
      <c r="AL58" s="557">
        <f t="shared" si="6"/>
        <v>0</v>
      </c>
      <c r="AM58" s="557">
        <f t="shared" si="7"/>
        <v>0</v>
      </c>
      <c r="AN58" s="557">
        <f t="shared" si="8"/>
        <v>0</v>
      </c>
      <c r="AO58" s="557">
        <f t="shared" si="9"/>
        <v>0</v>
      </c>
      <c r="AP58" s="557">
        <f t="shared" si="10"/>
        <v>0</v>
      </c>
      <c r="AQ58" s="557">
        <f t="shared" si="11"/>
        <v>0</v>
      </c>
      <c r="AR58" s="557">
        <f t="shared" si="12"/>
        <v>0</v>
      </c>
      <c r="AS58" s="469">
        <f t="shared" si="13"/>
        <v>0</v>
      </c>
    </row>
    <row r="59" spans="2:45" s="458" customFormat="1" x14ac:dyDescent="0.2">
      <c r="B59" s="464"/>
      <c r="C59" s="579"/>
      <c r="D59" s="586"/>
      <c r="E59" s="587"/>
      <c r="F59" s="587"/>
      <c r="G59" s="587"/>
      <c r="H59" s="587"/>
      <c r="I59" s="587"/>
      <c r="J59" s="587"/>
      <c r="K59" s="587"/>
      <c r="L59" s="587"/>
      <c r="M59" s="587"/>
      <c r="N59" s="587"/>
      <c r="O59" s="587"/>
      <c r="P59" s="588"/>
      <c r="R59" s="583"/>
      <c r="S59" s="584"/>
      <c r="T59" s="584"/>
      <c r="U59" s="584"/>
      <c r="V59" s="584"/>
      <c r="W59" s="584"/>
      <c r="X59" s="584"/>
      <c r="Y59" s="584"/>
      <c r="Z59" s="584"/>
      <c r="AA59" s="584"/>
      <c r="AB59" s="584"/>
      <c r="AC59" s="584"/>
      <c r="AD59" s="585"/>
      <c r="AF59" s="556">
        <f t="shared" si="0"/>
        <v>0</v>
      </c>
      <c r="AG59" s="557">
        <f t="shared" si="1"/>
        <v>0</v>
      </c>
      <c r="AH59" s="557">
        <f t="shared" si="2"/>
        <v>0</v>
      </c>
      <c r="AI59" s="557">
        <f t="shared" si="3"/>
        <v>0</v>
      </c>
      <c r="AJ59" s="557">
        <f t="shared" si="4"/>
        <v>0</v>
      </c>
      <c r="AK59" s="557">
        <f t="shared" si="5"/>
        <v>0</v>
      </c>
      <c r="AL59" s="557">
        <f t="shared" si="6"/>
        <v>0</v>
      </c>
      <c r="AM59" s="557">
        <f t="shared" si="7"/>
        <v>0</v>
      </c>
      <c r="AN59" s="557">
        <f t="shared" si="8"/>
        <v>0</v>
      </c>
      <c r="AO59" s="557">
        <f t="shared" si="9"/>
        <v>0</v>
      </c>
      <c r="AP59" s="557">
        <f t="shared" si="10"/>
        <v>0</v>
      </c>
      <c r="AQ59" s="557">
        <f t="shared" si="11"/>
        <v>0</v>
      </c>
      <c r="AR59" s="557">
        <f t="shared" si="12"/>
        <v>0</v>
      </c>
      <c r="AS59" s="469">
        <f t="shared" si="13"/>
        <v>0</v>
      </c>
    </row>
    <row r="60" spans="2:45" s="458" customFormat="1" x14ac:dyDescent="0.2">
      <c r="B60" s="464"/>
      <c r="C60" s="579"/>
      <c r="D60" s="586"/>
      <c r="E60" s="587"/>
      <c r="F60" s="587"/>
      <c r="G60" s="587"/>
      <c r="H60" s="587"/>
      <c r="I60" s="587"/>
      <c r="J60" s="587"/>
      <c r="K60" s="587"/>
      <c r="L60" s="587"/>
      <c r="M60" s="587"/>
      <c r="N60" s="587"/>
      <c r="O60" s="587"/>
      <c r="P60" s="588"/>
      <c r="R60" s="583"/>
      <c r="S60" s="584"/>
      <c r="T60" s="584"/>
      <c r="U60" s="584"/>
      <c r="V60" s="584"/>
      <c r="W60" s="584"/>
      <c r="X60" s="584"/>
      <c r="Y60" s="584"/>
      <c r="Z60" s="584"/>
      <c r="AA60" s="584"/>
      <c r="AB60" s="584"/>
      <c r="AC60" s="584"/>
      <c r="AD60" s="585"/>
      <c r="AF60" s="556">
        <f t="shared" si="0"/>
        <v>0</v>
      </c>
      <c r="AG60" s="557">
        <f t="shared" si="1"/>
        <v>0</v>
      </c>
      <c r="AH60" s="557">
        <f t="shared" si="2"/>
        <v>0</v>
      </c>
      <c r="AI60" s="557">
        <f t="shared" si="3"/>
        <v>0</v>
      </c>
      <c r="AJ60" s="557">
        <f t="shared" si="4"/>
        <v>0</v>
      </c>
      <c r="AK60" s="557">
        <f t="shared" si="5"/>
        <v>0</v>
      </c>
      <c r="AL60" s="557">
        <f t="shared" si="6"/>
        <v>0</v>
      </c>
      <c r="AM60" s="557">
        <f t="shared" si="7"/>
        <v>0</v>
      </c>
      <c r="AN60" s="557">
        <f t="shared" si="8"/>
        <v>0</v>
      </c>
      <c r="AO60" s="557">
        <f t="shared" si="9"/>
        <v>0</v>
      </c>
      <c r="AP60" s="557">
        <f t="shared" si="10"/>
        <v>0</v>
      </c>
      <c r="AQ60" s="557">
        <f t="shared" si="11"/>
        <v>0</v>
      </c>
      <c r="AR60" s="557">
        <f t="shared" si="12"/>
        <v>0</v>
      </c>
      <c r="AS60" s="469">
        <f t="shared" si="13"/>
        <v>0</v>
      </c>
    </row>
    <row r="61" spans="2:45" s="458" customFormat="1" x14ac:dyDescent="0.2">
      <c r="B61" s="464"/>
      <c r="C61" s="579"/>
      <c r="D61" s="586"/>
      <c r="E61" s="587"/>
      <c r="F61" s="587"/>
      <c r="G61" s="587"/>
      <c r="H61" s="587"/>
      <c r="I61" s="587"/>
      <c r="J61" s="587"/>
      <c r="K61" s="587"/>
      <c r="L61" s="587"/>
      <c r="M61" s="587"/>
      <c r="N61" s="587"/>
      <c r="O61" s="587"/>
      <c r="P61" s="588"/>
      <c r="R61" s="583"/>
      <c r="S61" s="584"/>
      <c r="T61" s="584"/>
      <c r="U61" s="584"/>
      <c r="V61" s="584"/>
      <c r="W61" s="584"/>
      <c r="X61" s="584"/>
      <c r="Y61" s="584"/>
      <c r="Z61" s="584"/>
      <c r="AA61" s="584"/>
      <c r="AB61" s="584"/>
      <c r="AC61" s="584"/>
      <c r="AD61" s="585"/>
      <c r="AF61" s="556">
        <f t="shared" si="0"/>
        <v>0</v>
      </c>
      <c r="AG61" s="557">
        <f t="shared" si="1"/>
        <v>0</v>
      </c>
      <c r="AH61" s="557">
        <f t="shared" si="2"/>
        <v>0</v>
      </c>
      <c r="AI61" s="557">
        <f t="shared" si="3"/>
        <v>0</v>
      </c>
      <c r="AJ61" s="557">
        <f t="shared" si="4"/>
        <v>0</v>
      </c>
      <c r="AK61" s="557">
        <f t="shared" si="5"/>
        <v>0</v>
      </c>
      <c r="AL61" s="557">
        <f t="shared" si="6"/>
        <v>0</v>
      </c>
      <c r="AM61" s="557">
        <f t="shared" si="7"/>
        <v>0</v>
      </c>
      <c r="AN61" s="557">
        <f t="shared" si="8"/>
        <v>0</v>
      </c>
      <c r="AO61" s="557">
        <f t="shared" si="9"/>
        <v>0</v>
      </c>
      <c r="AP61" s="557">
        <f t="shared" si="10"/>
        <v>0</v>
      </c>
      <c r="AQ61" s="557">
        <f t="shared" si="11"/>
        <v>0</v>
      </c>
      <c r="AR61" s="557">
        <f t="shared" si="12"/>
        <v>0</v>
      </c>
      <c r="AS61" s="469">
        <f t="shared" si="13"/>
        <v>0</v>
      </c>
    </row>
    <row r="62" spans="2:45" s="458" customFormat="1" x14ac:dyDescent="0.2">
      <c r="B62" s="464"/>
      <c r="C62" s="579"/>
      <c r="D62" s="586"/>
      <c r="E62" s="587"/>
      <c r="F62" s="587"/>
      <c r="G62" s="587"/>
      <c r="H62" s="587"/>
      <c r="I62" s="587"/>
      <c r="J62" s="587"/>
      <c r="K62" s="587"/>
      <c r="L62" s="587"/>
      <c r="M62" s="587"/>
      <c r="N62" s="587"/>
      <c r="O62" s="587"/>
      <c r="P62" s="588"/>
      <c r="R62" s="583"/>
      <c r="S62" s="584"/>
      <c r="T62" s="584"/>
      <c r="U62" s="584"/>
      <c r="V62" s="584"/>
      <c r="W62" s="584"/>
      <c r="X62" s="584"/>
      <c r="Y62" s="584"/>
      <c r="Z62" s="584"/>
      <c r="AA62" s="584"/>
      <c r="AB62" s="584"/>
      <c r="AC62" s="584"/>
      <c r="AD62" s="585"/>
      <c r="AF62" s="556">
        <f t="shared" si="0"/>
        <v>0</v>
      </c>
      <c r="AG62" s="557">
        <f t="shared" si="1"/>
        <v>0</v>
      </c>
      <c r="AH62" s="557">
        <f t="shared" si="2"/>
        <v>0</v>
      </c>
      <c r="AI62" s="557">
        <f t="shared" si="3"/>
        <v>0</v>
      </c>
      <c r="AJ62" s="557">
        <f t="shared" si="4"/>
        <v>0</v>
      </c>
      <c r="AK62" s="557">
        <f t="shared" si="5"/>
        <v>0</v>
      </c>
      <c r="AL62" s="557">
        <f t="shared" si="6"/>
        <v>0</v>
      </c>
      <c r="AM62" s="557">
        <f t="shared" si="7"/>
        <v>0</v>
      </c>
      <c r="AN62" s="557">
        <f t="shared" si="8"/>
        <v>0</v>
      </c>
      <c r="AO62" s="557">
        <f t="shared" si="9"/>
        <v>0</v>
      </c>
      <c r="AP62" s="557">
        <f t="shared" si="10"/>
        <v>0</v>
      </c>
      <c r="AQ62" s="557">
        <f t="shared" si="11"/>
        <v>0</v>
      </c>
      <c r="AR62" s="557">
        <f t="shared" si="12"/>
        <v>0</v>
      </c>
      <c r="AS62" s="469">
        <f t="shared" si="13"/>
        <v>0</v>
      </c>
    </row>
    <row r="63" spans="2:45" s="458" customFormat="1" x14ac:dyDescent="0.2">
      <c r="B63" s="464"/>
      <c r="C63" s="579"/>
      <c r="D63" s="586"/>
      <c r="E63" s="587"/>
      <c r="F63" s="587"/>
      <c r="G63" s="587"/>
      <c r="H63" s="587"/>
      <c r="I63" s="587"/>
      <c r="J63" s="587"/>
      <c r="K63" s="587"/>
      <c r="L63" s="587"/>
      <c r="M63" s="587"/>
      <c r="N63" s="587"/>
      <c r="O63" s="587"/>
      <c r="P63" s="588"/>
      <c r="R63" s="583"/>
      <c r="S63" s="584"/>
      <c r="T63" s="584"/>
      <c r="U63" s="584"/>
      <c r="V63" s="584"/>
      <c r="W63" s="584"/>
      <c r="X63" s="584"/>
      <c r="Y63" s="584"/>
      <c r="Z63" s="584"/>
      <c r="AA63" s="584"/>
      <c r="AB63" s="584"/>
      <c r="AC63" s="584"/>
      <c r="AD63" s="585"/>
      <c r="AF63" s="556">
        <f t="shared" si="0"/>
        <v>0</v>
      </c>
      <c r="AG63" s="557">
        <f t="shared" si="1"/>
        <v>0</v>
      </c>
      <c r="AH63" s="557">
        <f t="shared" si="2"/>
        <v>0</v>
      </c>
      <c r="AI63" s="557">
        <f t="shared" si="3"/>
        <v>0</v>
      </c>
      <c r="AJ63" s="557">
        <f t="shared" si="4"/>
        <v>0</v>
      </c>
      <c r="AK63" s="557">
        <f t="shared" si="5"/>
        <v>0</v>
      </c>
      <c r="AL63" s="557">
        <f t="shared" si="6"/>
        <v>0</v>
      </c>
      <c r="AM63" s="557">
        <f t="shared" si="7"/>
        <v>0</v>
      </c>
      <c r="AN63" s="557">
        <f t="shared" si="8"/>
        <v>0</v>
      </c>
      <c r="AO63" s="557">
        <f t="shared" si="9"/>
        <v>0</v>
      </c>
      <c r="AP63" s="557">
        <f t="shared" si="10"/>
        <v>0</v>
      </c>
      <c r="AQ63" s="557">
        <f t="shared" si="11"/>
        <v>0</v>
      </c>
      <c r="AR63" s="557">
        <f t="shared" si="12"/>
        <v>0</v>
      </c>
      <c r="AS63" s="469">
        <f t="shared" si="13"/>
        <v>0</v>
      </c>
    </row>
    <row r="64" spans="2:45" s="458" customFormat="1" x14ac:dyDescent="0.2">
      <c r="B64" s="464"/>
      <c r="C64" s="579"/>
      <c r="D64" s="586"/>
      <c r="E64" s="587"/>
      <c r="F64" s="587"/>
      <c r="G64" s="587"/>
      <c r="H64" s="587"/>
      <c r="I64" s="587"/>
      <c r="J64" s="587"/>
      <c r="K64" s="587"/>
      <c r="L64" s="587"/>
      <c r="M64" s="587"/>
      <c r="N64" s="587"/>
      <c r="O64" s="587"/>
      <c r="P64" s="588"/>
      <c r="R64" s="583"/>
      <c r="S64" s="584"/>
      <c r="T64" s="584"/>
      <c r="U64" s="584"/>
      <c r="V64" s="584"/>
      <c r="W64" s="584"/>
      <c r="X64" s="584"/>
      <c r="Y64" s="584"/>
      <c r="Z64" s="584"/>
      <c r="AA64" s="584"/>
      <c r="AB64" s="584"/>
      <c r="AC64" s="584"/>
      <c r="AD64" s="585"/>
      <c r="AF64" s="556">
        <f t="shared" si="0"/>
        <v>0</v>
      </c>
      <c r="AG64" s="557">
        <f t="shared" si="1"/>
        <v>0</v>
      </c>
      <c r="AH64" s="557">
        <f t="shared" si="2"/>
        <v>0</v>
      </c>
      <c r="AI64" s="557">
        <f t="shared" si="3"/>
        <v>0</v>
      </c>
      <c r="AJ64" s="557">
        <f t="shared" si="4"/>
        <v>0</v>
      </c>
      <c r="AK64" s="557">
        <f t="shared" si="5"/>
        <v>0</v>
      </c>
      <c r="AL64" s="557">
        <f t="shared" si="6"/>
        <v>0</v>
      </c>
      <c r="AM64" s="557">
        <f t="shared" si="7"/>
        <v>0</v>
      </c>
      <c r="AN64" s="557">
        <f t="shared" si="8"/>
        <v>0</v>
      </c>
      <c r="AO64" s="557">
        <f t="shared" si="9"/>
        <v>0</v>
      </c>
      <c r="AP64" s="557">
        <f t="shared" si="10"/>
        <v>0</v>
      </c>
      <c r="AQ64" s="557">
        <f t="shared" si="11"/>
        <v>0</v>
      </c>
      <c r="AR64" s="557">
        <f t="shared" si="12"/>
        <v>0</v>
      </c>
      <c r="AS64" s="469">
        <f t="shared" si="13"/>
        <v>0</v>
      </c>
    </row>
    <row r="65" spans="2:45" s="458" customFormat="1" ht="13.5" thickBot="1" x14ac:dyDescent="0.25">
      <c r="B65" s="486"/>
      <c r="C65" s="589"/>
      <c r="D65" s="590"/>
      <c r="E65" s="591"/>
      <c r="F65" s="591"/>
      <c r="G65" s="591"/>
      <c r="H65" s="591"/>
      <c r="I65" s="591"/>
      <c r="J65" s="591"/>
      <c r="K65" s="591"/>
      <c r="L65" s="591"/>
      <c r="M65" s="591"/>
      <c r="N65" s="591"/>
      <c r="O65" s="591"/>
      <c r="P65" s="592"/>
      <c r="R65" s="593"/>
      <c r="S65" s="594"/>
      <c r="T65" s="594"/>
      <c r="U65" s="594"/>
      <c r="V65" s="594"/>
      <c r="W65" s="594"/>
      <c r="X65" s="594"/>
      <c r="Y65" s="594"/>
      <c r="Z65" s="594"/>
      <c r="AA65" s="594"/>
      <c r="AB65" s="594"/>
      <c r="AC65" s="594"/>
      <c r="AD65" s="595"/>
      <c r="AF65" s="565">
        <f t="shared" si="0"/>
        <v>0</v>
      </c>
      <c r="AG65" s="566">
        <f t="shared" si="1"/>
        <v>0</v>
      </c>
      <c r="AH65" s="566">
        <f t="shared" si="2"/>
        <v>0</v>
      </c>
      <c r="AI65" s="566">
        <f t="shared" si="3"/>
        <v>0</v>
      </c>
      <c r="AJ65" s="566">
        <f t="shared" si="4"/>
        <v>0</v>
      </c>
      <c r="AK65" s="566">
        <f t="shared" si="5"/>
        <v>0</v>
      </c>
      <c r="AL65" s="566">
        <f t="shared" si="6"/>
        <v>0</v>
      </c>
      <c r="AM65" s="566">
        <f t="shared" si="7"/>
        <v>0</v>
      </c>
      <c r="AN65" s="566">
        <f t="shared" si="8"/>
        <v>0</v>
      </c>
      <c r="AO65" s="566">
        <f t="shared" si="9"/>
        <v>0</v>
      </c>
      <c r="AP65" s="566">
        <f t="shared" si="10"/>
        <v>0</v>
      </c>
      <c r="AQ65" s="566">
        <f t="shared" si="11"/>
        <v>0</v>
      </c>
      <c r="AR65" s="566">
        <f t="shared" si="12"/>
        <v>0</v>
      </c>
      <c r="AS65" s="500">
        <f t="shared" si="13"/>
        <v>0</v>
      </c>
    </row>
    <row r="66" spans="2:45" ht="13.5" thickBot="1" x14ac:dyDescent="0.25">
      <c r="B66" s="260"/>
      <c r="C66" s="167"/>
      <c r="R66" s="261">
        <f t="shared" ref="R66:AD66" si="28">SUM(R6:R65)</f>
        <v>244214082.89277267</v>
      </c>
      <c r="S66" s="261">
        <f t="shared" si="28"/>
        <v>1092439564.4925797</v>
      </c>
      <c r="T66" s="261">
        <f t="shared" si="28"/>
        <v>15191028.084096724</v>
      </c>
      <c r="U66" s="261">
        <f t="shared" si="28"/>
        <v>1042196298.5085648</v>
      </c>
      <c r="V66" s="261">
        <f t="shared" si="28"/>
        <v>1749612852.7432227</v>
      </c>
      <c r="W66" s="261">
        <f t="shared" si="28"/>
        <v>0</v>
      </c>
      <c r="X66" s="261">
        <f t="shared" si="28"/>
        <v>1556088448.25896</v>
      </c>
      <c r="Y66" s="261">
        <f t="shared" si="28"/>
        <v>2342352608.6600008</v>
      </c>
      <c r="Z66" s="261">
        <f t="shared" si="28"/>
        <v>28219001.301101014</v>
      </c>
      <c r="AA66" s="261">
        <f t="shared" si="28"/>
        <v>430762858.51673532</v>
      </c>
      <c r="AB66" s="261">
        <f t="shared" si="28"/>
        <v>130360473.14090756</v>
      </c>
      <c r="AC66" s="261">
        <f t="shared" si="28"/>
        <v>26512398.739499968</v>
      </c>
      <c r="AD66" s="261">
        <f t="shared" si="28"/>
        <v>48409379.528254531</v>
      </c>
      <c r="AE66" s="458"/>
      <c r="AF66" s="261">
        <f t="shared" ref="AF66:AL66" si="29">SUM(AF6:AF65)</f>
        <v>17666386.337314874</v>
      </c>
      <c r="AG66" s="261">
        <f t="shared" si="29"/>
        <v>95360547.43606855</v>
      </c>
      <c r="AH66" s="261">
        <f t="shared" si="29"/>
        <v>682265.18226920045</v>
      </c>
      <c r="AI66" s="261">
        <f t="shared" si="29"/>
        <v>37255349.900929898</v>
      </c>
      <c r="AJ66" s="261">
        <f t="shared" si="29"/>
        <v>97632316.322909251</v>
      </c>
      <c r="AK66" s="261">
        <f t="shared" si="29"/>
        <v>0</v>
      </c>
      <c r="AL66" s="261">
        <f t="shared" si="29"/>
        <v>48969129.352568127</v>
      </c>
      <c r="AM66" s="261">
        <f t="shared" ref="AM66:AS66" si="30">SUM(AM6:AM65)</f>
        <v>28894866.383454923</v>
      </c>
      <c r="AN66" s="261">
        <f t="shared" si="30"/>
        <v>977352.9952453617</v>
      </c>
      <c r="AO66" s="261">
        <f t="shared" si="30"/>
        <v>54738398.984848842</v>
      </c>
      <c r="AP66" s="261">
        <f t="shared" si="30"/>
        <v>24583126.434401892</v>
      </c>
      <c r="AQ66" s="261">
        <f t="shared" si="30"/>
        <v>5219019.5031252671</v>
      </c>
      <c r="AR66" s="261">
        <f t="shared" si="30"/>
        <v>6280856.8571979553</v>
      </c>
      <c r="AS66" s="261">
        <f t="shared" si="30"/>
        <v>418259615.6903342</v>
      </c>
    </row>
    <row r="67" spans="2:45" ht="13.5" thickTop="1" x14ac:dyDescent="0.2">
      <c r="B67" s="260"/>
      <c r="C67" s="167"/>
      <c r="AE67" s="458"/>
    </row>
    <row r="68" spans="2:45" x14ac:dyDescent="0.2">
      <c r="B68" s="260"/>
      <c r="C68" s="167"/>
      <c r="Z68" s="263"/>
      <c r="AE68" s="458"/>
      <c r="AS68" s="263"/>
    </row>
    <row r="69" spans="2:45" x14ac:dyDescent="0.2">
      <c r="B69" s="260"/>
      <c r="C69" s="167"/>
      <c r="AE69" s="458"/>
      <c r="AS69" s="263"/>
    </row>
    <row r="70" spans="2:45" x14ac:dyDescent="0.2">
      <c r="B70" s="260"/>
      <c r="C70" s="167"/>
    </row>
    <row r="71" spans="2:45" x14ac:dyDescent="0.2">
      <c r="B71" s="260"/>
      <c r="C71" s="167"/>
    </row>
    <row r="72" spans="2:45" x14ac:dyDescent="0.2">
      <c r="B72" s="260"/>
      <c r="C72" s="167"/>
    </row>
    <row r="73" spans="2:45" x14ac:dyDescent="0.2">
      <c r="B73" s="260"/>
      <c r="C73" s="167"/>
    </row>
    <row r="74" spans="2:45" x14ac:dyDescent="0.2">
      <c r="B74" s="260"/>
      <c r="C74" s="167"/>
    </row>
    <row r="75" spans="2:45" x14ac:dyDescent="0.2">
      <c r="B75" s="260"/>
      <c r="C75" s="167"/>
    </row>
    <row r="76" spans="2:45" x14ac:dyDescent="0.2">
      <c r="B76" s="260"/>
      <c r="C76" s="167"/>
    </row>
    <row r="77" spans="2:45" x14ac:dyDescent="0.2">
      <c r="B77" s="260"/>
      <c r="C77" s="167"/>
    </row>
    <row r="78" spans="2:45" x14ac:dyDescent="0.2">
      <c r="B78" s="260"/>
      <c r="C78" s="167"/>
    </row>
    <row r="79" spans="2:45" x14ac:dyDescent="0.2">
      <c r="B79" s="260"/>
      <c r="C79" s="167"/>
    </row>
    <row r="80" spans="2:45" x14ac:dyDescent="0.2">
      <c r="B80" s="260"/>
      <c r="C80" s="167"/>
    </row>
    <row r="81" spans="2:3" x14ac:dyDescent="0.2">
      <c r="B81" s="260"/>
      <c r="C81" s="167"/>
    </row>
    <row r="82" spans="2:3" x14ac:dyDescent="0.2">
      <c r="B82" s="260"/>
      <c r="C82" s="167"/>
    </row>
    <row r="83" spans="2:3" x14ac:dyDescent="0.2">
      <c r="B83" s="260"/>
      <c r="C83" s="167"/>
    </row>
    <row r="84" spans="2:3" x14ac:dyDescent="0.2">
      <c r="B84" s="260"/>
      <c r="C84" s="167"/>
    </row>
    <row r="85" spans="2:3" x14ac:dyDescent="0.2">
      <c r="B85" s="260"/>
      <c r="C85" s="167"/>
    </row>
    <row r="86" spans="2:3" x14ac:dyDescent="0.2">
      <c r="B86" s="260"/>
      <c r="C86" s="167"/>
    </row>
    <row r="87" spans="2:3" x14ac:dyDescent="0.2">
      <c r="B87" s="260"/>
      <c r="C87" s="167"/>
    </row>
    <row r="88" spans="2:3" x14ac:dyDescent="0.2">
      <c r="B88" s="260"/>
      <c r="C88" s="167"/>
    </row>
    <row r="89" spans="2:3" x14ac:dyDescent="0.2">
      <c r="B89" s="260"/>
      <c r="C89" s="167"/>
    </row>
    <row r="90" spans="2:3" x14ac:dyDescent="0.2">
      <c r="B90" s="260"/>
      <c r="C90" s="167"/>
    </row>
    <row r="91" spans="2:3" x14ac:dyDescent="0.2">
      <c r="B91" s="260"/>
      <c r="C91" s="167"/>
    </row>
    <row r="92" spans="2:3" x14ac:dyDescent="0.2">
      <c r="B92" s="260"/>
      <c r="C92" s="167"/>
    </row>
    <row r="93" spans="2:3" x14ac:dyDescent="0.2">
      <c r="B93" s="260"/>
      <c r="C93" s="167"/>
    </row>
    <row r="94" spans="2:3" x14ac:dyDescent="0.2">
      <c r="B94" s="260"/>
      <c r="C94" s="167"/>
    </row>
    <row r="95" spans="2:3" x14ac:dyDescent="0.2">
      <c r="B95" s="260"/>
      <c r="C95" s="167"/>
    </row>
    <row r="96" spans="2:3" x14ac:dyDescent="0.2">
      <c r="B96" s="260"/>
      <c r="C96" s="167"/>
    </row>
    <row r="97" spans="2:3" x14ac:dyDescent="0.2">
      <c r="B97" s="260"/>
      <c r="C97" s="167"/>
    </row>
    <row r="98" spans="2:3" x14ac:dyDescent="0.2">
      <c r="B98" s="260"/>
      <c r="C98" s="167"/>
    </row>
    <row r="99" spans="2:3" x14ac:dyDescent="0.2">
      <c r="B99" s="260"/>
      <c r="C99" s="167"/>
    </row>
    <row r="100" spans="2:3" x14ac:dyDescent="0.2">
      <c r="B100" s="260"/>
      <c r="C100" s="167"/>
    </row>
    <row r="101" spans="2:3" x14ac:dyDescent="0.2">
      <c r="B101" s="260"/>
      <c r="C101" s="167"/>
    </row>
    <row r="102" spans="2:3" x14ac:dyDescent="0.2">
      <c r="B102" s="260"/>
      <c r="C102" s="167"/>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5"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pageSetUpPr autoPageBreaks="0"/>
  </sheetPr>
  <dimension ref="B1:AS105"/>
  <sheetViews>
    <sheetView zoomScale="80" zoomScaleNormal="80" workbookViewId="0">
      <pane xSplit="3" ySplit="5" topLeftCell="D6" activePane="bottomRight" state="frozen"/>
      <selection activeCell="C18" sqref="C18"/>
      <selection pane="topRight" activeCell="C18" sqref="C18"/>
      <selection pane="bottomLeft" activeCell="C18" sqref="C18"/>
      <selection pane="bottomRight"/>
    </sheetView>
  </sheetViews>
  <sheetFormatPr defaultRowHeight="12.75" x14ac:dyDescent="0.2"/>
  <cols>
    <col min="1" max="1" width="1.85546875" style="210" customWidth="1"/>
    <col min="2" max="2" width="45" style="210" customWidth="1"/>
    <col min="3" max="3" width="2.85546875" style="210" customWidth="1"/>
    <col min="4" max="4" width="15.28515625" style="210" customWidth="1"/>
    <col min="5" max="5" width="11.42578125" style="210" customWidth="1"/>
    <col min="6" max="6" width="10.5703125" style="210" bestFit="1" customWidth="1"/>
    <col min="7" max="7" width="18" style="210" customWidth="1"/>
    <col min="8" max="9" width="10.5703125" style="210" bestFit="1" customWidth="1"/>
    <col min="10" max="12" width="9.5703125" style="210" bestFit="1" customWidth="1"/>
    <col min="13" max="13" width="11.7109375" style="210" bestFit="1" customWidth="1"/>
    <col min="14" max="14" width="11.28515625" style="210" bestFit="1" customWidth="1"/>
    <col min="15" max="16" width="10.140625" style="210" bestFit="1" customWidth="1"/>
    <col min="17" max="17" width="1.85546875" style="210" customWidth="1"/>
    <col min="18" max="18" width="16.7109375" style="210" bestFit="1" customWidth="1"/>
    <col min="19" max="19" width="19.28515625" style="210" customWidth="1"/>
    <col min="20" max="20" width="15.140625" style="210" customWidth="1"/>
    <col min="21" max="21" width="17.5703125" style="210" customWidth="1"/>
    <col min="22" max="22" width="17.85546875" style="210" customWidth="1"/>
    <col min="23" max="23" width="16.140625" style="210" customWidth="1"/>
    <col min="24" max="24" width="16.5703125" style="210" customWidth="1"/>
    <col min="25" max="25" width="17.5703125" style="210" customWidth="1"/>
    <col min="26" max="26" width="14.85546875" style="210" bestFit="1" customWidth="1"/>
    <col min="27" max="27" width="16.28515625" style="210" customWidth="1"/>
    <col min="28" max="28" width="16.7109375" style="210" customWidth="1"/>
    <col min="29" max="29" width="14.85546875" style="210" bestFit="1" customWidth="1"/>
    <col min="30" max="30" width="14.85546875" style="210" customWidth="1"/>
    <col min="31" max="31" width="1.85546875" style="210" customWidth="1"/>
    <col min="32" max="32" width="14.28515625" style="210" customWidth="1"/>
    <col min="33" max="33" width="16.42578125" style="210" customWidth="1"/>
    <col min="34" max="34" width="16.28515625" style="210" customWidth="1"/>
    <col min="35" max="35" width="14.7109375" style="210" customWidth="1"/>
    <col min="36" max="36" width="15.5703125" style="210" customWidth="1"/>
    <col min="37" max="37" width="14.28515625" style="210" customWidth="1"/>
    <col min="38" max="39" width="15.7109375" style="210" customWidth="1"/>
    <col min="40" max="40" width="10.85546875" style="210" customWidth="1"/>
    <col min="41" max="41" width="15.42578125" style="210" customWidth="1"/>
    <col min="42" max="42" width="14.5703125" style="210" customWidth="1"/>
    <col min="43" max="44" width="12.42578125" style="210" customWidth="1"/>
    <col min="45" max="45" width="15.140625" style="210" customWidth="1"/>
    <col min="46" max="16384" width="9.140625" style="210"/>
  </cols>
  <sheetData>
    <row r="1" spans="2:45" ht="15" x14ac:dyDescent="0.25">
      <c r="B1" s="166" t="str">
        <f>"Tariff Approval - "&amp;'Model update'!C3</f>
        <v>Tariff Approval - United Energy</v>
      </c>
      <c r="C1" s="166"/>
      <c r="D1" s="514"/>
      <c r="F1" s="514"/>
      <c r="J1" s="514"/>
    </row>
    <row r="2" spans="2:45" x14ac:dyDescent="0.2">
      <c r="D2" s="514"/>
      <c r="E2" s="514"/>
    </row>
    <row r="3" spans="2:45" x14ac:dyDescent="0.2">
      <c r="B3" s="250" t="str">
        <f>"PROPOSED "&amp;'Model update'!$C$5&amp;" TRANSMISSION TARIFFS"</f>
        <v>PROPOSED 2019 TRANSMISSION TARIFFS</v>
      </c>
      <c r="C3" s="250"/>
    </row>
    <row r="4" spans="2:45" ht="13.5" thickBot="1" x14ac:dyDescent="0.25">
      <c r="D4" s="252" t="str">
        <f>"Proposed Transmission Tariffs (Pt) for "&amp;'Model update'!$C$5</f>
        <v>Proposed Transmission Tariffs (Pt) for 2019</v>
      </c>
      <c r="E4" s="253"/>
      <c r="F4" s="253"/>
      <c r="G4" s="253"/>
      <c r="H4" s="196"/>
      <c r="I4" s="196"/>
      <c r="R4" s="254" t="str">
        <f>"Forecast Quantities (Qt) for "&amp;'Model update'!$C$5</f>
        <v>Forecast Quantities (Qt) for 2019</v>
      </c>
      <c r="S4" s="254"/>
      <c r="T4" s="196"/>
      <c r="U4" s="196"/>
      <c r="AF4" s="252" t="str">
        <f>"Forecast Revenue (Pt "&amp;'Model update'!$C$5&amp;")*(Qt " &amp;'Model update'!$C$5&amp;")"</f>
        <v>Forecast Revenue (Pt 2019)*(Qt 2019)</v>
      </c>
      <c r="AG4" s="253"/>
      <c r="AH4" s="253"/>
      <c r="AI4" s="196"/>
    </row>
    <row r="5" spans="2:45" ht="25.5" x14ac:dyDescent="0.2">
      <c r="B5" s="256" t="s">
        <v>128</v>
      </c>
      <c r="C5" s="262"/>
      <c r="D5" s="461" t="s">
        <v>130</v>
      </c>
      <c r="E5" s="462" t="s">
        <v>131</v>
      </c>
      <c r="F5" s="462" t="s">
        <v>419</v>
      </c>
      <c r="G5" s="462" t="s">
        <v>420</v>
      </c>
      <c r="H5" s="462" t="s">
        <v>421</v>
      </c>
      <c r="I5" s="462" t="s">
        <v>132</v>
      </c>
      <c r="J5" s="462" t="s">
        <v>422</v>
      </c>
      <c r="K5" s="462" t="s">
        <v>133</v>
      </c>
      <c r="L5" s="462" t="s">
        <v>134</v>
      </c>
      <c r="M5" s="462" t="s">
        <v>135</v>
      </c>
      <c r="N5" s="462" t="s">
        <v>136</v>
      </c>
      <c r="O5" s="462" t="s">
        <v>137</v>
      </c>
      <c r="P5" s="463" t="s">
        <v>138</v>
      </c>
      <c r="R5" s="461" t="s">
        <v>173</v>
      </c>
      <c r="S5" s="462" t="s">
        <v>174</v>
      </c>
      <c r="T5" s="462" t="s">
        <v>427</v>
      </c>
      <c r="U5" s="462" t="s">
        <v>428</v>
      </c>
      <c r="V5" s="462" t="s">
        <v>429</v>
      </c>
      <c r="W5" s="462" t="s">
        <v>175</v>
      </c>
      <c r="X5" s="462" t="s">
        <v>430</v>
      </c>
      <c r="Y5" s="462" t="s">
        <v>176</v>
      </c>
      <c r="Z5" s="462" t="s">
        <v>177</v>
      </c>
      <c r="AA5" s="462" t="s">
        <v>178</v>
      </c>
      <c r="AB5" s="462" t="s">
        <v>179</v>
      </c>
      <c r="AC5" s="462" t="s">
        <v>180</v>
      </c>
      <c r="AD5" s="463" t="s">
        <v>181</v>
      </c>
      <c r="AF5" s="257" t="s">
        <v>148</v>
      </c>
      <c r="AG5" s="258" t="s">
        <v>149</v>
      </c>
      <c r="AH5" s="258" t="s">
        <v>150</v>
      </c>
      <c r="AI5" s="258" t="s">
        <v>151</v>
      </c>
      <c r="AJ5" s="258" t="s">
        <v>152</v>
      </c>
      <c r="AK5" s="258" t="s">
        <v>153</v>
      </c>
      <c r="AL5" s="258" t="s">
        <v>154</v>
      </c>
      <c r="AM5" s="258" t="s">
        <v>155</v>
      </c>
      <c r="AN5" s="258" t="s">
        <v>156</v>
      </c>
      <c r="AO5" s="258" t="s">
        <v>157</v>
      </c>
      <c r="AP5" s="258" t="s">
        <v>158</v>
      </c>
      <c r="AQ5" s="258" t="s">
        <v>159</v>
      </c>
      <c r="AR5" s="258" t="s">
        <v>160</v>
      </c>
      <c r="AS5" s="258" t="s">
        <v>161</v>
      </c>
    </row>
    <row r="6" spans="2:45" s="458" customFormat="1" x14ac:dyDescent="0.2">
      <c r="B6" s="464" t="str">
        <f>Prop2019DistTar!B6</f>
        <v>Low voltage small 1 rate</v>
      </c>
      <c r="C6" s="569"/>
      <c r="D6" s="709">
        <v>0</v>
      </c>
      <c r="E6" s="710">
        <v>1.64</v>
      </c>
      <c r="F6" s="710">
        <v>0</v>
      </c>
      <c r="G6" s="710">
        <v>0</v>
      </c>
      <c r="H6" s="710">
        <v>1.64</v>
      </c>
      <c r="I6" s="710">
        <v>0</v>
      </c>
      <c r="J6" s="710">
        <v>0</v>
      </c>
      <c r="K6" s="710">
        <v>0</v>
      </c>
      <c r="L6" s="710">
        <v>0</v>
      </c>
      <c r="M6" s="710">
        <v>0</v>
      </c>
      <c r="N6" s="710">
        <v>0</v>
      </c>
      <c r="O6" s="710">
        <v>0</v>
      </c>
      <c r="P6" s="711">
        <v>0</v>
      </c>
      <c r="Q6" s="598"/>
      <c r="R6" s="573">
        <f>Prop2019DistTar!AF6</f>
        <v>206859021.70803419</v>
      </c>
      <c r="S6" s="574">
        <f>Prop2019DistTar!AG6</f>
        <v>943855173.40696001</v>
      </c>
      <c r="T6" s="574">
        <f>Prop2019DistTar!AH6</f>
        <v>0</v>
      </c>
      <c r="U6" s="574">
        <f>Prop2019DistTar!AI6</f>
        <v>0</v>
      </c>
      <c r="V6" s="574">
        <f>Prop2019DistTar!AJ6</f>
        <v>1520207628.6832812</v>
      </c>
      <c r="W6" s="574">
        <f>Prop2019DistTar!AK6</f>
        <v>0</v>
      </c>
      <c r="X6" s="574">
        <f>Prop2019DistTar!AL6</f>
        <v>0</v>
      </c>
      <c r="Y6" s="574">
        <f>Prop2019DistTar!AM6</f>
        <v>0</v>
      </c>
      <c r="Z6" s="574">
        <f>Prop2019DistTar!AN6</f>
        <v>0</v>
      </c>
      <c r="AA6" s="574">
        <f>Prop2019DistTar!AO6</f>
        <v>0</v>
      </c>
      <c r="AB6" s="574">
        <f>Prop2019DistTar!AP6</f>
        <v>0</v>
      </c>
      <c r="AC6" s="574">
        <f>Prop2019DistTar!AQ6</f>
        <v>0</v>
      </c>
      <c r="AD6" s="575">
        <f>Prop2019DistTar!AR6</f>
        <v>0</v>
      </c>
      <c r="AF6" s="576">
        <f t="shared" ref="AF6:AF65" si="0">D6/100*R6</f>
        <v>0</v>
      </c>
      <c r="AG6" s="577">
        <f t="shared" ref="AG6:AG65" si="1">E6/100*S6</f>
        <v>15479224.843874142</v>
      </c>
      <c r="AH6" s="577">
        <f t="shared" ref="AH6:AH65" si="2">F6/100*T6</f>
        <v>0</v>
      </c>
      <c r="AI6" s="577">
        <f t="shared" ref="AI6:AI65" si="3">G6/100*U6</f>
        <v>0</v>
      </c>
      <c r="AJ6" s="577">
        <f t="shared" ref="AJ6:AJ65" si="4">H6/100*V6</f>
        <v>24931405.110405806</v>
      </c>
      <c r="AK6" s="577">
        <f t="shared" ref="AK6:AK65" si="5">I6/100*W6</f>
        <v>0</v>
      </c>
      <c r="AL6" s="577">
        <f t="shared" ref="AL6:AL65" si="6">J6/100*X6</f>
        <v>0</v>
      </c>
      <c r="AM6" s="577">
        <f t="shared" ref="AM6:AM65" si="7">K6/100*Y6</f>
        <v>0</v>
      </c>
      <c r="AN6" s="577">
        <f t="shared" ref="AN6:AN65" si="8">L6/100*Z6</f>
        <v>0</v>
      </c>
      <c r="AO6" s="577">
        <f t="shared" ref="AO6:AO65" si="9">M6/100*AA6</f>
        <v>0</v>
      </c>
      <c r="AP6" s="577">
        <f t="shared" ref="AP6:AP65" si="10">N6/100*AB6</f>
        <v>0</v>
      </c>
      <c r="AQ6" s="577">
        <f t="shared" ref="AQ6:AQ65" si="11">O6/100*AC6</f>
        <v>0</v>
      </c>
      <c r="AR6" s="577">
        <f t="shared" ref="AR6:AR65" si="12">P6/100*AD6</f>
        <v>0</v>
      </c>
      <c r="AS6" s="578">
        <f t="shared" ref="AS6:AS65" si="13">SUM(AF6:AR6)</f>
        <v>40410629.954279944</v>
      </c>
    </row>
    <row r="7" spans="2:45" s="458" customFormat="1" x14ac:dyDescent="0.2">
      <c r="B7" s="464" t="str">
        <f>Prop2019DistTar!B7</f>
        <v>Winter economy tariff</v>
      </c>
      <c r="C7" s="579"/>
      <c r="D7" s="712">
        <v>0</v>
      </c>
      <c r="E7" s="713">
        <v>1.84</v>
      </c>
      <c r="F7" s="713">
        <v>0</v>
      </c>
      <c r="G7" s="713">
        <v>0</v>
      </c>
      <c r="H7" s="713">
        <v>1.47</v>
      </c>
      <c r="I7" s="713">
        <v>1.47</v>
      </c>
      <c r="J7" s="713">
        <v>0</v>
      </c>
      <c r="K7" s="713">
        <v>0</v>
      </c>
      <c r="L7" s="713">
        <v>0</v>
      </c>
      <c r="M7" s="713">
        <v>0</v>
      </c>
      <c r="N7" s="713">
        <v>0</v>
      </c>
      <c r="O7" s="713">
        <v>0</v>
      </c>
      <c r="P7" s="714">
        <v>0</v>
      </c>
      <c r="Q7" s="599"/>
      <c r="R7" s="583">
        <f>Prop2019DistTar!AF7</f>
        <v>42656.460733472712</v>
      </c>
      <c r="S7" s="584">
        <f>Prop2019DistTar!AG7</f>
        <v>298454.72927472106</v>
      </c>
      <c r="T7" s="584">
        <f>Prop2019DistTar!AH7</f>
        <v>0</v>
      </c>
      <c r="U7" s="584">
        <f>Prop2019DistTar!AI7</f>
        <v>0</v>
      </c>
      <c r="V7" s="584">
        <f>Prop2019DistTar!AJ7</f>
        <v>543138.85525902733</v>
      </c>
      <c r="W7" s="584">
        <f>Prop2019DistTar!AK7</f>
        <v>0</v>
      </c>
      <c r="X7" s="584">
        <f>Prop2019DistTar!AL7</f>
        <v>0</v>
      </c>
      <c r="Y7" s="584">
        <f>Prop2019DistTar!AM7</f>
        <v>0</v>
      </c>
      <c r="Z7" s="584">
        <f>Prop2019DistTar!AN7</f>
        <v>0</v>
      </c>
      <c r="AA7" s="584">
        <f>Prop2019DistTar!AO7</f>
        <v>0</v>
      </c>
      <c r="AB7" s="584">
        <f>Prop2019DistTar!AP7</f>
        <v>0</v>
      </c>
      <c r="AC7" s="584">
        <f>Prop2019DistTar!AQ7</f>
        <v>0</v>
      </c>
      <c r="AD7" s="585">
        <f>Prop2019DistTar!AR7</f>
        <v>0</v>
      </c>
      <c r="AF7" s="556">
        <f t="shared" si="0"/>
        <v>0</v>
      </c>
      <c r="AG7" s="557">
        <f t="shared" si="1"/>
        <v>5491.5670186548678</v>
      </c>
      <c r="AH7" s="557">
        <f t="shared" si="2"/>
        <v>0</v>
      </c>
      <c r="AI7" s="557">
        <f t="shared" si="3"/>
        <v>0</v>
      </c>
      <c r="AJ7" s="557">
        <f t="shared" si="4"/>
        <v>7984.1411723077017</v>
      </c>
      <c r="AK7" s="557">
        <f t="shared" si="5"/>
        <v>0</v>
      </c>
      <c r="AL7" s="557">
        <f t="shared" si="6"/>
        <v>0</v>
      </c>
      <c r="AM7" s="557">
        <f t="shared" si="7"/>
        <v>0</v>
      </c>
      <c r="AN7" s="557">
        <f t="shared" si="8"/>
        <v>0</v>
      </c>
      <c r="AO7" s="557">
        <f t="shared" si="9"/>
        <v>0</v>
      </c>
      <c r="AP7" s="557">
        <f t="shared" si="10"/>
        <v>0</v>
      </c>
      <c r="AQ7" s="557">
        <f t="shared" si="11"/>
        <v>0</v>
      </c>
      <c r="AR7" s="557">
        <f t="shared" si="12"/>
        <v>0</v>
      </c>
      <c r="AS7" s="469">
        <f t="shared" si="13"/>
        <v>13475.70819096257</v>
      </c>
    </row>
    <row r="8" spans="2:45" s="458" customFormat="1" x14ac:dyDescent="0.2">
      <c r="B8" s="464" t="str">
        <f>Prop2019DistTar!B8</f>
        <v>Reverse cycle airconditioning time of use</v>
      </c>
      <c r="C8" s="579"/>
      <c r="D8" s="712">
        <v>0</v>
      </c>
      <c r="E8" s="713">
        <v>0</v>
      </c>
      <c r="F8" s="713">
        <v>0</v>
      </c>
      <c r="G8" s="713">
        <v>0</v>
      </c>
      <c r="H8" s="713">
        <v>0</v>
      </c>
      <c r="I8" s="713">
        <v>0</v>
      </c>
      <c r="J8" s="713">
        <v>0</v>
      </c>
      <c r="K8" s="713">
        <v>0</v>
      </c>
      <c r="L8" s="713">
        <v>0</v>
      </c>
      <c r="M8" s="713">
        <v>0</v>
      </c>
      <c r="N8" s="713">
        <v>0</v>
      </c>
      <c r="O8" s="713">
        <v>0</v>
      </c>
      <c r="P8" s="714">
        <v>0</v>
      </c>
      <c r="Q8" s="599"/>
      <c r="R8" s="583">
        <f>Prop2019DistTar!AF8</f>
        <v>0</v>
      </c>
      <c r="S8" s="584">
        <f>Prop2019DistTar!AG8</f>
        <v>0</v>
      </c>
      <c r="T8" s="584">
        <f>Prop2019DistTar!AH8</f>
        <v>0</v>
      </c>
      <c r="U8" s="584">
        <f>Prop2019DistTar!AI8</f>
        <v>0</v>
      </c>
      <c r="V8" s="584">
        <f>Prop2019DistTar!AJ8</f>
        <v>0</v>
      </c>
      <c r="W8" s="584">
        <f>Prop2019DistTar!AK8</f>
        <v>0</v>
      </c>
      <c r="X8" s="584">
        <f>Prop2019DistTar!AL8</f>
        <v>0</v>
      </c>
      <c r="Y8" s="584">
        <f>Prop2019DistTar!AM8</f>
        <v>0</v>
      </c>
      <c r="Z8" s="584">
        <f>Prop2019DistTar!AN8</f>
        <v>0</v>
      </c>
      <c r="AA8" s="584">
        <f>Prop2019DistTar!AO8</f>
        <v>0</v>
      </c>
      <c r="AB8" s="584">
        <f>Prop2019DistTar!AP8</f>
        <v>0</v>
      </c>
      <c r="AC8" s="584">
        <f>Prop2019DistTar!AQ8</f>
        <v>0</v>
      </c>
      <c r="AD8" s="585">
        <f>Prop2019DistTar!AR8</f>
        <v>0</v>
      </c>
      <c r="AF8" s="556">
        <f t="shared" si="0"/>
        <v>0</v>
      </c>
      <c r="AG8" s="557">
        <f t="shared" si="1"/>
        <v>0</v>
      </c>
      <c r="AH8" s="557">
        <f t="shared" si="2"/>
        <v>0</v>
      </c>
      <c r="AI8" s="557">
        <f t="shared" si="3"/>
        <v>0</v>
      </c>
      <c r="AJ8" s="557">
        <f t="shared" si="4"/>
        <v>0</v>
      </c>
      <c r="AK8" s="557">
        <f t="shared" si="5"/>
        <v>0</v>
      </c>
      <c r="AL8" s="557">
        <f t="shared" si="6"/>
        <v>0</v>
      </c>
      <c r="AM8" s="557">
        <f t="shared" si="7"/>
        <v>0</v>
      </c>
      <c r="AN8" s="557">
        <f t="shared" si="8"/>
        <v>0</v>
      </c>
      <c r="AO8" s="557">
        <f t="shared" si="9"/>
        <v>0</v>
      </c>
      <c r="AP8" s="557">
        <f t="shared" si="10"/>
        <v>0</v>
      </c>
      <c r="AQ8" s="557">
        <f t="shared" si="11"/>
        <v>0</v>
      </c>
      <c r="AR8" s="557">
        <f t="shared" si="12"/>
        <v>0</v>
      </c>
      <c r="AS8" s="469">
        <f t="shared" si="13"/>
        <v>0</v>
      </c>
    </row>
    <row r="9" spans="2:45" s="458" customFormat="1" x14ac:dyDescent="0.2">
      <c r="B9" s="464" t="str">
        <f>Prop2019DistTar!B9</f>
        <v>Low voltage small 2 rate</v>
      </c>
      <c r="C9" s="579"/>
      <c r="D9" s="712">
        <v>0</v>
      </c>
      <c r="E9" s="713">
        <v>0</v>
      </c>
      <c r="F9" s="713">
        <v>0</v>
      </c>
      <c r="G9" s="713">
        <v>3.15</v>
      </c>
      <c r="H9" s="713">
        <v>0</v>
      </c>
      <c r="I9" s="713">
        <v>0</v>
      </c>
      <c r="J9" s="713">
        <v>2.5299999999999998</v>
      </c>
      <c r="K9" s="713">
        <v>0</v>
      </c>
      <c r="L9" s="713">
        <v>0</v>
      </c>
      <c r="M9" s="713">
        <v>0</v>
      </c>
      <c r="N9" s="713">
        <v>0</v>
      </c>
      <c r="O9" s="713">
        <v>0</v>
      </c>
      <c r="P9" s="714">
        <v>0</v>
      </c>
      <c r="Q9" s="599"/>
      <c r="R9" s="583">
        <f>Prop2019DistTar!AF9</f>
        <v>1340451.1587691894</v>
      </c>
      <c r="S9" s="584">
        <f>Prop2019DistTar!AG9</f>
        <v>0</v>
      </c>
      <c r="T9" s="584">
        <f>Prop2019DistTar!AH9</f>
        <v>0</v>
      </c>
      <c r="U9" s="584">
        <f>Prop2019DistTar!AI9</f>
        <v>3869362.149400895</v>
      </c>
      <c r="V9" s="584">
        <f>Prop2019DistTar!AJ9</f>
        <v>0</v>
      </c>
      <c r="W9" s="584">
        <f>Prop2019DistTar!AK9</f>
        <v>0</v>
      </c>
      <c r="X9" s="584">
        <f>Prop2019DistTar!AL9</f>
        <v>6191506.8114995118</v>
      </c>
      <c r="Y9" s="584">
        <f>Prop2019DistTar!AM9</f>
        <v>13287140.177306311</v>
      </c>
      <c r="Z9" s="584">
        <f>Prop2019DistTar!AN9</f>
        <v>0</v>
      </c>
      <c r="AA9" s="584">
        <f>Prop2019DistTar!AO9</f>
        <v>0</v>
      </c>
      <c r="AB9" s="584">
        <f>Prop2019DistTar!AP9</f>
        <v>0</v>
      </c>
      <c r="AC9" s="584">
        <f>Prop2019DistTar!AQ9</f>
        <v>0</v>
      </c>
      <c r="AD9" s="585">
        <f>Prop2019DistTar!AR9</f>
        <v>0</v>
      </c>
      <c r="AF9" s="556">
        <f t="shared" si="0"/>
        <v>0</v>
      </c>
      <c r="AG9" s="557">
        <f t="shared" si="1"/>
        <v>0</v>
      </c>
      <c r="AH9" s="557">
        <f t="shared" si="2"/>
        <v>0</v>
      </c>
      <c r="AI9" s="557">
        <f t="shared" si="3"/>
        <v>121884.90770612819</v>
      </c>
      <c r="AJ9" s="557">
        <f t="shared" si="4"/>
        <v>0</v>
      </c>
      <c r="AK9" s="557">
        <f t="shared" si="5"/>
        <v>0</v>
      </c>
      <c r="AL9" s="557">
        <f t="shared" si="6"/>
        <v>156645.12233093765</v>
      </c>
      <c r="AM9" s="557">
        <f t="shared" si="7"/>
        <v>0</v>
      </c>
      <c r="AN9" s="557">
        <f t="shared" si="8"/>
        <v>0</v>
      </c>
      <c r="AO9" s="557">
        <f t="shared" si="9"/>
        <v>0</v>
      </c>
      <c r="AP9" s="557">
        <f t="shared" si="10"/>
        <v>0</v>
      </c>
      <c r="AQ9" s="557">
        <f t="shared" si="11"/>
        <v>0</v>
      </c>
      <c r="AR9" s="557">
        <f t="shared" si="12"/>
        <v>0</v>
      </c>
      <c r="AS9" s="469">
        <f t="shared" si="13"/>
        <v>278530.03003706585</v>
      </c>
    </row>
    <row r="10" spans="2:45" s="458" customFormat="1" x14ac:dyDescent="0.2">
      <c r="B10" s="464" t="str">
        <f>Prop2019DistTar!B10</f>
        <v>Dedicated circuit</v>
      </c>
      <c r="C10" s="579"/>
      <c r="D10" s="712">
        <v>0</v>
      </c>
      <c r="E10" s="713">
        <v>0</v>
      </c>
      <c r="F10" s="713">
        <v>0</v>
      </c>
      <c r="G10" s="713">
        <v>0</v>
      </c>
      <c r="H10" s="713">
        <v>0</v>
      </c>
      <c r="I10" s="713">
        <v>0</v>
      </c>
      <c r="J10" s="713">
        <v>0</v>
      </c>
      <c r="K10" s="713">
        <v>0</v>
      </c>
      <c r="L10" s="713">
        <v>0</v>
      </c>
      <c r="M10" s="713">
        <v>0</v>
      </c>
      <c r="N10" s="713">
        <v>0</v>
      </c>
      <c r="O10" s="713">
        <v>0</v>
      </c>
      <c r="P10" s="714">
        <v>0</v>
      </c>
      <c r="Q10" s="599"/>
      <c r="R10" s="583">
        <f>Prop2019DistTar!AF10</f>
        <v>2556582.8135031499</v>
      </c>
      <c r="S10" s="584">
        <f>Prop2019DistTar!AG10</f>
        <v>0</v>
      </c>
      <c r="T10" s="584">
        <f>Prop2019DistTar!AH10</f>
        <v>0</v>
      </c>
      <c r="U10" s="584">
        <f>Prop2019DistTar!AI10</f>
        <v>0</v>
      </c>
      <c r="V10" s="584">
        <f>Prop2019DistTar!AJ10</f>
        <v>0</v>
      </c>
      <c r="W10" s="584">
        <f>Prop2019DistTar!AK10</f>
        <v>0</v>
      </c>
      <c r="X10" s="584">
        <f>Prop2019DistTar!AL10</f>
        <v>0</v>
      </c>
      <c r="Y10" s="584">
        <f>Prop2019DistTar!AM10</f>
        <v>84158747.774884999</v>
      </c>
      <c r="Z10" s="584">
        <f>Prop2019DistTar!AN10</f>
        <v>0</v>
      </c>
      <c r="AA10" s="584">
        <f>Prop2019DistTar!AO10</f>
        <v>0</v>
      </c>
      <c r="AB10" s="584">
        <f>Prop2019DistTar!AP10</f>
        <v>0</v>
      </c>
      <c r="AC10" s="584">
        <f>Prop2019DistTar!AQ10</f>
        <v>0</v>
      </c>
      <c r="AD10" s="585">
        <f>Prop2019DistTar!AR10</f>
        <v>0</v>
      </c>
      <c r="AF10" s="556">
        <f t="shared" si="0"/>
        <v>0</v>
      </c>
      <c r="AG10" s="557">
        <f t="shared" si="1"/>
        <v>0</v>
      </c>
      <c r="AH10" s="557">
        <f t="shared" si="2"/>
        <v>0</v>
      </c>
      <c r="AI10" s="557">
        <f t="shared" si="3"/>
        <v>0</v>
      </c>
      <c r="AJ10" s="557">
        <f t="shared" si="4"/>
        <v>0</v>
      </c>
      <c r="AK10" s="557">
        <f t="shared" si="5"/>
        <v>0</v>
      </c>
      <c r="AL10" s="557">
        <f t="shared" si="6"/>
        <v>0</v>
      </c>
      <c r="AM10" s="557">
        <f t="shared" si="7"/>
        <v>0</v>
      </c>
      <c r="AN10" s="557">
        <f t="shared" si="8"/>
        <v>0</v>
      </c>
      <c r="AO10" s="557">
        <f t="shared" si="9"/>
        <v>0</v>
      </c>
      <c r="AP10" s="557">
        <f t="shared" si="10"/>
        <v>0</v>
      </c>
      <c r="AQ10" s="557">
        <f t="shared" si="11"/>
        <v>0</v>
      </c>
      <c r="AR10" s="557">
        <f t="shared" si="12"/>
        <v>0</v>
      </c>
      <c r="AS10" s="469">
        <f t="shared" si="13"/>
        <v>0</v>
      </c>
    </row>
    <row r="11" spans="2:45" s="458" customFormat="1" x14ac:dyDescent="0.2">
      <c r="B11" s="464" t="str">
        <f>Prop2019DistTar!B11</f>
        <v>Low voltage medium 1 rate</v>
      </c>
      <c r="C11" s="579"/>
      <c r="D11" s="712">
        <v>0</v>
      </c>
      <c r="E11" s="713">
        <v>1.86</v>
      </c>
      <c r="F11" s="713">
        <v>0</v>
      </c>
      <c r="G11" s="713">
        <v>0</v>
      </c>
      <c r="H11" s="713">
        <v>1.86</v>
      </c>
      <c r="I11" s="713">
        <v>0</v>
      </c>
      <c r="J11" s="713">
        <v>0</v>
      </c>
      <c r="K11" s="713">
        <v>0</v>
      </c>
      <c r="L11" s="713">
        <v>0</v>
      </c>
      <c r="M11" s="713">
        <v>0</v>
      </c>
      <c r="N11" s="713">
        <v>0</v>
      </c>
      <c r="O11" s="713">
        <v>0</v>
      </c>
      <c r="P11" s="714">
        <v>0</v>
      </c>
      <c r="Q11" s="599"/>
      <c r="R11" s="583">
        <f>Prop2019DistTar!AF11</f>
        <v>12146313.83417597</v>
      </c>
      <c r="S11" s="584">
        <f>Prop2019DistTar!AG11</f>
        <v>160384013.53021297</v>
      </c>
      <c r="T11" s="584">
        <f>Prop2019DistTar!AH11</f>
        <v>0</v>
      </c>
      <c r="U11" s="584">
        <f>Prop2019DistTar!AI11</f>
        <v>0</v>
      </c>
      <c r="V11" s="584">
        <f>Prop2019DistTar!AJ11</f>
        <v>248017894.41048351</v>
      </c>
      <c r="W11" s="584">
        <f>Prop2019DistTar!AK11</f>
        <v>0</v>
      </c>
      <c r="X11" s="584">
        <f>Prop2019DistTar!AL11</f>
        <v>0</v>
      </c>
      <c r="Y11" s="584">
        <f>Prop2019DistTar!AM11</f>
        <v>0</v>
      </c>
      <c r="Z11" s="584">
        <f>Prop2019DistTar!AN11</f>
        <v>0</v>
      </c>
      <c r="AA11" s="584">
        <f>Prop2019DistTar!AO11</f>
        <v>0</v>
      </c>
      <c r="AB11" s="584">
        <f>Prop2019DistTar!AP11</f>
        <v>0</v>
      </c>
      <c r="AC11" s="584">
        <f>Prop2019DistTar!AQ11</f>
        <v>0</v>
      </c>
      <c r="AD11" s="585">
        <f>Prop2019DistTar!AR11</f>
        <v>0</v>
      </c>
      <c r="AF11" s="556">
        <f t="shared" si="0"/>
        <v>0</v>
      </c>
      <c r="AG11" s="557">
        <f t="shared" si="1"/>
        <v>2983142.6516619613</v>
      </c>
      <c r="AH11" s="557">
        <f t="shared" si="2"/>
        <v>0</v>
      </c>
      <c r="AI11" s="557">
        <f t="shared" si="3"/>
        <v>0</v>
      </c>
      <c r="AJ11" s="557">
        <f t="shared" si="4"/>
        <v>4613132.8360349936</v>
      </c>
      <c r="AK11" s="557">
        <f t="shared" si="5"/>
        <v>0</v>
      </c>
      <c r="AL11" s="557">
        <f t="shared" si="6"/>
        <v>0</v>
      </c>
      <c r="AM11" s="557">
        <f t="shared" si="7"/>
        <v>0</v>
      </c>
      <c r="AN11" s="557">
        <f t="shared" si="8"/>
        <v>0</v>
      </c>
      <c r="AO11" s="557">
        <f t="shared" si="9"/>
        <v>0</v>
      </c>
      <c r="AP11" s="557">
        <f t="shared" si="10"/>
        <v>0</v>
      </c>
      <c r="AQ11" s="557">
        <f t="shared" si="11"/>
        <v>0</v>
      </c>
      <c r="AR11" s="557">
        <f t="shared" si="12"/>
        <v>0</v>
      </c>
      <c r="AS11" s="469">
        <f t="shared" si="13"/>
        <v>7596275.487696955</v>
      </c>
    </row>
    <row r="12" spans="2:45" s="458" customFormat="1" x14ac:dyDescent="0.2">
      <c r="B12" s="464" t="str">
        <f>Prop2019DistTar!B12</f>
        <v>Low voltage medium 2 rate 5 day</v>
      </c>
      <c r="C12" s="579"/>
      <c r="D12" s="712">
        <v>0</v>
      </c>
      <c r="E12" s="713">
        <v>0</v>
      </c>
      <c r="F12" s="713">
        <v>0</v>
      </c>
      <c r="G12" s="713">
        <v>1.98</v>
      </c>
      <c r="H12" s="713">
        <v>0</v>
      </c>
      <c r="I12" s="713">
        <v>0</v>
      </c>
      <c r="J12" s="713">
        <v>1.58</v>
      </c>
      <c r="K12" s="713">
        <v>0</v>
      </c>
      <c r="L12" s="713">
        <v>0</v>
      </c>
      <c r="M12" s="713">
        <v>0</v>
      </c>
      <c r="N12" s="713">
        <v>0</v>
      </c>
      <c r="O12" s="713">
        <v>0</v>
      </c>
      <c r="P12" s="714">
        <v>0</v>
      </c>
      <c r="Q12" s="599"/>
      <c r="R12" s="583">
        <f>Prop2019DistTar!AF12</f>
        <v>3142786.3099071081</v>
      </c>
      <c r="S12" s="584">
        <f>Prop2019DistTar!AG12</f>
        <v>0</v>
      </c>
      <c r="T12" s="584">
        <f>Prop2019DistTar!AH12</f>
        <v>0</v>
      </c>
      <c r="U12" s="584">
        <f>Prop2019DistTar!AI12</f>
        <v>48750958.343441747</v>
      </c>
      <c r="V12" s="584">
        <f>Prop2019DistTar!AJ12</f>
        <v>0</v>
      </c>
      <c r="W12" s="584">
        <f>Prop2019DistTar!AK12</f>
        <v>0</v>
      </c>
      <c r="X12" s="584">
        <f>Prop2019DistTar!AL12</f>
        <v>71461261.271050319</v>
      </c>
      <c r="Y12" s="584">
        <f>Prop2019DistTar!AM12</f>
        <v>72558263.793640316</v>
      </c>
      <c r="Z12" s="584">
        <f>Prop2019DistTar!AN12</f>
        <v>0</v>
      </c>
      <c r="AA12" s="584">
        <f>Prop2019DistTar!AO12</f>
        <v>0</v>
      </c>
      <c r="AB12" s="584">
        <f>Prop2019DistTar!AP12</f>
        <v>0</v>
      </c>
      <c r="AC12" s="584">
        <f>Prop2019DistTar!AQ12</f>
        <v>0</v>
      </c>
      <c r="AD12" s="585">
        <f>Prop2019DistTar!AR12</f>
        <v>0</v>
      </c>
      <c r="AF12" s="556">
        <f t="shared" si="0"/>
        <v>0</v>
      </c>
      <c r="AG12" s="557">
        <f t="shared" si="1"/>
        <v>0</v>
      </c>
      <c r="AH12" s="557">
        <f t="shared" si="2"/>
        <v>0</v>
      </c>
      <c r="AI12" s="557">
        <f t="shared" si="3"/>
        <v>965268.97520014655</v>
      </c>
      <c r="AJ12" s="557">
        <f t="shared" si="4"/>
        <v>0</v>
      </c>
      <c r="AK12" s="557">
        <f t="shared" si="5"/>
        <v>0</v>
      </c>
      <c r="AL12" s="557">
        <f t="shared" si="6"/>
        <v>1129087.9280825951</v>
      </c>
      <c r="AM12" s="557">
        <f t="shared" si="7"/>
        <v>0</v>
      </c>
      <c r="AN12" s="557">
        <f t="shared" si="8"/>
        <v>0</v>
      </c>
      <c r="AO12" s="557">
        <f t="shared" si="9"/>
        <v>0</v>
      </c>
      <c r="AP12" s="557">
        <f t="shared" si="10"/>
        <v>0</v>
      </c>
      <c r="AQ12" s="557">
        <f t="shared" si="11"/>
        <v>0</v>
      </c>
      <c r="AR12" s="557">
        <f t="shared" si="12"/>
        <v>0</v>
      </c>
      <c r="AS12" s="469">
        <f t="shared" si="13"/>
        <v>2094356.9032827416</v>
      </c>
    </row>
    <row r="13" spans="2:45" s="458" customFormat="1" x14ac:dyDescent="0.2">
      <c r="B13" s="464" t="str">
        <f>Prop2019DistTar!B13</f>
        <v>Low voltage medium 2 rate 7 day</v>
      </c>
      <c r="C13" s="579"/>
      <c r="D13" s="712">
        <v>0</v>
      </c>
      <c r="E13" s="713">
        <v>0</v>
      </c>
      <c r="F13" s="713">
        <v>0</v>
      </c>
      <c r="G13" s="713">
        <v>1.99</v>
      </c>
      <c r="H13" s="713">
        <v>0</v>
      </c>
      <c r="I13" s="713">
        <v>0</v>
      </c>
      <c r="J13" s="713">
        <v>1.59</v>
      </c>
      <c r="K13" s="713">
        <v>0</v>
      </c>
      <c r="L13" s="713">
        <v>0</v>
      </c>
      <c r="M13" s="713">
        <v>0</v>
      </c>
      <c r="N13" s="713">
        <v>0</v>
      </c>
      <c r="O13" s="713">
        <v>0</v>
      </c>
      <c r="P13" s="714">
        <v>0</v>
      </c>
      <c r="Q13" s="599"/>
      <c r="R13" s="583">
        <f>Prop2019DistTar!AF13</f>
        <v>1806435.3607059252</v>
      </c>
      <c r="S13" s="584">
        <f>Prop2019DistTar!AG13</f>
        <v>0</v>
      </c>
      <c r="T13" s="584">
        <f>Prop2019DistTar!AH13</f>
        <v>0</v>
      </c>
      <c r="U13" s="584">
        <f>Prop2019DistTar!AI13</f>
        <v>24677811.012879409</v>
      </c>
      <c r="V13" s="584">
        <f>Prop2019DistTar!AJ13</f>
        <v>0</v>
      </c>
      <c r="W13" s="584">
        <f>Prop2019DistTar!AK13</f>
        <v>0</v>
      </c>
      <c r="X13" s="584">
        <f>Prop2019DistTar!AL13</f>
        <v>38638672.968607686</v>
      </c>
      <c r="Y13" s="584">
        <f>Prop2019DistTar!AM13</f>
        <v>17093353.142594486</v>
      </c>
      <c r="Z13" s="584">
        <f>Prop2019DistTar!AN13</f>
        <v>0</v>
      </c>
      <c r="AA13" s="584">
        <f>Prop2019DistTar!AO13</f>
        <v>0</v>
      </c>
      <c r="AB13" s="584">
        <f>Prop2019DistTar!AP13</f>
        <v>0</v>
      </c>
      <c r="AC13" s="584">
        <f>Prop2019DistTar!AQ13</f>
        <v>0</v>
      </c>
      <c r="AD13" s="585">
        <f>Prop2019DistTar!AR13</f>
        <v>0</v>
      </c>
      <c r="AF13" s="556">
        <f t="shared" si="0"/>
        <v>0</v>
      </c>
      <c r="AG13" s="557">
        <f t="shared" si="1"/>
        <v>0</v>
      </c>
      <c r="AH13" s="557">
        <f t="shared" si="2"/>
        <v>0</v>
      </c>
      <c r="AI13" s="557">
        <f t="shared" si="3"/>
        <v>491088.43915630027</v>
      </c>
      <c r="AJ13" s="557">
        <f t="shared" si="4"/>
        <v>0</v>
      </c>
      <c r="AK13" s="557">
        <f t="shared" si="5"/>
        <v>0</v>
      </c>
      <c r="AL13" s="557">
        <f t="shared" si="6"/>
        <v>614354.9002008622</v>
      </c>
      <c r="AM13" s="557">
        <f t="shared" si="7"/>
        <v>0</v>
      </c>
      <c r="AN13" s="557">
        <f t="shared" si="8"/>
        <v>0</v>
      </c>
      <c r="AO13" s="557">
        <f t="shared" si="9"/>
        <v>0</v>
      </c>
      <c r="AP13" s="557">
        <f t="shared" si="10"/>
        <v>0</v>
      </c>
      <c r="AQ13" s="557">
        <f t="shared" si="11"/>
        <v>0</v>
      </c>
      <c r="AR13" s="557">
        <f t="shared" si="12"/>
        <v>0</v>
      </c>
      <c r="AS13" s="469">
        <f t="shared" si="13"/>
        <v>1105443.3393571624</v>
      </c>
    </row>
    <row r="14" spans="2:45" s="458" customFormat="1" x14ac:dyDescent="0.2">
      <c r="B14" s="464" t="str">
        <f>Prop2019DistTar!B14</f>
        <v>Unmetered supplies</v>
      </c>
      <c r="C14" s="579"/>
      <c r="D14" s="712">
        <v>0</v>
      </c>
      <c r="E14" s="713">
        <v>0</v>
      </c>
      <c r="F14" s="713">
        <v>0</v>
      </c>
      <c r="G14" s="713">
        <v>2.87</v>
      </c>
      <c r="H14" s="713">
        <v>0</v>
      </c>
      <c r="I14" s="713">
        <v>0</v>
      </c>
      <c r="J14" s="713">
        <v>2.2999999999999998</v>
      </c>
      <c r="K14" s="713">
        <v>0</v>
      </c>
      <c r="L14" s="713">
        <v>0</v>
      </c>
      <c r="M14" s="713">
        <v>0</v>
      </c>
      <c r="N14" s="713">
        <v>0</v>
      </c>
      <c r="O14" s="713">
        <v>0</v>
      </c>
      <c r="P14" s="714">
        <v>0</v>
      </c>
      <c r="Q14" s="599"/>
      <c r="R14" s="583">
        <f>Prop2019DistTar!AF14</f>
        <v>2772880.6587093272</v>
      </c>
      <c r="S14" s="584">
        <f>Prop2019DistTar!AG14</f>
        <v>0</v>
      </c>
      <c r="T14" s="584">
        <f>Prop2019DistTar!AH14</f>
        <v>0</v>
      </c>
      <c r="U14" s="584">
        <f>Prop2019DistTar!AI14</f>
        <v>12344107.452443851</v>
      </c>
      <c r="V14" s="584">
        <f>Prop2019DistTar!AJ14</f>
        <v>0</v>
      </c>
      <c r="W14" s="584">
        <f>Prop2019DistTar!AK14</f>
        <v>0</v>
      </c>
      <c r="X14" s="584">
        <f>Prop2019DistTar!AL14</f>
        <v>20839763.871000901</v>
      </c>
      <c r="Y14" s="584">
        <f>Prop2019DistTar!AM14</f>
        <v>61038507.71169661</v>
      </c>
      <c r="Z14" s="584">
        <f>Prop2019DistTar!AN14</f>
        <v>0</v>
      </c>
      <c r="AA14" s="584">
        <f>Prop2019DistTar!AO14</f>
        <v>0</v>
      </c>
      <c r="AB14" s="584">
        <f>Prop2019DistTar!AP14</f>
        <v>0</v>
      </c>
      <c r="AC14" s="584">
        <f>Prop2019DistTar!AQ14</f>
        <v>0</v>
      </c>
      <c r="AD14" s="585">
        <f>Prop2019DistTar!AR14</f>
        <v>0</v>
      </c>
      <c r="AF14" s="556">
        <f t="shared" si="0"/>
        <v>0</v>
      </c>
      <c r="AG14" s="557">
        <f t="shared" si="1"/>
        <v>0</v>
      </c>
      <c r="AH14" s="557">
        <f t="shared" si="2"/>
        <v>0</v>
      </c>
      <c r="AI14" s="557">
        <f t="shared" si="3"/>
        <v>354275.88388513855</v>
      </c>
      <c r="AJ14" s="557">
        <f t="shared" si="4"/>
        <v>0</v>
      </c>
      <c r="AK14" s="557">
        <f t="shared" si="5"/>
        <v>0</v>
      </c>
      <c r="AL14" s="557">
        <f t="shared" si="6"/>
        <v>479314.5690330207</v>
      </c>
      <c r="AM14" s="557">
        <f t="shared" si="7"/>
        <v>0</v>
      </c>
      <c r="AN14" s="557">
        <f t="shared" si="8"/>
        <v>0</v>
      </c>
      <c r="AO14" s="557">
        <f t="shared" si="9"/>
        <v>0</v>
      </c>
      <c r="AP14" s="557">
        <f t="shared" si="10"/>
        <v>0</v>
      </c>
      <c r="AQ14" s="557">
        <f t="shared" si="11"/>
        <v>0</v>
      </c>
      <c r="AR14" s="557">
        <f t="shared" si="12"/>
        <v>0</v>
      </c>
      <c r="AS14" s="469">
        <f t="shared" si="13"/>
        <v>833590.45291815931</v>
      </c>
    </row>
    <row r="15" spans="2:45" s="458" customFormat="1" x14ac:dyDescent="0.2">
      <c r="B15" s="464" t="str">
        <f>Prop2019DistTar!B15</f>
        <v>Low voltage large 1 rate</v>
      </c>
      <c r="C15" s="579"/>
      <c r="D15" s="712">
        <v>0</v>
      </c>
      <c r="E15" s="713">
        <v>1.91</v>
      </c>
      <c r="F15" s="713">
        <v>0</v>
      </c>
      <c r="G15" s="713">
        <v>0</v>
      </c>
      <c r="H15" s="713">
        <v>1.52</v>
      </c>
      <c r="I15" s="713">
        <v>0</v>
      </c>
      <c r="J15" s="713">
        <v>0</v>
      </c>
      <c r="K15" s="713">
        <v>0</v>
      </c>
      <c r="L15" s="713">
        <v>0</v>
      </c>
      <c r="M15" s="713">
        <v>0</v>
      </c>
      <c r="N15" s="713">
        <v>0</v>
      </c>
      <c r="O15" s="713">
        <v>0</v>
      </c>
      <c r="P15" s="714">
        <v>0</v>
      </c>
      <c r="Q15" s="599"/>
      <c r="R15" s="583">
        <f>Prop2019DistTar!AF15</f>
        <v>2053.7935488600656</v>
      </c>
      <c r="S15" s="584">
        <f>Prop2019DistTar!AG15</f>
        <v>535639.43750507152</v>
      </c>
      <c r="T15" s="584">
        <f>Prop2019DistTar!AH15</f>
        <v>0</v>
      </c>
      <c r="U15" s="584">
        <f>Prop2019DistTar!AI15</f>
        <v>0</v>
      </c>
      <c r="V15" s="584">
        <f>Prop2019DistTar!AJ15</f>
        <v>716644.26150662987</v>
      </c>
      <c r="W15" s="584">
        <f>Prop2019DistTar!AK15</f>
        <v>0</v>
      </c>
      <c r="X15" s="584">
        <f>Prop2019DistTar!AL15</f>
        <v>0</v>
      </c>
      <c r="Y15" s="584">
        <f>Prop2019DistTar!AM15</f>
        <v>0</v>
      </c>
      <c r="Z15" s="584">
        <f>Prop2019DistTar!AN15</f>
        <v>0</v>
      </c>
      <c r="AA15" s="584">
        <f>Prop2019DistTar!AO15</f>
        <v>0</v>
      </c>
      <c r="AB15" s="584">
        <f>Prop2019DistTar!AP15</f>
        <v>0</v>
      </c>
      <c r="AC15" s="584">
        <f>Prop2019DistTar!AQ15</f>
        <v>0</v>
      </c>
      <c r="AD15" s="585">
        <f>Prop2019DistTar!AR15</f>
        <v>0</v>
      </c>
      <c r="AF15" s="556">
        <f t="shared" si="0"/>
        <v>0</v>
      </c>
      <c r="AG15" s="557">
        <f t="shared" si="1"/>
        <v>10230.713256346866</v>
      </c>
      <c r="AH15" s="557">
        <f t="shared" si="2"/>
        <v>0</v>
      </c>
      <c r="AI15" s="557">
        <f t="shared" si="3"/>
        <v>0</v>
      </c>
      <c r="AJ15" s="557">
        <f t="shared" si="4"/>
        <v>10892.992774900775</v>
      </c>
      <c r="AK15" s="557">
        <f t="shared" si="5"/>
        <v>0</v>
      </c>
      <c r="AL15" s="557">
        <f t="shared" si="6"/>
        <v>0</v>
      </c>
      <c r="AM15" s="557">
        <f t="shared" si="7"/>
        <v>0</v>
      </c>
      <c r="AN15" s="557">
        <f t="shared" si="8"/>
        <v>0</v>
      </c>
      <c r="AO15" s="557">
        <f t="shared" si="9"/>
        <v>0</v>
      </c>
      <c r="AP15" s="557">
        <f t="shared" si="10"/>
        <v>0</v>
      </c>
      <c r="AQ15" s="557">
        <f t="shared" si="11"/>
        <v>0</v>
      </c>
      <c r="AR15" s="557">
        <f t="shared" si="12"/>
        <v>0</v>
      </c>
      <c r="AS15" s="469">
        <f t="shared" si="13"/>
        <v>21123.706031247639</v>
      </c>
    </row>
    <row r="16" spans="2:45" s="458" customFormat="1" x14ac:dyDescent="0.2">
      <c r="B16" s="464" t="str">
        <f>Prop2019DistTar!B16</f>
        <v>Low voltage large 2 rate</v>
      </c>
      <c r="C16" s="579"/>
      <c r="D16" s="712">
        <v>0</v>
      </c>
      <c r="E16" s="713">
        <v>0</v>
      </c>
      <c r="F16" s="713">
        <v>0</v>
      </c>
      <c r="G16" s="713">
        <v>1.81</v>
      </c>
      <c r="H16" s="713">
        <v>0</v>
      </c>
      <c r="I16" s="713">
        <v>0</v>
      </c>
      <c r="J16" s="713">
        <v>1.45</v>
      </c>
      <c r="K16" s="713">
        <v>0</v>
      </c>
      <c r="L16" s="713">
        <v>0</v>
      </c>
      <c r="M16" s="713">
        <v>0</v>
      </c>
      <c r="N16" s="713">
        <v>0</v>
      </c>
      <c r="O16" s="713">
        <v>0</v>
      </c>
      <c r="P16" s="714">
        <v>0</v>
      </c>
      <c r="Q16" s="599"/>
      <c r="R16" s="583">
        <f>Prop2019DistTar!AF16</f>
        <v>6881.0869859961267</v>
      </c>
      <c r="S16" s="584">
        <f>Prop2019DistTar!AG16</f>
        <v>0</v>
      </c>
      <c r="T16" s="584">
        <f>Prop2019DistTar!AH16</f>
        <v>0</v>
      </c>
      <c r="U16" s="584">
        <f>Prop2019DistTar!AI16</f>
        <v>913090.08845389041</v>
      </c>
      <c r="V16" s="584">
        <f>Prop2019DistTar!AJ16</f>
        <v>0</v>
      </c>
      <c r="W16" s="584">
        <f>Prop2019DistTar!AK16</f>
        <v>0</v>
      </c>
      <c r="X16" s="584">
        <f>Prop2019DistTar!AL16</f>
        <v>1108281.0913600235</v>
      </c>
      <c r="Y16" s="584">
        <f>Prop2019DistTar!AM16</f>
        <v>1553601.3336914517</v>
      </c>
      <c r="Z16" s="584">
        <f>Prop2019DistTar!AN16</f>
        <v>0</v>
      </c>
      <c r="AA16" s="584">
        <f>Prop2019DistTar!AO16</f>
        <v>0</v>
      </c>
      <c r="AB16" s="584">
        <f>Prop2019DistTar!AP16</f>
        <v>0</v>
      </c>
      <c r="AC16" s="584">
        <f>Prop2019DistTar!AQ16</f>
        <v>0</v>
      </c>
      <c r="AD16" s="585">
        <f>Prop2019DistTar!AR16</f>
        <v>0</v>
      </c>
      <c r="AF16" s="556">
        <f t="shared" si="0"/>
        <v>0</v>
      </c>
      <c r="AG16" s="557">
        <f t="shared" si="1"/>
        <v>0</v>
      </c>
      <c r="AH16" s="557">
        <f t="shared" si="2"/>
        <v>0</v>
      </c>
      <c r="AI16" s="557">
        <f t="shared" si="3"/>
        <v>16526.930601015418</v>
      </c>
      <c r="AJ16" s="557">
        <f t="shared" si="4"/>
        <v>0</v>
      </c>
      <c r="AK16" s="557">
        <f t="shared" si="5"/>
        <v>0</v>
      </c>
      <c r="AL16" s="557">
        <f t="shared" si="6"/>
        <v>16070.075824720339</v>
      </c>
      <c r="AM16" s="557">
        <f t="shared" si="7"/>
        <v>0</v>
      </c>
      <c r="AN16" s="557">
        <f t="shared" si="8"/>
        <v>0</v>
      </c>
      <c r="AO16" s="557">
        <f t="shared" si="9"/>
        <v>0</v>
      </c>
      <c r="AP16" s="557">
        <f t="shared" si="10"/>
        <v>0</v>
      </c>
      <c r="AQ16" s="557">
        <f t="shared" si="11"/>
        <v>0</v>
      </c>
      <c r="AR16" s="557">
        <f t="shared" si="12"/>
        <v>0</v>
      </c>
      <c r="AS16" s="469">
        <f t="shared" si="13"/>
        <v>32597.006425735759</v>
      </c>
    </row>
    <row r="17" spans="2:45" s="458" customFormat="1" x14ac:dyDescent="0.2">
      <c r="B17" s="464" t="str">
        <f>Prop2019DistTar!B17</f>
        <v>Low voltage KW time of use</v>
      </c>
      <c r="C17" s="579"/>
      <c r="D17" s="712">
        <v>0</v>
      </c>
      <c r="E17" s="713">
        <v>0</v>
      </c>
      <c r="F17" s="713">
        <v>0</v>
      </c>
      <c r="G17" s="713">
        <v>1.65</v>
      </c>
      <c r="H17" s="713">
        <v>0</v>
      </c>
      <c r="I17" s="713">
        <v>0</v>
      </c>
      <c r="J17" s="713">
        <v>1.32</v>
      </c>
      <c r="K17" s="713">
        <v>0</v>
      </c>
      <c r="L17" s="713">
        <v>0</v>
      </c>
      <c r="M17" s="713">
        <v>0</v>
      </c>
      <c r="N17" s="713">
        <v>7.71</v>
      </c>
      <c r="O17" s="713">
        <v>0</v>
      </c>
      <c r="P17" s="714">
        <v>0</v>
      </c>
      <c r="Q17" s="599"/>
      <c r="R17" s="583">
        <f>Prop2019DistTar!AF17</f>
        <v>67773.959673982419</v>
      </c>
      <c r="S17" s="584">
        <f>Prop2019DistTar!AG17</f>
        <v>0</v>
      </c>
      <c r="T17" s="584">
        <f>Prop2019DistTar!AH17</f>
        <v>0</v>
      </c>
      <c r="U17" s="584">
        <f>Prop2019DistTar!AI17</f>
        <v>2979941.9771071388</v>
      </c>
      <c r="V17" s="584">
        <f>Prop2019DistTar!AJ17</f>
        <v>0</v>
      </c>
      <c r="W17" s="584">
        <f>Prop2019DistTar!AK17</f>
        <v>0</v>
      </c>
      <c r="X17" s="584">
        <f>Prop2019DistTar!AL17</f>
        <v>4372012.9150217762</v>
      </c>
      <c r="Y17" s="584">
        <f>Prop2019DistTar!AM17</f>
        <v>6961060.9343109829</v>
      </c>
      <c r="Z17" s="584">
        <f>Prop2019DistTar!AN17</f>
        <v>0</v>
      </c>
      <c r="AA17" s="584">
        <f>Prop2019DistTar!AO17</f>
        <v>0</v>
      </c>
      <c r="AB17" s="584">
        <f>Prop2019DistTar!AP17</f>
        <v>574892.57309169706</v>
      </c>
      <c r="AC17" s="584">
        <f>Prop2019DistTar!AQ17</f>
        <v>0</v>
      </c>
      <c r="AD17" s="585">
        <f>Prop2019DistTar!AR17</f>
        <v>0</v>
      </c>
      <c r="AF17" s="556">
        <f t="shared" si="0"/>
        <v>0</v>
      </c>
      <c r="AG17" s="557">
        <f t="shared" si="1"/>
        <v>0</v>
      </c>
      <c r="AH17" s="557">
        <f t="shared" si="2"/>
        <v>0</v>
      </c>
      <c r="AI17" s="557">
        <f t="shared" si="3"/>
        <v>49169.042622267792</v>
      </c>
      <c r="AJ17" s="557">
        <f t="shared" si="4"/>
        <v>0</v>
      </c>
      <c r="AK17" s="557">
        <f t="shared" si="5"/>
        <v>0</v>
      </c>
      <c r="AL17" s="557">
        <f t="shared" si="6"/>
        <v>57710.570478287445</v>
      </c>
      <c r="AM17" s="557">
        <f t="shared" si="7"/>
        <v>0</v>
      </c>
      <c r="AN17" s="557">
        <f t="shared" si="8"/>
        <v>0</v>
      </c>
      <c r="AO17" s="557">
        <f t="shared" si="9"/>
        <v>0</v>
      </c>
      <c r="AP17" s="557">
        <f t="shared" si="10"/>
        <v>44324.217385369848</v>
      </c>
      <c r="AQ17" s="557">
        <f t="shared" si="11"/>
        <v>0</v>
      </c>
      <c r="AR17" s="557">
        <f t="shared" si="12"/>
        <v>0</v>
      </c>
      <c r="AS17" s="469">
        <f t="shared" si="13"/>
        <v>151203.83048592508</v>
      </c>
    </row>
    <row r="18" spans="2:45" s="458" customFormat="1" x14ac:dyDescent="0.2">
      <c r="B18" s="464" t="str">
        <f>Prop2019DistTar!B18</f>
        <v>Low voltage KW time of use - HOT</v>
      </c>
      <c r="C18" s="579"/>
      <c r="D18" s="712">
        <v>0</v>
      </c>
      <c r="E18" s="713">
        <v>0</v>
      </c>
      <c r="F18" s="713">
        <v>0</v>
      </c>
      <c r="G18" s="713">
        <v>1.04</v>
      </c>
      <c r="H18" s="713">
        <v>0</v>
      </c>
      <c r="I18" s="713">
        <v>0</v>
      </c>
      <c r="J18" s="713">
        <v>0.83</v>
      </c>
      <c r="K18" s="713">
        <v>0</v>
      </c>
      <c r="L18" s="713">
        <v>0</v>
      </c>
      <c r="M18" s="713">
        <v>0</v>
      </c>
      <c r="N18" s="713">
        <v>9.2799999999999994</v>
      </c>
      <c r="O18" s="713">
        <v>0</v>
      </c>
      <c r="P18" s="714">
        <v>0</v>
      </c>
      <c r="Q18" s="599"/>
      <c r="R18" s="583">
        <f>Prop2019DistTar!AF18</f>
        <v>6805.9491785765576</v>
      </c>
      <c r="S18" s="584">
        <f>Prop2019DistTar!AG18</f>
        <v>0</v>
      </c>
      <c r="T18" s="584">
        <f>Prop2019DistTar!AH18</f>
        <v>0</v>
      </c>
      <c r="U18" s="584">
        <f>Prop2019DistTar!AI18</f>
        <v>183616.80542617524</v>
      </c>
      <c r="V18" s="584">
        <f>Prop2019DistTar!AJ18</f>
        <v>0</v>
      </c>
      <c r="W18" s="584">
        <f>Prop2019DistTar!AK18</f>
        <v>0</v>
      </c>
      <c r="X18" s="584">
        <f>Prop2019DistTar!AL18</f>
        <v>433724.40822035994</v>
      </c>
      <c r="Y18" s="584">
        <f>Prop2019DistTar!AM18</f>
        <v>926538.10078744951</v>
      </c>
      <c r="Z18" s="584">
        <f>Prop2019DistTar!AN18</f>
        <v>0</v>
      </c>
      <c r="AA18" s="584">
        <f>Prop2019DistTar!AO18</f>
        <v>0</v>
      </c>
      <c r="AB18" s="584">
        <f>Prop2019DistTar!AP18</f>
        <v>109607.54884481634</v>
      </c>
      <c r="AC18" s="584">
        <f>Prop2019DistTar!AQ18</f>
        <v>0</v>
      </c>
      <c r="AD18" s="585">
        <f>Prop2019DistTar!AR18</f>
        <v>0</v>
      </c>
      <c r="AF18" s="556">
        <f t="shared" si="0"/>
        <v>0</v>
      </c>
      <c r="AG18" s="557">
        <f t="shared" si="1"/>
        <v>0</v>
      </c>
      <c r="AH18" s="557">
        <f t="shared" si="2"/>
        <v>0</v>
      </c>
      <c r="AI18" s="557">
        <f t="shared" si="3"/>
        <v>1909.6147764322225</v>
      </c>
      <c r="AJ18" s="557">
        <f t="shared" si="4"/>
        <v>0</v>
      </c>
      <c r="AK18" s="557">
        <f t="shared" si="5"/>
        <v>0</v>
      </c>
      <c r="AL18" s="557">
        <f t="shared" si="6"/>
        <v>3599.9125882289877</v>
      </c>
      <c r="AM18" s="557">
        <f t="shared" si="7"/>
        <v>0</v>
      </c>
      <c r="AN18" s="557">
        <f t="shared" si="8"/>
        <v>0</v>
      </c>
      <c r="AO18" s="557">
        <f t="shared" si="9"/>
        <v>0</v>
      </c>
      <c r="AP18" s="557">
        <f t="shared" si="10"/>
        <v>10171.580532798955</v>
      </c>
      <c r="AQ18" s="557">
        <f t="shared" si="11"/>
        <v>0</v>
      </c>
      <c r="AR18" s="557">
        <f t="shared" si="12"/>
        <v>0</v>
      </c>
      <c r="AS18" s="469">
        <f t="shared" si="13"/>
        <v>15681.107897460166</v>
      </c>
    </row>
    <row r="19" spans="2:45" s="458" customFormat="1" x14ac:dyDescent="0.2">
      <c r="B19" s="464" t="str">
        <f>Prop2019DistTar!B19</f>
        <v>Low voltage large KVA time of use</v>
      </c>
      <c r="C19" s="579"/>
      <c r="D19" s="712">
        <v>0</v>
      </c>
      <c r="E19" s="713">
        <v>0</v>
      </c>
      <c r="F19" s="713">
        <v>0</v>
      </c>
      <c r="G19" s="713">
        <v>0.94</v>
      </c>
      <c r="H19" s="713">
        <v>0</v>
      </c>
      <c r="I19" s="713">
        <v>0</v>
      </c>
      <c r="J19" s="713">
        <v>0.76</v>
      </c>
      <c r="K19" s="713">
        <v>0</v>
      </c>
      <c r="L19" s="713">
        <v>0</v>
      </c>
      <c r="M19" s="713">
        <v>3.83</v>
      </c>
      <c r="N19" s="713">
        <v>5.23</v>
      </c>
      <c r="O19" s="713">
        <v>0</v>
      </c>
      <c r="P19" s="714">
        <v>0</v>
      </c>
      <c r="Q19" s="599"/>
      <c r="R19" s="583">
        <f>Prop2019DistTar!AF19</f>
        <v>1176060.6836946514</v>
      </c>
      <c r="S19" s="584">
        <f>Prop2019DistTar!AG19</f>
        <v>0</v>
      </c>
      <c r="T19" s="584">
        <f>Prop2019DistTar!AH19</f>
        <v>0</v>
      </c>
      <c r="U19" s="584">
        <f>Prop2019DistTar!AI19</f>
        <v>473574249.76083934</v>
      </c>
      <c r="V19" s="584">
        <f>Prop2019DistTar!AJ19</f>
        <v>0</v>
      </c>
      <c r="W19" s="584">
        <f>Prop2019DistTar!AK19</f>
        <v>0</v>
      </c>
      <c r="X19" s="584">
        <f>Prop2019DistTar!AL19</f>
        <v>668096504.00715244</v>
      </c>
      <c r="Y19" s="584">
        <f>Prop2019DistTar!AM19</f>
        <v>1311174632.3700414</v>
      </c>
      <c r="Z19" s="584">
        <f>Prop2019DistTar!AN19</f>
        <v>0</v>
      </c>
      <c r="AA19" s="584">
        <f>Prop2019DistTar!AO19</f>
        <v>326114206.85773444</v>
      </c>
      <c r="AB19" s="584">
        <f>Prop2019DistTar!AP19</f>
        <v>95205640.608022407</v>
      </c>
      <c r="AC19" s="584">
        <f>Prop2019DistTar!AQ19</f>
        <v>0</v>
      </c>
      <c r="AD19" s="585">
        <f>Prop2019DistTar!AR19</f>
        <v>0</v>
      </c>
      <c r="AF19" s="556">
        <f t="shared" si="0"/>
        <v>0</v>
      </c>
      <c r="AG19" s="557">
        <f t="shared" si="1"/>
        <v>0</v>
      </c>
      <c r="AH19" s="557">
        <f t="shared" si="2"/>
        <v>0</v>
      </c>
      <c r="AI19" s="557">
        <f t="shared" si="3"/>
        <v>4451597.947751889</v>
      </c>
      <c r="AJ19" s="557">
        <f t="shared" si="4"/>
        <v>0</v>
      </c>
      <c r="AK19" s="557">
        <f t="shared" si="5"/>
        <v>0</v>
      </c>
      <c r="AL19" s="557">
        <f t="shared" si="6"/>
        <v>5077533.4304543585</v>
      </c>
      <c r="AM19" s="557">
        <f t="shared" si="7"/>
        <v>0</v>
      </c>
      <c r="AN19" s="557">
        <f t="shared" si="8"/>
        <v>0</v>
      </c>
      <c r="AO19" s="557">
        <f t="shared" si="9"/>
        <v>12490174.122651229</v>
      </c>
      <c r="AP19" s="557">
        <f t="shared" si="10"/>
        <v>4979255.0037995726</v>
      </c>
      <c r="AQ19" s="557">
        <f t="shared" si="11"/>
        <v>0</v>
      </c>
      <c r="AR19" s="557">
        <f t="shared" si="12"/>
        <v>0</v>
      </c>
      <c r="AS19" s="469">
        <f t="shared" si="13"/>
        <v>26998560.504657049</v>
      </c>
    </row>
    <row r="20" spans="2:45" s="458" customFormat="1" x14ac:dyDescent="0.2">
      <c r="B20" s="464" t="str">
        <f>Prop2019DistTar!B20</f>
        <v>Low voltage large KVA time of use - HOT</v>
      </c>
      <c r="C20" s="579"/>
      <c r="D20" s="712">
        <v>0</v>
      </c>
      <c r="E20" s="713">
        <v>0</v>
      </c>
      <c r="F20" s="713">
        <v>0</v>
      </c>
      <c r="G20" s="713">
        <v>0</v>
      </c>
      <c r="H20" s="713">
        <v>0</v>
      </c>
      <c r="I20" s="713">
        <v>0</v>
      </c>
      <c r="J20" s="713">
        <v>0</v>
      </c>
      <c r="K20" s="713">
        <v>0</v>
      </c>
      <c r="L20" s="713">
        <v>0</v>
      </c>
      <c r="M20" s="713">
        <v>0</v>
      </c>
      <c r="N20" s="713">
        <v>0</v>
      </c>
      <c r="O20" s="713">
        <v>0</v>
      </c>
      <c r="P20" s="714">
        <v>0</v>
      </c>
      <c r="Q20" s="599"/>
      <c r="R20" s="583">
        <f>Prop2019DistTar!AF20</f>
        <v>0</v>
      </c>
      <c r="S20" s="584">
        <f>Prop2019DistTar!AG20</f>
        <v>0</v>
      </c>
      <c r="T20" s="584">
        <f>Prop2019DistTar!AH20</f>
        <v>0</v>
      </c>
      <c r="U20" s="584">
        <f>Prop2019DistTar!AI20</f>
        <v>0</v>
      </c>
      <c r="V20" s="584">
        <f>Prop2019DistTar!AJ20</f>
        <v>0</v>
      </c>
      <c r="W20" s="584">
        <f>Prop2019DistTar!AK20</f>
        <v>0</v>
      </c>
      <c r="X20" s="584">
        <f>Prop2019DistTar!AL20</f>
        <v>0</v>
      </c>
      <c r="Y20" s="584">
        <f>Prop2019DistTar!AM20</f>
        <v>0</v>
      </c>
      <c r="Z20" s="584">
        <f>Prop2019DistTar!AN20</f>
        <v>0</v>
      </c>
      <c r="AA20" s="584">
        <f>Prop2019DistTar!AO20</f>
        <v>0</v>
      </c>
      <c r="AB20" s="584">
        <f>Prop2019DistTar!AP20</f>
        <v>0</v>
      </c>
      <c r="AC20" s="584">
        <f>Prop2019DistTar!AQ20</f>
        <v>0</v>
      </c>
      <c r="AD20" s="585">
        <f>Prop2019DistTar!AR20</f>
        <v>0</v>
      </c>
      <c r="AF20" s="556">
        <f t="shared" si="0"/>
        <v>0</v>
      </c>
      <c r="AG20" s="557">
        <f t="shared" si="1"/>
        <v>0</v>
      </c>
      <c r="AH20" s="557">
        <f t="shared" si="2"/>
        <v>0</v>
      </c>
      <c r="AI20" s="557">
        <f t="shared" si="3"/>
        <v>0</v>
      </c>
      <c r="AJ20" s="557">
        <f t="shared" si="4"/>
        <v>0</v>
      </c>
      <c r="AK20" s="557">
        <f t="shared" si="5"/>
        <v>0</v>
      </c>
      <c r="AL20" s="557">
        <f t="shared" si="6"/>
        <v>0</v>
      </c>
      <c r="AM20" s="557">
        <f t="shared" si="7"/>
        <v>0</v>
      </c>
      <c r="AN20" s="557">
        <f t="shared" si="8"/>
        <v>0</v>
      </c>
      <c r="AO20" s="557">
        <f t="shared" si="9"/>
        <v>0</v>
      </c>
      <c r="AP20" s="557">
        <f t="shared" si="10"/>
        <v>0</v>
      </c>
      <c r="AQ20" s="557">
        <f t="shared" si="11"/>
        <v>0</v>
      </c>
      <c r="AR20" s="557">
        <f t="shared" si="12"/>
        <v>0</v>
      </c>
      <c r="AS20" s="469">
        <f t="shared" si="13"/>
        <v>0</v>
      </c>
    </row>
    <row r="21" spans="2:45" s="458" customFormat="1" x14ac:dyDescent="0.2">
      <c r="B21" s="464" t="str">
        <f>Prop2019DistTar!B21</f>
        <v>High voltage KVA time of use</v>
      </c>
      <c r="C21" s="579"/>
      <c r="D21" s="712">
        <v>0</v>
      </c>
      <c r="E21" s="713">
        <v>0</v>
      </c>
      <c r="F21" s="713">
        <v>0</v>
      </c>
      <c r="G21" s="713">
        <v>0.66</v>
      </c>
      <c r="H21" s="713">
        <v>0</v>
      </c>
      <c r="I21" s="713">
        <v>0</v>
      </c>
      <c r="J21" s="713">
        <v>0.53</v>
      </c>
      <c r="K21" s="713">
        <v>0</v>
      </c>
      <c r="L21" s="713">
        <v>0</v>
      </c>
      <c r="M21" s="713">
        <v>4.38</v>
      </c>
      <c r="N21" s="713">
        <v>4.5999999999999996</v>
      </c>
      <c r="O21" s="713">
        <v>0</v>
      </c>
      <c r="P21" s="714">
        <v>0</v>
      </c>
      <c r="Q21" s="599"/>
      <c r="R21" s="583">
        <f>Prop2019DistTar!AF21</f>
        <v>35844.291612043242</v>
      </c>
      <c r="S21" s="584">
        <f>Prop2019DistTar!AG21</f>
        <v>0</v>
      </c>
      <c r="T21" s="584">
        <f>Prop2019DistTar!AH21</f>
        <v>0</v>
      </c>
      <c r="U21" s="584">
        <f>Prop2019DistTar!AI21</f>
        <v>176841358.08295107</v>
      </c>
      <c r="V21" s="584">
        <f>Prop2019DistTar!AJ21</f>
        <v>0</v>
      </c>
      <c r="W21" s="584">
        <f>Prop2019DistTar!AK21</f>
        <v>0</v>
      </c>
      <c r="X21" s="584">
        <f>Prop2019DistTar!AL21</f>
        <v>258896130.04767683</v>
      </c>
      <c r="Y21" s="584">
        <f>Prop2019DistTar!AM21</f>
        <v>654578037.70831561</v>
      </c>
      <c r="Z21" s="584">
        <f>Prop2019DistTar!AN21</f>
        <v>0</v>
      </c>
      <c r="AA21" s="584">
        <f>Prop2019DistTar!AO21</f>
        <v>104519165.94588879</v>
      </c>
      <c r="AB21" s="584">
        <f>Prop2019DistTar!AP21</f>
        <v>32848258.18170632</v>
      </c>
      <c r="AC21" s="584">
        <f>Prop2019DistTar!AQ21</f>
        <v>0</v>
      </c>
      <c r="AD21" s="585">
        <f>Prop2019DistTar!AR21</f>
        <v>0</v>
      </c>
      <c r="AF21" s="556">
        <f t="shared" si="0"/>
        <v>0</v>
      </c>
      <c r="AG21" s="557">
        <f t="shared" si="1"/>
        <v>0</v>
      </c>
      <c r="AH21" s="557">
        <f t="shared" si="2"/>
        <v>0</v>
      </c>
      <c r="AI21" s="557">
        <f t="shared" si="3"/>
        <v>1167152.9633474771</v>
      </c>
      <c r="AJ21" s="557">
        <f t="shared" si="4"/>
        <v>0</v>
      </c>
      <c r="AK21" s="557">
        <f t="shared" si="5"/>
        <v>0</v>
      </c>
      <c r="AL21" s="557">
        <f t="shared" si="6"/>
        <v>1372149.4892526872</v>
      </c>
      <c r="AM21" s="557">
        <f t="shared" si="7"/>
        <v>0</v>
      </c>
      <c r="AN21" s="557">
        <f t="shared" si="8"/>
        <v>0</v>
      </c>
      <c r="AO21" s="557">
        <f t="shared" si="9"/>
        <v>4577939.4684299286</v>
      </c>
      <c r="AP21" s="557">
        <f t="shared" si="10"/>
        <v>1511019.8763584907</v>
      </c>
      <c r="AQ21" s="557">
        <f t="shared" si="11"/>
        <v>0</v>
      </c>
      <c r="AR21" s="557">
        <f t="shared" si="12"/>
        <v>0</v>
      </c>
      <c r="AS21" s="469">
        <f t="shared" si="13"/>
        <v>8628261.7973885834</v>
      </c>
    </row>
    <row r="22" spans="2:45" s="458" customFormat="1" x14ac:dyDescent="0.2">
      <c r="B22" s="477" t="str">
        <f>Prop2019DistTar!B22</f>
        <v>High voltage KVA time of use - HOT</v>
      </c>
      <c r="C22" s="579"/>
      <c r="D22" s="712">
        <v>0</v>
      </c>
      <c r="E22" s="713">
        <v>0</v>
      </c>
      <c r="F22" s="713">
        <v>0</v>
      </c>
      <c r="G22" s="713">
        <v>0</v>
      </c>
      <c r="H22" s="713">
        <v>0</v>
      </c>
      <c r="I22" s="713">
        <v>0</v>
      </c>
      <c r="J22" s="713">
        <v>0</v>
      </c>
      <c r="K22" s="713">
        <v>0</v>
      </c>
      <c r="L22" s="713">
        <v>0</v>
      </c>
      <c r="M22" s="713">
        <v>0</v>
      </c>
      <c r="N22" s="713">
        <v>0</v>
      </c>
      <c r="O22" s="713">
        <v>0</v>
      </c>
      <c r="P22" s="714">
        <v>0</v>
      </c>
      <c r="Q22" s="599"/>
      <c r="R22" s="583">
        <f>Prop2019DistTar!AF22</f>
        <v>0</v>
      </c>
      <c r="S22" s="584">
        <f>Prop2019DistTar!AG22</f>
        <v>0</v>
      </c>
      <c r="T22" s="584">
        <f>Prop2019DistTar!AH22</f>
        <v>0</v>
      </c>
      <c r="U22" s="584">
        <f>Prop2019DistTar!AI22</f>
        <v>0</v>
      </c>
      <c r="V22" s="584">
        <f>Prop2019DistTar!AJ22</f>
        <v>0</v>
      </c>
      <c r="W22" s="584">
        <f>Prop2019DistTar!AK22</f>
        <v>0</v>
      </c>
      <c r="X22" s="584">
        <f>Prop2019DistTar!AL22</f>
        <v>0</v>
      </c>
      <c r="Y22" s="584">
        <f>Prop2019DistTar!AM22</f>
        <v>0</v>
      </c>
      <c r="Z22" s="584">
        <f>Prop2019DistTar!AN22</f>
        <v>0</v>
      </c>
      <c r="AA22" s="584">
        <f>Prop2019DistTar!AO22</f>
        <v>0</v>
      </c>
      <c r="AB22" s="584">
        <f>Prop2019DistTar!AP22</f>
        <v>0</v>
      </c>
      <c r="AC22" s="584">
        <f>Prop2019DistTar!AQ22</f>
        <v>0</v>
      </c>
      <c r="AD22" s="585">
        <f>Prop2019DistTar!AR22</f>
        <v>0</v>
      </c>
      <c r="AF22" s="556">
        <f t="shared" si="0"/>
        <v>0</v>
      </c>
      <c r="AG22" s="557">
        <f t="shared" si="1"/>
        <v>0</v>
      </c>
      <c r="AH22" s="557">
        <f t="shared" si="2"/>
        <v>0</v>
      </c>
      <c r="AI22" s="557">
        <f t="shared" si="3"/>
        <v>0</v>
      </c>
      <c r="AJ22" s="557">
        <f t="shared" si="4"/>
        <v>0</v>
      </c>
      <c r="AK22" s="557">
        <f t="shared" si="5"/>
        <v>0</v>
      </c>
      <c r="AL22" s="557">
        <f t="shared" si="6"/>
        <v>0</v>
      </c>
      <c r="AM22" s="557">
        <f t="shared" si="7"/>
        <v>0</v>
      </c>
      <c r="AN22" s="557">
        <f t="shared" si="8"/>
        <v>0</v>
      </c>
      <c r="AO22" s="557">
        <f t="shared" si="9"/>
        <v>0</v>
      </c>
      <c r="AP22" s="557">
        <f t="shared" si="10"/>
        <v>0</v>
      </c>
      <c r="AQ22" s="557">
        <f t="shared" si="11"/>
        <v>0</v>
      </c>
      <c r="AR22" s="557">
        <f t="shared" si="12"/>
        <v>0</v>
      </c>
      <c r="AS22" s="469">
        <f t="shared" si="13"/>
        <v>0</v>
      </c>
    </row>
    <row r="23" spans="2:45" s="458" customFormat="1" x14ac:dyDescent="0.2">
      <c r="B23" s="464" t="str">
        <f>Prop2019DistTar!B23</f>
        <v>Subtransmission KVA time of use</v>
      </c>
      <c r="C23" s="579"/>
      <c r="D23" s="712">
        <v>0</v>
      </c>
      <c r="E23" s="713">
        <v>0</v>
      </c>
      <c r="F23" s="713">
        <v>0</v>
      </c>
      <c r="G23" s="713">
        <v>0.44</v>
      </c>
      <c r="H23" s="713">
        <v>0</v>
      </c>
      <c r="I23" s="713">
        <v>0</v>
      </c>
      <c r="J23" s="713">
        <v>0.36</v>
      </c>
      <c r="K23" s="713">
        <v>0</v>
      </c>
      <c r="L23" s="713">
        <v>0</v>
      </c>
      <c r="M23" s="713">
        <v>3.15</v>
      </c>
      <c r="N23" s="713">
        <v>3.82</v>
      </c>
      <c r="O23" s="713">
        <v>0</v>
      </c>
      <c r="P23" s="714">
        <v>0</v>
      </c>
      <c r="Q23" s="599"/>
      <c r="R23" s="583">
        <f>Prop2019DistTar!AF23</f>
        <v>388.18482694746274</v>
      </c>
      <c r="S23" s="584">
        <f>Prop2019DistTar!AG23</f>
        <v>0</v>
      </c>
      <c r="T23" s="584">
        <f>Prop2019DistTar!AH23</f>
        <v>0</v>
      </c>
      <c r="U23" s="584">
        <f>Prop2019DistTar!AI23</f>
        <v>8469104.4724642336</v>
      </c>
      <c r="V23" s="584">
        <f>Prop2019DistTar!AJ23</f>
        <v>0</v>
      </c>
      <c r="W23" s="584">
        <f>Prop2019DistTar!AK23</f>
        <v>0</v>
      </c>
      <c r="X23" s="584">
        <f>Prop2019DistTar!AL23</f>
        <v>11811835.970904166</v>
      </c>
      <c r="Y23" s="584">
        <f>Prop2019DistTar!AM23</f>
        <v>17135510.075506344</v>
      </c>
      <c r="Z23" s="584">
        <f>Prop2019DistTar!AN23</f>
        <v>0</v>
      </c>
      <c r="AA23" s="584">
        <f>Prop2019DistTar!AO23</f>
        <v>4251731.3810264198</v>
      </c>
      <c r="AB23" s="584">
        <f>Prop2019DistTar!AP23</f>
        <v>1524422.8420237862</v>
      </c>
      <c r="AC23" s="584">
        <f>Prop2019DistTar!AQ23</f>
        <v>0</v>
      </c>
      <c r="AD23" s="585">
        <f>Prop2019DistTar!AR23</f>
        <v>0</v>
      </c>
      <c r="AF23" s="556">
        <f t="shared" si="0"/>
        <v>0</v>
      </c>
      <c r="AG23" s="557">
        <f t="shared" si="1"/>
        <v>0</v>
      </c>
      <c r="AH23" s="557">
        <f t="shared" si="2"/>
        <v>0</v>
      </c>
      <c r="AI23" s="557">
        <f t="shared" si="3"/>
        <v>37264.059678842634</v>
      </c>
      <c r="AJ23" s="557">
        <f t="shared" si="4"/>
        <v>0</v>
      </c>
      <c r="AK23" s="557">
        <f t="shared" si="5"/>
        <v>0</v>
      </c>
      <c r="AL23" s="557">
        <f t="shared" si="6"/>
        <v>42522.609495254997</v>
      </c>
      <c r="AM23" s="557">
        <f t="shared" si="7"/>
        <v>0</v>
      </c>
      <c r="AN23" s="557">
        <f t="shared" si="8"/>
        <v>0</v>
      </c>
      <c r="AO23" s="557">
        <f t="shared" si="9"/>
        <v>133929.53850233223</v>
      </c>
      <c r="AP23" s="557">
        <f t="shared" si="10"/>
        <v>58232.952565308631</v>
      </c>
      <c r="AQ23" s="557">
        <f t="shared" si="11"/>
        <v>0</v>
      </c>
      <c r="AR23" s="557">
        <f t="shared" si="12"/>
        <v>0</v>
      </c>
      <c r="AS23" s="469">
        <f t="shared" si="13"/>
        <v>271949.16024173849</v>
      </c>
    </row>
    <row r="24" spans="2:45" s="458" customFormat="1" x14ac:dyDescent="0.2">
      <c r="B24" s="464" t="str">
        <f>Prop2019DistTar!B24</f>
        <v>TOD</v>
      </c>
      <c r="C24" s="579"/>
      <c r="D24" s="712">
        <v>0</v>
      </c>
      <c r="E24" s="713">
        <v>0</v>
      </c>
      <c r="F24" s="713">
        <v>2.5499999999999998</v>
      </c>
      <c r="G24" s="713">
        <v>3.01</v>
      </c>
      <c r="H24" s="713">
        <v>0</v>
      </c>
      <c r="I24" s="713">
        <v>0</v>
      </c>
      <c r="J24" s="713">
        <v>2.5499999999999998</v>
      </c>
      <c r="K24" s="713">
        <v>0</v>
      </c>
      <c r="L24" s="713">
        <v>2.2599999999999998</v>
      </c>
      <c r="M24" s="713">
        <v>0</v>
      </c>
      <c r="N24" s="713">
        <v>0</v>
      </c>
      <c r="O24" s="713">
        <v>0</v>
      </c>
      <c r="P24" s="714">
        <v>0</v>
      </c>
      <c r="Q24" s="599"/>
      <c r="R24" s="583">
        <f>Prop2019DistTar!AF24</f>
        <v>14958828.747164952</v>
      </c>
      <c r="S24" s="584">
        <f>Prop2019DistTar!AG24</f>
        <v>0</v>
      </c>
      <c r="T24" s="584">
        <f>Prop2019DistTar!AH24</f>
        <v>11157824.725728184</v>
      </c>
      <c r="U24" s="584">
        <f>Prop2019DistTar!AI24</f>
        <v>21858787.259085819</v>
      </c>
      <c r="V24" s="584">
        <f>Prop2019DistTar!AJ24</f>
        <v>0</v>
      </c>
      <c r="W24" s="584">
        <f>Prop2019DistTar!AK24</f>
        <v>0</v>
      </c>
      <c r="X24" s="584">
        <f>Prop2019DistTar!AL24</f>
        <v>41608118.298785917</v>
      </c>
      <c r="Y24" s="584">
        <f>Prop2019DistTar!AM24</f>
        <v>106719624.5014694</v>
      </c>
      <c r="Z24" s="584">
        <f>Prop2019DistTar!AN24</f>
        <v>23289542.66621675</v>
      </c>
      <c r="AA24" s="584">
        <f>Prop2019DistTar!AO24</f>
        <v>0</v>
      </c>
      <c r="AB24" s="584">
        <f>Prop2019DistTar!AP24</f>
        <v>0</v>
      </c>
      <c r="AC24" s="584">
        <f>Prop2019DistTar!AQ24</f>
        <v>0</v>
      </c>
      <c r="AD24" s="585">
        <f>Prop2019DistTar!AR24</f>
        <v>0</v>
      </c>
      <c r="AF24" s="556">
        <f t="shared" si="0"/>
        <v>0</v>
      </c>
      <c r="AG24" s="557">
        <f t="shared" si="1"/>
        <v>0</v>
      </c>
      <c r="AH24" s="557">
        <f t="shared" si="2"/>
        <v>284524.53050606867</v>
      </c>
      <c r="AI24" s="557">
        <f t="shared" si="3"/>
        <v>657949.49649848312</v>
      </c>
      <c r="AJ24" s="557">
        <f t="shared" si="4"/>
        <v>0</v>
      </c>
      <c r="AK24" s="557">
        <f t="shared" si="5"/>
        <v>0</v>
      </c>
      <c r="AL24" s="557">
        <f t="shared" si="6"/>
        <v>1061007.0166190409</v>
      </c>
      <c r="AM24" s="557">
        <f t="shared" si="7"/>
        <v>0</v>
      </c>
      <c r="AN24" s="557">
        <f t="shared" si="8"/>
        <v>526343.66425649857</v>
      </c>
      <c r="AO24" s="557">
        <f t="shared" si="9"/>
        <v>0</v>
      </c>
      <c r="AP24" s="557">
        <f t="shared" si="10"/>
        <v>0</v>
      </c>
      <c r="AQ24" s="557">
        <f t="shared" si="11"/>
        <v>0</v>
      </c>
      <c r="AR24" s="557">
        <f t="shared" si="12"/>
        <v>0</v>
      </c>
      <c r="AS24" s="469">
        <f t="shared" si="13"/>
        <v>2529824.7078800914</v>
      </c>
    </row>
    <row r="25" spans="2:45" s="458" customFormat="1" x14ac:dyDescent="0.2">
      <c r="B25" s="464" t="str">
        <f>Prop2019DistTar!B25</f>
        <v>TOD9</v>
      </c>
      <c r="C25" s="579"/>
      <c r="D25" s="712">
        <v>0</v>
      </c>
      <c r="E25" s="713">
        <v>0</v>
      </c>
      <c r="F25" s="713">
        <v>3.83</v>
      </c>
      <c r="G25" s="713">
        <v>4.12</v>
      </c>
      <c r="H25" s="713">
        <v>0</v>
      </c>
      <c r="I25" s="713">
        <v>0</v>
      </c>
      <c r="J25" s="713">
        <v>3.83</v>
      </c>
      <c r="K25" s="713">
        <v>0</v>
      </c>
      <c r="L25" s="713">
        <v>3.64</v>
      </c>
      <c r="M25" s="713">
        <v>0</v>
      </c>
      <c r="N25" s="713">
        <v>0</v>
      </c>
      <c r="O25" s="713">
        <v>0</v>
      </c>
      <c r="P25" s="714">
        <v>0</v>
      </c>
      <c r="Q25" s="599"/>
      <c r="R25" s="583">
        <f>Prop2019DistTar!AF25</f>
        <v>1230260.5306997327</v>
      </c>
      <c r="S25" s="584">
        <f>Prop2019DistTar!AG25</f>
        <v>0</v>
      </c>
      <c r="T25" s="584">
        <f>Prop2019DistTar!AH25</f>
        <v>591618.83574525896</v>
      </c>
      <c r="U25" s="584">
        <f>Prop2019DistTar!AI25</f>
        <v>1033562.6891798624</v>
      </c>
      <c r="V25" s="584">
        <f>Prop2019DistTar!AJ25</f>
        <v>0</v>
      </c>
      <c r="W25" s="584">
        <f>Prop2019DistTar!AK25</f>
        <v>0</v>
      </c>
      <c r="X25" s="584">
        <f>Prop2019DistTar!AL25</f>
        <v>2066829.1172340738</v>
      </c>
      <c r="Y25" s="584">
        <f>Prop2019DistTar!AM25</f>
        <v>6482902.6105037043</v>
      </c>
      <c r="Z25" s="584">
        <f>Prop2019DistTar!AN25</f>
        <v>1333840.0952702311</v>
      </c>
      <c r="AA25" s="584">
        <f>Prop2019DistTar!AO25</f>
        <v>0</v>
      </c>
      <c r="AB25" s="584">
        <f>Prop2019DistTar!AP25</f>
        <v>0</v>
      </c>
      <c r="AC25" s="584">
        <f>Prop2019DistTar!AQ25</f>
        <v>0</v>
      </c>
      <c r="AD25" s="585">
        <f>Prop2019DistTar!AR25</f>
        <v>0</v>
      </c>
      <c r="AF25" s="556">
        <f t="shared" si="0"/>
        <v>0</v>
      </c>
      <c r="AG25" s="557">
        <f t="shared" si="1"/>
        <v>0</v>
      </c>
      <c r="AH25" s="557">
        <f t="shared" si="2"/>
        <v>22659.00140904342</v>
      </c>
      <c r="AI25" s="557">
        <f t="shared" si="3"/>
        <v>42582.782794210332</v>
      </c>
      <c r="AJ25" s="557">
        <f t="shared" si="4"/>
        <v>0</v>
      </c>
      <c r="AK25" s="557">
        <f t="shared" si="5"/>
        <v>0</v>
      </c>
      <c r="AL25" s="557">
        <f t="shared" si="6"/>
        <v>79159.555190065032</v>
      </c>
      <c r="AM25" s="557">
        <f t="shared" si="7"/>
        <v>0</v>
      </c>
      <c r="AN25" s="557">
        <f t="shared" si="8"/>
        <v>48551.779467836415</v>
      </c>
      <c r="AO25" s="557">
        <f t="shared" si="9"/>
        <v>0</v>
      </c>
      <c r="AP25" s="557">
        <f t="shared" si="10"/>
        <v>0</v>
      </c>
      <c r="AQ25" s="557">
        <f t="shared" si="11"/>
        <v>0</v>
      </c>
      <c r="AR25" s="557">
        <f t="shared" si="12"/>
        <v>0</v>
      </c>
      <c r="AS25" s="469">
        <f t="shared" si="13"/>
        <v>192953.11886115518</v>
      </c>
    </row>
    <row r="26" spans="2:45" s="458" customFormat="1" x14ac:dyDescent="0.2">
      <c r="B26" s="464" t="str">
        <f>Prop2019DistTar!B26</f>
        <v>TOU</v>
      </c>
      <c r="C26" s="579"/>
      <c r="D26" s="712">
        <v>0</v>
      </c>
      <c r="E26" s="713">
        <v>0</v>
      </c>
      <c r="F26" s="713">
        <v>0</v>
      </c>
      <c r="G26" s="713">
        <v>2.2000000000000002</v>
      </c>
      <c r="H26" s="713">
        <v>0</v>
      </c>
      <c r="I26" s="713">
        <v>0</v>
      </c>
      <c r="J26" s="713">
        <v>1.01</v>
      </c>
      <c r="K26" s="713">
        <v>0</v>
      </c>
      <c r="L26" s="713">
        <v>0</v>
      </c>
      <c r="M26" s="713">
        <v>0</v>
      </c>
      <c r="N26" s="713">
        <v>5.76</v>
      </c>
      <c r="O26" s="713">
        <v>0</v>
      </c>
      <c r="P26" s="714">
        <v>0</v>
      </c>
      <c r="Q26" s="599"/>
      <c r="R26" s="583">
        <f>Prop2019DistTar!AF26</f>
        <v>245380.33478031383</v>
      </c>
      <c r="S26" s="584">
        <f>Prop2019DistTar!AG26</f>
        <v>0</v>
      </c>
      <c r="T26" s="584">
        <f>Prop2019DistTar!AH26</f>
        <v>0</v>
      </c>
      <c r="U26" s="584">
        <f>Prop2019DistTar!AI26</f>
        <v>4426421.4535574634</v>
      </c>
      <c r="V26" s="584">
        <f>Prop2019DistTar!AJ26</f>
        <v>0</v>
      </c>
      <c r="W26" s="584">
        <f>Prop2019DistTar!AK26</f>
        <v>0</v>
      </c>
      <c r="X26" s="584">
        <f>Prop2019DistTar!AL26</f>
        <v>7275039.4297535019</v>
      </c>
      <c r="Y26" s="584">
        <f>Prop2019DistTar!AM26</f>
        <v>8972065.1354613025</v>
      </c>
      <c r="Z26" s="584">
        <f>Prop2019DistTar!AN26</f>
        <v>0</v>
      </c>
      <c r="AA26" s="584">
        <f>Prop2019DistTar!AO26</f>
        <v>0</v>
      </c>
      <c r="AB26" s="584">
        <f>Prop2019DistTar!AP26</f>
        <v>995491.84716732672</v>
      </c>
      <c r="AC26" s="584">
        <f>Prop2019DistTar!AQ26</f>
        <v>0</v>
      </c>
      <c r="AD26" s="585">
        <f>Prop2019DistTar!AR26</f>
        <v>0</v>
      </c>
      <c r="AF26" s="556">
        <f t="shared" si="0"/>
        <v>0</v>
      </c>
      <c r="AG26" s="557">
        <f t="shared" si="1"/>
        <v>0</v>
      </c>
      <c r="AH26" s="557">
        <f t="shared" si="2"/>
        <v>0</v>
      </c>
      <c r="AI26" s="557">
        <f t="shared" si="3"/>
        <v>97381.271978264209</v>
      </c>
      <c r="AJ26" s="557">
        <f t="shared" si="4"/>
        <v>0</v>
      </c>
      <c r="AK26" s="557">
        <f t="shared" si="5"/>
        <v>0</v>
      </c>
      <c r="AL26" s="557">
        <f t="shared" si="6"/>
        <v>73477.89824051036</v>
      </c>
      <c r="AM26" s="557">
        <f t="shared" si="7"/>
        <v>0</v>
      </c>
      <c r="AN26" s="557">
        <f t="shared" si="8"/>
        <v>0</v>
      </c>
      <c r="AO26" s="557">
        <f t="shared" si="9"/>
        <v>0</v>
      </c>
      <c r="AP26" s="557">
        <f t="shared" si="10"/>
        <v>57340.330396838021</v>
      </c>
      <c r="AQ26" s="557">
        <f t="shared" si="11"/>
        <v>0</v>
      </c>
      <c r="AR26" s="557">
        <f t="shared" si="12"/>
        <v>0</v>
      </c>
      <c r="AS26" s="469">
        <f t="shared" si="13"/>
        <v>228199.5006156126</v>
      </c>
    </row>
    <row r="27" spans="2:45" s="458" customFormat="1" x14ac:dyDescent="0.2">
      <c r="B27" s="477" t="str">
        <f>Prop2019DistTar!B27</f>
        <v>TODFLEX</v>
      </c>
      <c r="C27" s="579"/>
      <c r="D27" s="712">
        <v>0</v>
      </c>
      <c r="E27" s="713">
        <v>0</v>
      </c>
      <c r="F27" s="713">
        <v>1.68</v>
      </c>
      <c r="G27" s="713">
        <v>3.36</v>
      </c>
      <c r="H27" s="713">
        <v>0</v>
      </c>
      <c r="I27" s="713">
        <v>0</v>
      </c>
      <c r="J27" s="713">
        <v>3.13</v>
      </c>
      <c r="K27" s="713">
        <v>0</v>
      </c>
      <c r="L27" s="713">
        <v>1.48</v>
      </c>
      <c r="M27" s="713">
        <v>0</v>
      </c>
      <c r="N27" s="713">
        <v>0</v>
      </c>
      <c r="O27" s="713">
        <v>0</v>
      </c>
      <c r="P27" s="714">
        <v>0</v>
      </c>
      <c r="Q27" s="599"/>
      <c r="R27" s="583">
        <f>Prop2019DistTar!AF27</f>
        <v>748713.29673777404</v>
      </c>
      <c r="S27" s="584">
        <f>Prop2019DistTar!AG27</f>
        <v>0</v>
      </c>
      <c r="T27" s="584">
        <f>Prop2019DistTar!AH27</f>
        <v>1841551.6104571195</v>
      </c>
      <c r="U27" s="584">
        <f>Prop2019DistTar!AI27</f>
        <v>897829.54665664909</v>
      </c>
      <c r="V27" s="584">
        <f>Prop2019DistTar!AJ27</f>
        <v>0</v>
      </c>
      <c r="W27" s="584">
        <f>Prop2019DistTar!AK27</f>
        <v>0</v>
      </c>
      <c r="X27" s="584">
        <f>Prop2019DistTar!AL27</f>
        <v>1476591.1655552709</v>
      </c>
      <c r="Y27" s="584">
        <f>Prop2019DistTar!AM27</f>
        <v>3741242.0142536671</v>
      </c>
      <c r="Z27" s="584">
        <f>Prop2019DistTar!AN27</f>
        <v>3096046.1684368975</v>
      </c>
      <c r="AA27" s="584">
        <f>Prop2019DistTar!AO27</f>
        <v>0</v>
      </c>
      <c r="AB27" s="584">
        <f>Prop2019DistTar!AP27</f>
        <v>0</v>
      </c>
      <c r="AC27" s="584">
        <f>Prop2019DistTar!AQ27</f>
        <v>0</v>
      </c>
      <c r="AD27" s="585">
        <f>Prop2019DistTar!AR27</f>
        <v>0</v>
      </c>
      <c r="AF27" s="556">
        <f t="shared" si="0"/>
        <v>0</v>
      </c>
      <c r="AG27" s="557">
        <f t="shared" si="1"/>
        <v>0</v>
      </c>
      <c r="AH27" s="557">
        <f t="shared" si="2"/>
        <v>30938.067055679607</v>
      </c>
      <c r="AI27" s="557">
        <f t="shared" si="3"/>
        <v>30167.072767663409</v>
      </c>
      <c r="AJ27" s="557">
        <f t="shared" si="4"/>
        <v>0</v>
      </c>
      <c r="AK27" s="557">
        <f t="shared" si="5"/>
        <v>0</v>
      </c>
      <c r="AL27" s="557">
        <f t="shared" si="6"/>
        <v>46217.303481879979</v>
      </c>
      <c r="AM27" s="557">
        <f t="shared" si="7"/>
        <v>0</v>
      </c>
      <c r="AN27" s="557">
        <f t="shared" si="8"/>
        <v>45821.483292866084</v>
      </c>
      <c r="AO27" s="557">
        <f t="shared" si="9"/>
        <v>0</v>
      </c>
      <c r="AP27" s="557">
        <f t="shared" si="10"/>
        <v>0</v>
      </c>
      <c r="AQ27" s="557">
        <f t="shared" si="11"/>
        <v>0</v>
      </c>
      <c r="AR27" s="557">
        <f t="shared" si="12"/>
        <v>0</v>
      </c>
      <c r="AS27" s="469">
        <f t="shared" si="13"/>
        <v>153143.92659808908</v>
      </c>
    </row>
    <row r="28" spans="2:45" s="458" customFormat="1" x14ac:dyDescent="0.2">
      <c r="B28" s="464" t="str">
        <f>Prop2019DistTar!B28</f>
        <v>Low Voltage KW 1 rate</v>
      </c>
      <c r="C28" s="579"/>
      <c r="D28" s="712">
        <v>0</v>
      </c>
      <c r="E28" s="713">
        <v>0.62</v>
      </c>
      <c r="F28" s="713">
        <v>0.62</v>
      </c>
      <c r="G28" s="713">
        <v>0.62</v>
      </c>
      <c r="H28" s="713">
        <v>0.62</v>
      </c>
      <c r="I28" s="713">
        <v>0.62</v>
      </c>
      <c r="J28" s="713">
        <v>0.62</v>
      </c>
      <c r="K28" s="713">
        <v>0.62</v>
      </c>
      <c r="L28" s="713">
        <v>0.62</v>
      </c>
      <c r="M28" s="713">
        <v>0</v>
      </c>
      <c r="N28" s="713">
        <v>0</v>
      </c>
      <c r="O28" s="713">
        <v>4.62</v>
      </c>
      <c r="P28" s="714">
        <v>3</v>
      </c>
      <c r="Q28" s="599"/>
      <c r="R28" s="583">
        <f>Prop2019DistTar!AF28</f>
        <v>2365.9646033074068</v>
      </c>
      <c r="S28" s="584">
        <f>Prop2019DistTar!AG28</f>
        <v>0</v>
      </c>
      <c r="T28" s="584">
        <f>Prop2019DistTar!AH28</f>
        <v>0</v>
      </c>
      <c r="U28" s="584">
        <f>Prop2019DistTar!AI28</f>
        <v>10094.264329230857</v>
      </c>
      <c r="V28" s="584">
        <f>Prop2019DistTar!AJ28</f>
        <v>0</v>
      </c>
      <c r="W28" s="584">
        <f>Prop2019DistTar!AK28</f>
        <v>0</v>
      </c>
      <c r="X28" s="584">
        <f>Prop2019DistTar!AL28</f>
        <v>19252.676051971259</v>
      </c>
      <c r="Y28" s="584">
        <f>Prop2019DistTar!AM28</f>
        <v>0</v>
      </c>
      <c r="Z28" s="584">
        <f>Prop2019DistTar!AN28</f>
        <v>0</v>
      </c>
      <c r="AA28" s="584">
        <f>Prop2019DistTar!AO28</f>
        <v>0</v>
      </c>
      <c r="AB28" s="584">
        <f>Prop2019DistTar!AP28</f>
        <v>0</v>
      </c>
      <c r="AC28" s="584">
        <f>Prop2019DistTar!AQ28</f>
        <v>2402.7092731857942</v>
      </c>
      <c r="AD28" s="585">
        <f>Prop2019DistTar!AR28</f>
        <v>4357.3066082563137</v>
      </c>
      <c r="AF28" s="556">
        <f t="shared" si="0"/>
        <v>0</v>
      </c>
      <c r="AG28" s="557">
        <f t="shared" si="1"/>
        <v>0</v>
      </c>
      <c r="AH28" s="557">
        <f t="shared" si="2"/>
        <v>0</v>
      </c>
      <c r="AI28" s="557">
        <f t="shared" si="3"/>
        <v>62.584438841231311</v>
      </c>
      <c r="AJ28" s="557">
        <f t="shared" si="4"/>
        <v>0</v>
      </c>
      <c r="AK28" s="557">
        <f t="shared" si="5"/>
        <v>0</v>
      </c>
      <c r="AL28" s="557">
        <f t="shared" si="6"/>
        <v>119.3665915222218</v>
      </c>
      <c r="AM28" s="557">
        <f t="shared" si="7"/>
        <v>0</v>
      </c>
      <c r="AN28" s="557">
        <f t="shared" si="8"/>
        <v>0</v>
      </c>
      <c r="AO28" s="557">
        <f t="shared" si="9"/>
        <v>0</v>
      </c>
      <c r="AP28" s="557">
        <f t="shared" si="10"/>
        <v>0</v>
      </c>
      <c r="AQ28" s="557">
        <f t="shared" si="11"/>
        <v>111.00516842118368</v>
      </c>
      <c r="AR28" s="557">
        <f t="shared" si="12"/>
        <v>130.71919824768941</v>
      </c>
      <c r="AS28" s="469">
        <f t="shared" si="13"/>
        <v>423.6753970323262</v>
      </c>
    </row>
    <row r="29" spans="2:45" s="458" customFormat="1" x14ac:dyDescent="0.2">
      <c r="B29" s="464" t="str">
        <f>Prop2019DistTar!B29</f>
        <v>Low voltage medium KW time of use (opt-in)</v>
      </c>
      <c r="C29" s="579"/>
      <c r="D29" s="712">
        <v>0</v>
      </c>
      <c r="E29" s="713">
        <v>0</v>
      </c>
      <c r="F29" s="713">
        <v>0</v>
      </c>
      <c r="G29" s="713">
        <v>0.76</v>
      </c>
      <c r="H29" s="713">
        <v>0</v>
      </c>
      <c r="I29" s="713">
        <v>0</v>
      </c>
      <c r="J29" s="713">
        <v>0.76</v>
      </c>
      <c r="K29" s="713">
        <v>0</v>
      </c>
      <c r="L29" s="713">
        <v>0</v>
      </c>
      <c r="M29" s="713">
        <v>0</v>
      </c>
      <c r="N29" s="713">
        <v>0</v>
      </c>
      <c r="O29" s="713">
        <v>8.58</v>
      </c>
      <c r="P29" s="714">
        <v>5.72</v>
      </c>
      <c r="Q29" s="599"/>
      <c r="R29" s="583">
        <f>Prop2019DistTar!AF29</f>
        <v>61897.887611713682</v>
      </c>
      <c r="S29" s="584">
        <f>Prop2019DistTar!AG29</f>
        <v>0</v>
      </c>
      <c r="T29" s="584">
        <f>Prop2019DistTar!AH29</f>
        <v>0</v>
      </c>
      <c r="U29" s="584">
        <f>Prop2019DistTar!AI29</f>
        <v>6336827.8605712429</v>
      </c>
      <c r="V29" s="584">
        <f>Prop2019DistTar!AJ29</f>
        <v>0</v>
      </c>
      <c r="W29" s="584">
        <f>Prop2019DistTar!AK29</f>
        <v>0</v>
      </c>
      <c r="X29" s="584">
        <f>Prop2019DistTar!AL29</f>
        <v>8872080.0242214594</v>
      </c>
      <c r="Y29" s="584">
        <f>Prop2019DistTar!AM29</f>
        <v>0</v>
      </c>
      <c r="Z29" s="584">
        <f>Prop2019DistTar!AN29</f>
        <v>0</v>
      </c>
      <c r="AA29" s="584">
        <f>Prop2019DistTar!AO29</f>
        <v>0</v>
      </c>
      <c r="AB29" s="584">
        <f>Prop2019DistTar!AP29</f>
        <v>0</v>
      </c>
      <c r="AC29" s="584">
        <f>Prop2019DistTar!AQ29</f>
        <v>602643.80769806355</v>
      </c>
      <c r="AD29" s="585">
        <f>Prop2019DistTar!AR29</f>
        <v>1112070.3845453316</v>
      </c>
      <c r="AF29" s="556">
        <f t="shared" si="0"/>
        <v>0</v>
      </c>
      <c r="AG29" s="557">
        <f t="shared" si="1"/>
        <v>0</v>
      </c>
      <c r="AH29" s="557">
        <f t="shared" si="2"/>
        <v>0</v>
      </c>
      <c r="AI29" s="557">
        <f t="shared" si="3"/>
        <v>48159.891740341445</v>
      </c>
      <c r="AJ29" s="557">
        <f t="shared" si="4"/>
        <v>0</v>
      </c>
      <c r="AK29" s="557">
        <f t="shared" si="5"/>
        <v>0</v>
      </c>
      <c r="AL29" s="557">
        <f t="shared" si="6"/>
        <v>67427.808184083086</v>
      </c>
      <c r="AM29" s="557">
        <f t="shared" si="7"/>
        <v>0</v>
      </c>
      <c r="AN29" s="557">
        <f t="shared" si="8"/>
        <v>0</v>
      </c>
      <c r="AO29" s="557">
        <f t="shared" si="9"/>
        <v>0</v>
      </c>
      <c r="AP29" s="557">
        <f t="shared" si="10"/>
        <v>0</v>
      </c>
      <c r="AQ29" s="557">
        <f t="shared" si="11"/>
        <v>51706.838700493856</v>
      </c>
      <c r="AR29" s="557">
        <f t="shared" si="12"/>
        <v>63610.42599599297</v>
      </c>
      <c r="AS29" s="469">
        <f t="shared" si="13"/>
        <v>230904.96462091134</v>
      </c>
    </row>
    <row r="30" spans="2:45" s="458" customFormat="1" x14ac:dyDescent="0.2">
      <c r="B30" s="464" t="str">
        <f>Prop2019DistTar!B30</f>
        <v>Low voltage medium KW 1 rate (mandatory)</v>
      </c>
      <c r="C30" s="579"/>
      <c r="D30" s="712">
        <v>0</v>
      </c>
      <c r="E30" s="713">
        <v>0</v>
      </c>
      <c r="F30" s="713">
        <v>0</v>
      </c>
      <c r="G30" s="713">
        <v>0.76</v>
      </c>
      <c r="H30" s="713">
        <v>0</v>
      </c>
      <c r="I30" s="713">
        <v>0</v>
      </c>
      <c r="J30" s="713">
        <v>0.76</v>
      </c>
      <c r="K30" s="713">
        <v>0</v>
      </c>
      <c r="L30" s="713">
        <v>0</v>
      </c>
      <c r="M30" s="713">
        <v>0</v>
      </c>
      <c r="N30" s="713">
        <v>0</v>
      </c>
      <c r="O30" s="713">
        <v>8.58</v>
      </c>
      <c r="P30" s="714">
        <v>5.72</v>
      </c>
      <c r="Q30" s="599"/>
      <c r="R30" s="583">
        <f>Prop2019DistTar!AF30</f>
        <v>2660202.422626602</v>
      </c>
      <c r="S30" s="584">
        <f>Prop2019DistTar!AG30</f>
        <v>0</v>
      </c>
      <c r="T30" s="584">
        <f>Prop2019DistTar!AH30</f>
        <v>0</v>
      </c>
      <c r="U30" s="584">
        <f>Prop2019DistTar!AI30</f>
        <v>283591412.6637975</v>
      </c>
      <c r="V30" s="584">
        <f>Prop2019DistTar!AJ30</f>
        <v>0</v>
      </c>
      <c r="W30" s="584">
        <f>Prop2019DistTar!AK30</f>
        <v>0</v>
      </c>
      <c r="X30" s="584">
        <f>Prop2019DistTar!AL30</f>
        <v>392448914.09896255</v>
      </c>
      <c r="Y30" s="584">
        <f>Prop2019DistTar!AM30</f>
        <v>0</v>
      </c>
      <c r="Z30" s="584">
        <f>Prop2019DistTar!AN30</f>
        <v>0</v>
      </c>
      <c r="AA30" s="584">
        <f>Prop2019DistTar!AO30</f>
        <v>0</v>
      </c>
      <c r="AB30" s="584">
        <f>Prop2019DistTar!AP30</f>
        <v>0</v>
      </c>
      <c r="AC30" s="584">
        <f>Prop2019DistTar!AQ30</f>
        <v>27235556.85946399</v>
      </c>
      <c r="AD30" s="585">
        <f>Prop2019DistTar!AR30</f>
        <v>49015175.380939752</v>
      </c>
      <c r="AF30" s="556">
        <f t="shared" si="0"/>
        <v>0</v>
      </c>
      <c r="AG30" s="557">
        <f t="shared" si="1"/>
        <v>0</v>
      </c>
      <c r="AH30" s="557">
        <f t="shared" si="2"/>
        <v>0</v>
      </c>
      <c r="AI30" s="557">
        <f t="shared" si="3"/>
        <v>2155294.736244861</v>
      </c>
      <c r="AJ30" s="557">
        <f t="shared" si="4"/>
        <v>0</v>
      </c>
      <c r="AK30" s="557">
        <f t="shared" si="5"/>
        <v>0</v>
      </c>
      <c r="AL30" s="557">
        <f t="shared" si="6"/>
        <v>2982611.7471521152</v>
      </c>
      <c r="AM30" s="557">
        <f t="shared" si="7"/>
        <v>0</v>
      </c>
      <c r="AN30" s="557">
        <f t="shared" si="8"/>
        <v>0</v>
      </c>
      <c r="AO30" s="557">
        <f t="shared" si="9"/>
        <v>0</v>
      </c>
      <c r="AP30" s="557">
        <f t="shared" si="10"/>
        <v>0</v>
      </c>
      <c r="AQ30" s="557">
        <f t="shared" si="11"/>
        <v>2336810.7785420106</v>
      </c>
      <c r="AR30" s="557">
        <f t="shared" si="12"/>
        <v>2803668.0317897541</v>
      </c>
      <c r="AS30" s="469">
        <f t="shared" si="13"/>
        <v>10278385.293728741</v>
      </c>
    </row>
    <row r="31" spans="2:45" s="458" customFormat="1" x14ac:dyDescent="0.2">
      <c r="B31" s="464"/>
      <c r="C31" s="579"/>
      <c r="D31" s="580"/>
      <c r="E31" s="581"/>
      <c r="F31" s="581"/>
      <c r="G31" s="581"/>
      <c r="H31" s="581"/>
      <c r="I31" s="581"/>
      <c r="J31" s="581"/>
      <c r="K31" s="581"/>
      <c r="L31" s="581"/>
      <c r="M31" s="581"/>
      <c r="N31" s="581"/>
      <c r="O31" s="581"/>
      <c r="P31" s="582"/>
      <c r="Q31" s="599"/>
      <c r="R31" s="583"/>
      <c r="S31" s="584"/>
      <c r="T31" s="584"/>
      <c r="U31" s="584"/>
      <c r="V31" s="584"/>
      <c r="W31" s="584"/>
      <c r="X31" s="584"/>
      <c r="Y31" s="584"/>
      <c r="Z31" s="584"/>
      <c r="AA31" s="584"/>
      <c r="AB31" s="584"/>
      <c r="AC31" s="584"/>
      <c r="AD31" s="585"/>
      <c r="AF31" s="556">
        <f t="shared" si="0"/>
        <v>0</v>
      </c>
      <c r="AG31" s="557">
        <f t="shared" si="1"/>
        <v>0</v>
      </c>
      <c r="AH31" s="557">
        <f t="shared" si="2"/>
        <v>0</v>
      </c>
      <c r="AI31" s="557">
        <f t="shared" si="3"/>
        <v>0</v>
      </c>
      <c r="AJ31" s="557">
        <f t="shared" si="4"/>
        <v>0</v>
      </c>
      <c r="AK31" s="557">
        <f t="shared" si="5"/>
        <v>0</v>
      </c>
      <c r="AL31" s="557">
        <f t="shared" si="6"/>
        <v>0</v>
      </c>
      <c r="AM31" s="557">
        <f t="shared" si="7"/>
        <v>0</v>
      </c>
      <c r="AN31" s="557">
        <f t="shared" si="8"/>
        <v>0</v>
      </c>
      <c r="AO31" s="557">
        <f t="shared" si="9"/>
        <v>0</v>
      </c>
      <c r="AP31" s="557">
        <f t="shared" si="10"/>
        <v>0</v>
      </c>
      <c r="AQ31" s="557">
        <f t="shared" si="11"/>
        <v>0</v>
      </c>
      <c r="AR31" s="557">
        <f t="shared" si="12"/>
        <v>0</v>
      </c>
      <c r="AS31" s="469">
        <f t="shared" si="13"/>
        <v>0</v>
      </c>
    </row>
    <row r="32" spans="2:45" s="458" customFormat="1" x14ac:dyDescent="0.2">
      <c r="B32" s="464"/>
      <c r="C32" s="579"/>
      <c r="D32" s="580"/>
      <c r="E32" s="581"/>
      <c r="F32" s="581"/>
      <c r="G32" s="581"/>
      <c r="H32" s="581"/>
      <c r="I32" s="581"/>
      <c r="J32" s="581"/>
      <c r="K32" s="581"/>
      <c r="L32" s="581"/>
      <c r="M32" s="581"/>
      <c r="N32" s="581"/>
      <c r="O32" s="581"/>
      <c r="P32" s="582"/>
      <c r="Q32" s="599"/>
      <c r="R32" s="583"/>
      <c r="S32" s="584"/>
      <c r="T32" s="584"/>
      <c r="U32" s="584"/>
      <c r="V32" s="584"/>
      <c r="W32" s="584"/>
      <c r="X32" s="584"/>
      <c r="Y32" s="584"/>
      <c r="Z32" s="584"/>
      <c r="AA32" s="584"/>
      <c r="AB32" s="584"/>
      <c r="AC32" s="584"/>
      <c r="AD32" s="585"/>
      <c r="AF32" s="556">
        <f t="shared" si="0"/>
        <v>0</v>
      </c>
      <c r="AG32" s="557">
        <f t="shared" si="1"/>
        <v>0</v>
      </c>
      <c r="AH32" s="557">
        <f t="shared" si="2"/>
        <v>0</v>
      </c>
      <c r="AI32" s="557">
        <f t="shared" si="3"/>
        <v>0</v>
      </c>
      <c r="AJ32" s="557">
        <f t="shared" si="4"/>
        <v>0</v>
      </c>
      <c r="AK32" s="557">
        <f t="shared" si="5"/>
        <v>0</v>
      </c>
      <c r="AL32" s="557">
        <f t="shared" si="6"/>
        <v>0</v>
      </c>
      <c r="AM32" s="557">
        <f t="shared" si="7"/>
        <v>0</v>
      </c>
      <c r="AN32" s="557">
        <f t="shared" si="8"/>
        <v>0</v>
      </c>
      <c r="AO32" s="557">
        <f t="shared" si="9"/>
        <v>0</v>
      </c>
      <c r="AP32" s="557">
        <f t="shared" si="10"/>
        <v>0</v>
      </c>
      <c r="AQ32" s="557">
        <f t="shared" si="11"/>
        <v>0</v>
      </c>
      <c r="AR32" s="557">
        <f t="shared" si="12"/>
        <v>0</v>
      </c>
      <c r="AS32" s="469">
        <f t="shared" si="13"/>
        <v>0</v>
      </c>
    </row>
    <row r="33" spans="2:45" s="458" customFormat="1" x14ac:dyDescent="0.2">
      <c r="B33" s="464"/>
      <c r="C33" s="579"/>
      <c r="D33" s="580"/>
      <c r="E33" s="581"/>
      <c r="F33" s="581"/>
      <c r="G33" s="581"/>
      <c r="H33" s="581"/>
      <c r="I33" s="581"/>
      <c r="J33" s="581"/>
      <c r="K33" s="581"/>
      <c r="L33" s="581"/>
      <c r="M33" s="581"/>
      <c r="N33" s="581"/>
      <c r="O33" s="581"/>
      <c r="P33" s="582"/>
      <c r="Q33" s="599"/>
      <c r="R33" s="583"/>
      <c r="S33" s="584"/>
      <c r="T33" s="584"/>
      <c r="U33" s="584"/>
      <c r="V33" s="584"/>
      <c r="W33" s="584"/>
      <c r="X33" s="584"/>
      <c r="Y33" s="584"/>
      <c r="Z33" s="584"/>
      <c r="AA33" s="584"/>
      <c r="AB33" s="584"/>
      <c r="AC33" s="584"/>
      <c r="AD33" s="585"/>
      <c r="AF33" s="556">
        <f t="shared" si="0"/>
        <v>0</v>
      </c>
      <c r="AG33" s="557">
        <f t="shared" si="1"/>
        <v>0</v>
      </c>
      <c r="AH33" s="557">
        <f t="shared" si="2"/>
        <v>0</v>
      </c>
      <c r="AI33" s="557">
        <f t="shared" si="3"/>
        <v>0</v>
      </c>
      <c r="AJ33" s="557">
        <f t="shared" si="4"/>
        <v>0</v>
      </c>
      <c r="AK33" s="557">
        <f t="shared" si="5"/>
        <v>0</v>
      </c>
      <c r="AL33" s="557">
        <f t="shared" si="6"/>
        <v>0</v>
      </c>
      <c r="AM33" s="557">
        <f t="shared" si="7"/>
        <v>0</v>
      </c>
      <c r="AN33" s="557">
        <f t="shared" si="8"/>
        <v>0</v>
      </c>
      <c r="AO33" s="557">
        <f t="shared" si="9"/>
        <v>0</v>
      </c>
      <c r="AP33" s="557">
        <f t="shared" si="10"/>
        <v>0</v>
      </c>
      <c r="AQ33" s="557">
        <f t="shared" si="11"/>
        <v>0</v>
      </c>
      <c r="AR33" s="557">
        <f t="shared" si="12"/>
        <v>0</v>
      </c>
      <c r="AS33" s="469">
        <f t="shared" si="13"/>
        <v>0</v>
      </c>
    </row>
    <row r="34" spans="2:45" s="458" customFormat="1" x14ac:dyDescent="0.2">
      <c r="B34" s="464"/>
      <c r="C34" s="579"/>
      <c r="D34" s="580"/>
      <c r="E34" s="581"/>
      <c r="F34" s="581"/>
      <c r="G34" s="581"/>
      <c r="H34" s="581"/>
      <c r="I34" s="581"/>
      <c r="J34" s="581"/>
      <c r="K34" s="581"/>
      <c r="L34" s="581"/>
      <c r="M34" s="581"/>
      <c r="N34" s="581"/>
      <c r="O34" s="581"/>
      <c r="P34" s="582"/>
      <c r="Q34" s="599"/>
      <c r="R34" s="583"/>
      <c r="S34" s="584"/>
      <c r="T34" s="584"/>
      <c r="U34" s="584"/>
      <c r="V34" s="584"/>
      <c r="W34" s="584"/>
      <c r="X34" s="584"/>
      <c r="Y34" s="584"/>
      <c r="Z34" s="584"/>
      <c r="AA34" s="584"/>
      <c r="AB34" s="584"/>
      <c r="AC34" s="584"/>
      <c r="AD34" s="585"/>
      <c r="AF34" s="556">
        <f t="shared" si="0"/>
        <v>0</v>
      </c>
      <c r="AG34" s="557">
        <f t="shared" si="1"/>
        <v>0</v>
      </c>
      <c r="AH34" s="557">
        <f t="shared" si="2"/>
        <v>0</v>
      </c>
      <c r="AI34" s="557">
        <f t="shared" si="3"/>
        <v>0</v>
      </c>
      <c r="AJ34" s="557">
        <f t="shared" si="4"/>
        <v>0</v>
      </c>
      <c r="AK34" s="557">
        <f t="shared" si="5"/>
        <v>0</v>
      </c>
      <c r="AL34" s="557">
        <f t="shared" si="6"/>
        <v>0</v>
      </c>
      <c r="AM34" s="557">
        <f t="shared" si="7"/>
        <v>0</v>
      </c>
      <c r="AN34" s="557">
        <f t="shared" si="8"/>
        <v>0</v>
      </c>
      <c r="AO34" s="557">
        <f t="shared" si="9"/>
        <v>0</v>
      </c>
      <c r="AP34" s="557">
        <f t="shared" si="10"/>
        <v>0</v>
      </c>
      <c r="AQ34" s="557">
        <f t="shared" si="11"/>
        <v>0</v>
      </c>
      <c r="AR34" s="557">
        <f t="shared" si="12"/>
        <v>0</v>
      </c>
      <c r="AS34" s="469">
        <f t="shared" si="13"/>
        <v>0</v>
      </c>
    </row>
    <row r="35" spans="2:45" s="458" customFormat="1" x14ac:dyDescent="0.2">
      <c r="B35" s="464"/>
      <c r="C35" s="579"/>
      <c r="D35" s="580"/>
      <c r="E35" s="581"/>
      <c r="F35" s="581"/>
      <c r="G35" s="581"/>
      <c r="H35" s="581"/>
      <c r="I35" s="581"/>
      <c r="J35" s="581"/>
      <c r="K35" s="581"/>
      <c r="L35" s="581"/>
      <c r="M35" s="581"/>
      <c r="N35" s="581"/>
      <c r="O35" s="581"/>
      <c r="P35" s="582"/>
      <c r="Q35" s="599"/>
      <c r="R35" s="583"/>
      <c r="S35" s="584"/>
      <c r="T35" s="584"/>
      <c r="U35" s="584"/>
      <c r="V35" s="584"/>
      <c r="W35" s="584"/>
      <c r="X35" s="584"/>
      <c r="Y35" s="584"/>
      <c r="Z35" s="584"/>
      <c r="AA35" s="584"/>
      <c r="AB35" s="584"/>
      <c r="AC35" s="584"/>
      <c r="AD35" s="585"/>
      <c r="AF35" s="556">
        <f t="shared" si="0"/>
        <v>0</v>
      </c>
      <c r="AG35" s="557">
        <f t="shared" si="1"/>
        <v>0</v>
      </c>
      <c r="AH35" s="557">
        <f t="shared" si="2"/>
        <v>0</v>
      </c>
      <c r="AI35" s="557">
        <f t="shared" si="3"/>
        <v>0</v>
      </c>
      <c r="AJ35" s="557">
        <f t="shared" si="4"/>
        <v>0</v>
      </c>
      <c r="AK35" s="557">
        <f t="shared" si="5"/>
        <v>0</v>
      </c>
      <c r="AL35" s="557">
        <f t="shared" si="6"/>
        <v>0</v>
      </c>
      <c r="AM35" s="557">
        <f t="shared" si="7"/>
        <v>0</v>
      </c>
      <c r="AN35" s="557">
        <f t="shared" si="8"/>
        <v>0</v>
      </c>
      <c r="AO35" s="557">
        <f t="shared" si="9"/>
        <v>0</v>
      </c>
      <c r="AP35" s="557">
        <f t="shared" si="10"/>
        <v>0</v>
      </c>
      <c r="AQ35" s="557">
        <f t="shared" si="11"/>
        <v>0</v>
      </c>
      <c r="AR35" s="557">
        <f t="shared" si="12"/>
        <v>0</v>
      </c>
      <c r="AS35" s="469">
        <f t="shared" si="13"/>
        <v>0</v>
      </c>
    </row>
    <row r="36" spans="2:45" s="458" customFormat="1" x14ac:dyDescent="0.2">
      <c r="B36" s="464"/>
      <c r="C36" s="579"/>
      <c r="D36" s="580"/>
      <c r="E36" s="581"/>
      <c r="F36" s="581"/>
      <c r="G36" s="581"/>
      <c r="H36" s="581"/>
      <c r="I36" s="581"/>
      <c r="J36" s="581"/>
      <c r="K36" s="581"/>
      <c r="L36" s="581"/>
      <c r="M36" s="581"/>
      <c r="N36" s="581"/>
      <c r="O36" s="581"/>
      <c r="P36" s="582"/>
      <c r="Q36" s="599"/>
      <c r="R36" s="583"/>
      <c r="S36" s="584"/>
      <c r="T36" s="584"/>
      <c r="U36" s="584"/>
      <c r="V36" s="584"/>
      <c r="W36" s="584"/>
      <c r="X36" s="584"/>
      <c r="Y36" s="584"/>
      <c r="Z36" s="584"/>
      <c r="AA36" s="584"/>
      <c r="AB36" s="584"/>
      <c r="AC36" s="584"/>
      <c r="AD36" s="585"/>
      <c r="AF36" s="556">
        <f t="shared" si="0"/>
        <v>0</v>
      </c>
      <c r="AG36" s="557">
        <f t="shared" si="1"/>
        <v>0</v>
      </c>
      <c r="AH36" s="557">
        <f t="shared" si="2"/>
        <v>0</v>
      </c>
      <c r="AI36" s="557">
        <f t="shared" si="3"/>
        <v>0</v>
      </c>
      <c r="AJ36" s="557">
        <f t="shared" si="4"/>
        <v>0</v>
      </c>
      <c r="AK36" s="557">
        <f t="shared" si="5"/>
        <v>0</v>
      </c>
      <c r="AL36" s="557">
        <f t="shared" si="6"/>
        <v>0</v>
      </c>
      <c r="AM36" s="557">
        <f t="shared" si="7"/>
        <v>0</v>
      </c>
      <c r="AN36" s="557">
        <f t="shared" si="8"/>
        <v>0</v>
      </c>
      <c r="AO36" s="557">
        <f t="shared" si="9"/>
        <v>0</v>
      </c>
      <c r="AP36" s="557">
        <f t="shared" si="10"/>
        <v>0</v>
      </c>
      <c r="AQ36" s="557">
        <f t="shared" si="11"/>
        <v>0</v>
      </c>
      <c r="AR36" s="557">
        <f t="shared" si="12"/>
        <v>0</v>
      </c>
      <c r="AS36" s="469">
        <f t="shared" si="13"/>
        <v>0</v>
      </c>
    </row>
    <row r="37" spans="2:45" s="458" customFormat="1" x14ac:dyDescent="0.2">
      <c r="B37" s="464"/>
      <c r="C37" s="579"/>
      <c r="D37" s="580"/>
      <c r="E37" s="581"/>
      <c r="F37" s="581"/>
      <c r="G37" s="581"/>
      <c r="H37" s="581"/>
      <c r="I37" s="581"/>
      <c r="J37" s="581"/>
      <c r="K37" s="581"/>
      <c r="L37" s="581"/>
      <c r="M37" s="581"/>
      <c r="N37" s="581"/>
      <c r="O37" s="581"/>
      <c r="P37" s="582"/>
      <c r="Q37" s="599"/>
      <c r="R37" s="583"/>
      <c r="S37" s="584"/>
      <c r="T37" s="584"/>
      <c r="U37" s="584"/>
      <c r="V37" s="584"/>
      <c r="W37" s="584"/>
      <c r="X37" s="584"/>
      <c r="Y37" s="584"/>
      <c r="Z37" s="584"/>
      <c r="AA37" s="584"/>
      <c r="AB37" s="584"/>
      <c r="AC37" s="584"/>
      <c r="AD37" s="585"/>
      <c r="AF37" s="556">
        <f t="shared" si="0"/>
        <v>0</v>
      </c>
      <c r="AG37" s="557">
        <f t="shared" si="1"/>
        <v>0</v>
      </c>
      <c r="AH37" s="557">
        <f t="shared" si="2"/>
        <v>0</v>
      </c>
      <c r="AI37" s="557">
        <f t="shared" si="3"/>
        <v>0</v>
      </c>
      <c r="AJ37" s="557">
        <f t="shared" si="4"/>
        <v>0</v>
      </c>
      <c r="AK37" s="557">
        <f t="shared" si="5"/>
        <v>0</v>
      </c>
      <c r="AL37" s="557">
        <f t="shared" si="6"/>
        <v>0</v>
      </c>
      <c r="AM37" s="557">
        <f t="shared" si="7"/>
        <v>0</v>
      </c>
      <c r="AN37" s="557">
        <f t="shared" si="8"/>
        <v>0</v>
      </c>
      <c r="AO37" s="557">
        <f t="shared" si="9"/>
        <v>0</v>
      </c>
      <c r="AP37" s="557">
        <f t="shared" si="10"/>
        <v>0</v>
      </c>
      <c r="AQ37" s="557">
        <f t="shared" si="11"/>
        <v>0</v>
      </c>
      <c r="AR37" s="557">
        <f t="shared" si="12"/>
        <v>0</v>
      </c>
      <c r="AS37" s="469">
        <f t="shared" si="13"/>
        <v>0</v>
      </c>
    </row>
    <row r="38" spans="2:45" s="458" customFormat="1" x14ac:dyDescent="0.2">
      <c r="B38" s="464"/>
      <c r="C38" s="579"/>
      <c r="D38" s="580"/>
      <c r="E38" s="581"/>
      <c r="F38" s="581"/>
      <c r="G38" s="581"/>
      <c r="H38" s="581"/>
      <c r="I38" s="581"/>
      <c r="J38" s="581"/>
      <c r="K38" s="581"/>
      <c r="L38" s="581"/>
      <c r="M38" s="581"/>
      <c r="N38" s="581"/>
      <c r="O38" s="581"/>
      <c r="P38" s="582"/>
      <c r="Q38" s="599"/>
      <c r="R38" s="583"/>
      <c r="S38" s="584"/>
      <c r="T38" s="584"/>
      <c r="U38" s="584"/>
      <c r="V38" s="584"/>
      <c r="W38" s="584"/>
      <c r="X38" s="584"/>
      <c r="Y38" s="584"/>
      <c r="Z38" s="584"/>
      <c r="AA38" s="584"/>
      <c r="AB38" s="584"/>
      <c r="AC38" s="584"/>
      <c r="AD38" s="585"/>
      <c r="AF38" s="556">
        <f t="shared" si="0"/>
        <v>0</v>
      </c>
      <c r="AG38" s="557">
        <f t="shared" si="1"/>
        <v>0</v>
      </c>
      <c r="AH38" s="557">
        <f t="shared" si="2"/>
        <v>0</v>
      </c>
      <c r="AI38" s="557">
        <f t="shared" si="3"/>
        <v>0</v>
      </c>
      <c r="AJ38" s="557">
        <f t="shared" si="4"/>
        <v>0</v>
      </c>
      <c r="AK38" s="557">
        <f t="shared" si="5"/>
        <v>0</v>
      </c>
      <c r="AL38" s="557">
        <f t="shared" si="6"/>
        <v>0</v>
      </c>
      <c r="AM38" s="557">
        <f t="shared" si="7"/>
        <v>0</v>
      </c>
      <c r="AN38" s="557">
        <f t="shared" si="8"/>
        <v>0</v>
      </c>
      <c r="AO38" s="557">
        <f t="shared" si="9"/>
        <v>0</v>
      </c>
      <c r="AP38" s="557">
        <f t="shared" si="10"/>
        <v>0</v>
      </c>
      <c r="AQ38" s="557">
        <f t="shared" si="11"/>
        <v>0</v>
      </c>
      <c r="AR38" s="557">
        <f t="shared" si="12"/>
        <v>0</v>
      </c>
      <c r="AS38" s="469">
        <f t="shared" si="13"/>
        <v>0</v>
      </c>
    </row>
    <row r="39" spans="2:45" s="458" customFormat="1" x14ac:dyDescent="0.2">
      <c r="B39" s="464"/>
      <c r="C39" s="579"/>
      <c r="D39" s="580"/>
      <c r="E39" s="581"/>
      <c r="F39" s="581"/>
      <c r="G39" s="581"/>
      <c r="H39" s="581"/>
      <c r="I39" s="581"/>
      <c r="J39" s="581"/>
      <c r="K39" s="581"/>
      <c r="L39" s="581"/>
      <c r="M39" s="581"/>
      <c r="N39" s="581"/>
      <c r="O39" s="581"/>
      <c r="P39" s="582"/>
      <c r="Q39" s="599"/>
      <c r="R39" s="583"/>
      <c r="S39" s="584"/>
      <c r="T39" s="584"/>
      <c r="U39" s="584"/>
      <c r="V39" s="584"/>
      <c r="W39" s="584"/>
      <c r="X39" s="584"/>
      <c r="Y39" s="584"/>
      <c r="Z39" s="584"/>
      <c r="AA39" s="584"/>
      <c r="AB39" s="584"/>
      <c r="AC39" s="584"/>
      <c r="AD39" s="585"/>
      <c r="AF39" s="556">
        <f t="shared" si="0"/>
        <v>0</v>
      </c>
      <c r="AG39" s="557">
        <f t="shared" si="1"/>
        <v>0</v>
      </c>
      <c r="AH39" s="557">
        <f t="shared" si="2"/>
        <v>0</v>
      </c>
      <c r="AI39" s="557">
        <f t="shared" si="3"/>
        <v>0</v>
      </c>
      <c r="AJ39" s="557">
        <f t="shared" si="4"/>
        <v>0</v>
      </c>
      <c r="AK39" s="557">
        <f t="shared" si="5"/>
        <v>0</v>
      </c>
      <c r="AL39" s="557">
        <f t="shared" si="6"/>
        <v>0</v>
      </c>
      <c r="AM39" s="557">
        <f t="shared" si="7"/>
        <v>0</v>
      </c>
      <c r="AN39" s="557">
        <f t="shared" si="8"/>
        <v>0</v>
      </c>
      <c r="AO39" s="557">
        <f t="shared" si="9"/>
        <v>0</v>
      </c>
      <c r="AP39" s="557">
        <f t="shared" si="10"/>
        <v>0</v>
      </c>
      <c r="AQ39" s="557">
        <f t="shared" si="11"/>
        <v>0</v>
      </c>
      <c r="AR39" s="557">
        <f t="shared" si="12"/>
        <v>0</v>
      </c>
      <c r="AS39" s="469">
        <f t="shared" si="13"/>
        <v>0</v>
      </c>
    </row>
    <row r="40" spans="2:45" s="458" customFormat="1" x14ac:dyDescent="0.2">
      <c r="B40" s="464"/>
      <c r="C40" s="579"/>
      <c r="D40" s="580"/>
      <c r="E40" s="581"/>
      <c r="F40" s="581"/>
      <c r="G40" s="581"/>
      <c r="H40" s="581"/>
      <c r="I40" s="581"/>
      <c r="J40" s="581"/>
      <c r="K40" s="581"/>
      <c r="L40" s="581"/>
      <c r="M40" s="581"/>
      <c r="N40" s="581"/>
      <c r="O40" s="581"/>
      <c r="P40" s="582"/>
      <c r="Q40" s="599"/>
      <c r="R40" s="583"/>
      <c r="S40" s="584"/>
      <c r="T40" s="584"/>
      <c r="U40" s="584"/>
      <c r="V40" s="584"/>
      <c r="W40" s="584"/>
      <c r="X40" s="584"/>
      <c r="Y40" s="584"/>
      <c r="Z40" s="584"/>
      <c r="AA40" s="584"/>
      <c r="AB40" s="584"/>
      <c r="AC40" s="584"/>
      <c r="AD40" s="585"/>
      <c r="AF40" s="556">
        <f t="shared" si="0"/>
        <v>0</v>
      </c>
      <c r="AG40" s="557">
        <f t="shared" si="1"/>
        <v>0</v>
      </c>
      <c r="AH40" s="557">
        <f t="shared" si="2"/>
        <v>0</v>
      </c>
      <c r="AI40" s="557">
        <f t="shared" si="3"/>
        <v>0</v>
      </c>
      <c r="AJ40" s="557">
        <f t="shared" si="4"/>
        <v>0</v>
      </c>
      <c r="AK40" s="557">
        <f t="shared" si="5"/>
        <v>0</v>
      </c>
      <c r="AL40" s="557">
        <f t="shared" si="6"/>
        <v>0</v>
      </c>
      <c r="AM40" s="557">
        <f t="shared" si="7"/>
        <v>0</v>
      </c>
      <c r="AN40" s="557">
        <f t="shared" si="8"/>
        <v>0</v>
      </c>
      <c r="AO40" s="557">
        <f t="shared" si="9"/>
        <v>0</v>
      </c>
      <c r="AP40" s="557">
        <f t="shared" si="10"/>
        <v>0</v>
      </c>
      <c r="AQ40" s="557">
        <f t="shared" si="11"/>
        <v>0</v>
      </c>
      <c r="AR40" s="557">
        <f t="shared" si="12"/>
        <v>0</v>
      </c>
      <c r="AS40" s="469">
        <f t="shared" si="13"/>
        <v>0</v>
      </c>
    </row>
    <row r="41" spans="2:45" s="458" customFormat="1" x14ac:dyDescent="0.2">
      <c r="B41" s="464"/>
      <c r="C41" s="579"/>
      <c r="D41" s="580"/>
      <c r="E41" s="581"/>
      <c r="F41" s="581"/>
      <c r="G41" s="581"/>
      <c r="H41" s="581"/>
      <c r="I41" s="581"/>
      <c r="J41" s="581"/>
      <c r="K41" s="581"/>
      <c r="L41" s="581"/>
      <c r="M41" s="581"/>
      <c r="N41" s="581"/>
      <c r="O41" s="581"/>
      <c r="P41" s="582"/>
      <c r="Q41" s="599"/>
      <c r="R41" s="583"/>
      <c r="S41" s="584"/>
      <c r="T41" s="584"/>
      <c r="U41" s="584"/>
      <c r="V41" s="584"/>
      <c r="W41" s="584"/>
      <c r="X41" s="584"/>
      <c r="Y41" s="584"/>
      <c r="Z41" s="584"/>
      <c r="AA41" s="584"/>
      <c r="AB41" s="584"/>
      <c r="AC41" s="584"/>
      <c r="AD41" s="585"/>
      <c r="AF41" s="556">
        <f t="shared" si="0"/>
        <v>0</v>
      </c>
      <c r="AG41" s="557">
        <f t="shared" si="1"/>
        <v>0</v>
      </c>
      <c r="AH41" s="557">
        <f t="shared" si="2"/>
        <v>0</v>
      </c>
      <c r="AI41" s="557">
        <f t="shared" si="3"/>
        <v>0</v>
      </c>
      <c r="AJ41" s="557">
        <f t="shared" si="4"/>
        <v>0</v>
      </c>
      <c r="AK41" s="557">
        <f t="shared" si="5"/>
        <v>0</v>
      </c>
      <c r="AL41" s="557">
        <f t="shared" si="6"/>
        <v>0</v>
      </c>
      <c r="AM41" s="557">
        <f t="shared" si="7"/>
        <v>0</v>
      </c>
      <c r="AN41" s="557">
        <f t="shared" si="8"/>
        <v>0</v>
      </c>
      <c r="AO41" s="557">
        <f t="shared" si="9"/>
        <v>0</v>
      </c>
      <c r="AP41" s="557">
        <f t="shared" si="10"/>
        <v>0</v>
      </c>
      <c r="AQ41" s="557">
        <f t="shared" si="11"/>
        <v>0</v>
      </c>
      <c r="AR41" s="557">
        <f t="shared" si="12"/>
        <v>0</v>
      </c>
      <c r="AS41" s="469">
        <f t="shared" si="13"/>
        <v>0</v>
      </c>
    </row>
    <row r="42" spans="2:45" s="458" customFormat="1" x14ac:dyDescent="0.2">
      <c r="B42" s="464"/>
      <c r="C42" s="579"/>
      <c r="D42" s="580"/>
      <c r="E42" s="581"/>
      <c r="F42" s="581"/>
      <c r="G42" s="581"/>
      <c r="H42" s="581"/>
      <c r="I42" s="581"/>
      <c r="J42" s="581"/>
      <c r="K42" s="581"/>
      <c r="L42" s="581"/>
      <c r="M42" s="581"/>
      <c r="N42" s="581"/>
      <c r="O42" s="581"/>
      <c r="P42" s="582"/>
      <c r="Q42" s="599"/>
      <c r="R42" s="583"/>
      <c r="S42" s="584"/>
      <c r="T42" s="584"/>
      <c r="U42" s="584"/>
      <c r="V42" s="584"/>
      <c r="W42" s="584"/>
      <c r="X42" s="584"/>
      <c r="Y42" s="584"/>
      <c r="Z42" s="584"/>
      <c r="AA42" s="584"/>
      <c r="AB42" s="584"/>
      <c r="AC42" s="584"/>
      <c r="AD42" s="585"/>
      <c r="AF42" s="556">
        <f t="shared" si="0"/>
        <v>0</v>
      </c>
      <c r="AG42" s="557">
        <f t="shared" si="1"/>
        <v>0</v>
      </c>
      <c r="AH42" s="557">
        <f t="shared" si="2"/>
        <v>0</v>
      </c>
      <c r="AI42" s="557">
        <f t="shared" si="3"/>
        <v>0</v>
      </c>
      <c r="AJ42" s="557">
        <f t="shared" si="4"/>
        <v>0</v>
      </c>
      <c r="AK42" s="557">
        <f t="shared" si="5"/>
        <v>0</v>
      </c>
      <c r="AL42" s="557">
        <f t="shared" si="6"/>
        <v>0</v>
      </c>
      <c r="AM42" s="557">
        <f t="shared" si="7"/>
        <v>0</v>
      </c>
      <c r="AN42" s="557">
        <f t="shared" si="8"/>
        <v>0</v>
      </c>
      <c r="AO42" s="557">
        <f t="shared" si="9"/>
        <v>0</v>
      </c>
      <c r="AP42" s="557">
        <f t="shared" si="10"/>
        <v>0</v>
      </c>
      <c r="AQ42" s="557">
        <f t="shared" si="11"/>
        <v>0</v>
      </c>
      <c r="AR42" s="557">
        <f t="shared" si="12"/>
        <v>0</v>
      </c>
      <c r="AS42" s="469">
        <f t="shared" si="13"/>
        <v>0</v>
      </c>
    </row>
    <row r="43" spans="2:45" s="458" customFormat="1" x14ac:dyDescent="0.2">
      <c r="B43" s="464"/>
      <c r="C43" s="579"/>
      <c r="D43" s="580"/>
      <c r="E43" s="581"/>
      <c r="F43" s="581"/>
      <c r="G43" s="581"/>
      <c r="H43" s="581"/>
      <c r="I43" s="581"/>
      <c r="J43" s="581"/>
      <c r="K43" s="581"/>
      <c r="L43" s="581"/>
      <c r="M43" s="581"/>
      <c r="N43" s="581"/>
      <c r="O43" s="581"/>
      <c r="P43" s="582"/>
      <c r="Q43" s="599"/>
      <c r="R43" s="583"/>
      <c r="S43" s="584"/>
      <c r="T43" s="584"/>
      <c r="U43" s="584"/>
      <c r="V43" s="584"/>
      <c r="W43" s="584"/>
      <c r="X43" s="584"/>
      <c r="Y43" s="584"/>
      <c r="Z43" s="584"/>
      <c r="AA43" s="584"/>
      <c r="AB43" s="584"/>
      <c r="AC43" s="584"/>
      <c r="AD43" s="585"/>
      <c r="AF43" s="556">
        <f t="shared" si="0"/>
        <v>0</v>
      </c>
      <c r="AG43" s="557">
        <f t="shared" si="1"/>
        <v>0</v>
      </c>
      <c r="AH43" s="557">
        <f t="shared" si="2"/>
        <v>0</v>
      </c>
      <c r="AI43" s="557">
        <f t="shared" si="3"/>
        <v>0</v>
      </c>
      <c r="AJ43" s="557">
        <f t="shared" si="4"/>
        <v>0</v>
      </c>
      <c r="AK43" s="557">
        <f t="shared" si="5"/>
        <v>0</v>
      </c>
      <c r="AL43" s="557">
        <f t="shared" si="6"/>
        <v>0</v>
      </c>
      <c r="AM43" s="557">
        <f t="shared" si="7"/>
        <v>0</v>
      </c>
      <c r="AN43" s="557">
        <f t="shared" si="8"/>
        <v>0</v>
      </c>
      <c r="AO43" s="557">
        <f t="shared" si="9"/>
        <v>0</v>
      </c>
      <c r="AP43" s="557">
        <f t="shared" si="10"/>
        <v>0</v>
      </c>
      <c r="AQ43" s="557">
        <f t="shared" si="11"/>
        <v>0</v>
      </c>
      <c r="AR43" s="557">
        <f t="shared" si="12"/>
        <v>0</v>
      </c>
      <c r="AS43" s="469">
        <f t="shared" si="13"/>
        <v>0</v>
      </c>
    </row>
    <row r="44" spans="2:45" s="458" customFormat="1" x14ac:dyDescent="0.2">
      <c r="B44" s="464"/>
      <c r="C44" s="579"/>
      <c r="D44" s="580"/>
      <c r="E44" s="581"/>
      <c r="F44" s="581"/>
      <c r="G44" s="581"/>
      <c r="H44" s="581"/>
      <c r="I44" s="581"/>
      <c r="J44" s="581"/>
      <c r="K44" s="581"/>
      <c r="L44" s="581"/>
      <c r="M44" s="581"/>
      <c r="N44" s="581"/>
      <c r="O44" s="581"/>
      <c r="P44" s="582"/>
      <c r="Q44" s="599"/>
      <c r="R44" s="583"/>
      <c r="S44" s="584"/>
      <c r="T44" s="584"/>
      <c r="U44" s="584"/>
      <c r="V44" s="584"/>
      <c r="W44" s="584"/>
      <c r="X44" s="584"/>
      <c r="Y44" s="584"/>
      <c r="Z44" s="584"/>
      <c r="AA44" s="584"/>
      <c r="AB44" s="584"/>
      <c r="AC44" s="584"/>
      <c r="AD44" s="585"/>
      <c r="AF44" s="556">
        <f t="shared" si="0"/>
        <v>0</v>
      </c>
      <c r="AG44" s="557">
        <f t="shared" si="1"/>
        <v>0</v>
      </c>
      <c r="AH44" s="557">
        <f t="shared" si="2"/>
        <v>0</v>
      </c>
      <c r="AI44" s="557">
        <f t="shared" si="3"/>
        <v>0</v>
      </c>
      <c r="AJ44" s="557">
        <f t="shared" si="4"/>
        <v>0</v>
      </c>
      <c r="AK44" s="557">
        <f t="shared" si="5"/>
        <v>0</v>
      </c>
      <c r="AL44" s="557">
        <f t="shared" si="6"/>
        <v>0</v>
      </c>
      <c r="AM44" s="557">
        <f t="shared" si="7"/>
        <v>0</v>
      </c>
      <c r="AN44" s="557">
        <f t="shared" si="8"/>
        <v>0</v>
      </c>
      <c r="AO44" s="557">
        <f t="shared" si="9"/>
        <v>0</v>
      </c>
      <c r="AP44" s="557">
        <f t="shared" si="10"/>
        <v>0</v>
      </c>
      <c r="AQ44" s="557">
        <f t="shared" si="11"/>
        <v>0</v>
      </c>
      <c r="AR44" s="557">
        <f t="shared" si="12"/>
        <v>0</v>
      </c>
      <c r="AS44" s="469">
        <f t="shared" si="13"/>
        <v>0</v>
      </c>
    </row>
    <row r="45" spans="2:45" s="458" customFormat="1" x14ac:dyDescent="0.2">
      <c r="B45" s="464"/>
      <c r="C45" s="579"/>
      <c r="D45" s="580"/>
      <c r="E45" s="581"/>
      <c r="F45" s="581"/>
      <c r="G45" s="581"/>
      <c r="H45" s="581"/>
      <c r="I45" s="581"/>
      <c r="J45" s="581"/>
      <c r="K45" s="581"/>
      <c r="L45" s="581"/>
      <c r="M45" s="581"/>
      <c r="N45" s="581"/>
      <c r="O45" s="581"/>
      <c r="P45" s="582"/>
      <c r="Q45" s="599"/>
      <c r="R45" s="583"/>
      <c r="S45" s="584"/>
      <c r="T45" s="584"/>
      <c r="U45" s="584"/>
      <c r="V45" s="584"/>
      <c r="W45" s="584"/>
      <c r="X45" s="584"/>
      <c r="Y45" s="584"/>
      <c r="Z45" s="584"/>
      <c r="AA45" s="584"/>
      <c r="AB45" s="584"/>
      <c r="AC45" s="584"/>
      <c r="AD45" s="585"/>
      <c r="AF45" s="556">
        <f t="shared" si="0"/>
        <v>0</v>
      </c>
      <c r="AG45" s="557">
        <f t="shared" si="1"/>
        <v>0</v>
      </c>
      <c r="AH45" s="557">
        <f t="shared" si="2"/>
        <v>0</v>
      </c>
      <c r="AI45" s="557">
        <f t="shared" si="3"/>
        <v>0</v>
      </c>
      <c r="AJ45" s="557">
        <f t="shared" si="4"/>
        <v>0</v>
      </c>
      <c r="AK45" s="557">
        <f t="shared" si="5"/>
        <v>0</v>
      </c>
      <c r="AL45" s="557">
        <f t="shared" si="6"/>
        <v>0</v>
      </c>
      <c r="AM45" s="557">
        <f t="shared" si="7"/>
        <v>0</v>
      </c>
      <c r="AN45" s="557">
        <f t="shared" si="8"/>
        <v>0</v>
      </c>
      <c r="AO45" s="557">
        <f t="shared" si="9"/>
        <v>0</v>
      </c>
      <c r="AP45" s="557">
        <f t="shared" si="10"/>
        <v>0</v>
      </c>
      <c r="AQ45" s="557">
        <f t="shared" si="11"/>
        <v>0</v>
      </c>
      <c r="AR45" s="557">
        <f t="shared" si="12"/>
        <v>0</v>
      </c>
      <c r="AS45" s="469">
        <f t="shared" si="13"/>
        <v>0</v>
      </c>
    </row>
    <row r="46" spans="2:45" s="458" customFormat="1" x14ac:dyDescent="0.2">
      <c r="B46" s="464"/>
      <c r="C46" s="579"/>
      <c r="D46" s="580"/>
      <c r="E46" s="581"/>
      <c r="F46" s="581"/>
      <c r="G46" s="581"/>
      <c r="H46" s="581"/>
      <c r="I46" s="581"/>
      <c r="J46" s="581"/>
      <c r="K46" s="581"/>
      <c r="L46" s="581"/>
      <c r="M46" s="581"/>
      <c r="N46" s="581"/>
      <c r="O46" s="581"/>
      <c r="P46" s="582"/>
      <c r="Q46" s="599"/>
      <c r="R46" s="583"/>
      <c r="S46" s="584"/>
      <c r="T46" s="584"/>
      <c r="U46" s="584"/>
      <c r="V46" s="584"/>
      <c r="W46" s="584"/>
      <c r="X46" s="584"/>
      <c r="Y46" s="584"/>
      <c r="Z46" s="584"/>
      <c r="AA46" s="584"/>
      <c r="AB46" s="584"/>
      <c r="AC46" s="584"/>
      <c r="AD46" s="585"/>
      <c r="AF46" s="556">
        <f t="shared" si="0"/>
        <v>0</v>
      </c>
      <c r="AG46" s="557">
        <f t="shared" si="1"/>
        <v>0</v>
      </c>
      <c r="AH46" s="557">
        <f t="shared" si="2"/>
        <v>0</v>
      </c>
      <c r="AI46" s="557">
        <f t="shared" si="3"/>
        <v>0</v>
      </c>
      <c r="AJ46" s="557">
        <f t="shared" si="4"/>
        <v>0</v>
      </c>
      <c r="AK46" s="557">
        <f t="shared" si="5"/>
        <v>0</v>
      </c>
      <c r="AL46" s="557">
        <f t="shared" si="6"/>
        <v>0</v>
      </c>
      <c r="AM46" s="557">
        <f t="shared" si="7"/>
        <v>0</v>
      </c>
      <c r="AN46" s="557">
        <f t="shared" si="8"/>
        <v>0</v>
      </c>
      <c r="AO46" s="557">
        <f t="shared" si="9"/>
        <v>0</v>
      </c>
      <c r="AP46" s="557">
        <f t="shared" si="10"/>
        <v>0</v>
      </c>
      <c r="AQ46" s="557">
        <f t="shared" si="11"/>
        <v>0</v>
      </c>
      <c r="AR46" s="557">
        <f t="shared" si="12"/>
        <v>0</v>
      </c>
      <c r="AS46" s="469">
        <f t="shared" si="13"/>
        <v>0</v>
      </c>
    </row>
    <row r="47" spans="2:45" s="458" customFormat="1" x14ac:dyDescent="0.2">
      <c r="B47" s="464"/>
      <c r="C47" s="579"/>
      <c r="D47" s="586"/>
      <c r="E47" s="587"/>
      <c r="F47" s="587"/>
      <c r="G47" s="587"/>
      <c r="H47" s="587"/>
      <c r="I47" s="587"/>
      <c r="J47" s="587"/>
      <c r="K47" s="587"/>
      <c r="L47" s="587"/>
      <c r="M47" s="587"/>
      <c r="N47" s="587"/>
      <c r="O47" s="587"/>
      <c r="P47" s="588"/>
      <c r="Q47" s="599"/>
      <c r="R47" s="583"/>
      <c r="S47" s="584"/>
      <c r="T47" s="584"/>
      <c r="U47" s="584"/>
      <c r="V47" s="584"/>
      <c r="W47" s="584"/>
      <c r="X47" s="584"/>
      <c r="Y47" s="584"/>
      <c r="Z47" s="584"/>
      <c r="AA47" s="584"/>
      <c r="AB47" s="584"/>
      <c r="AC47" s="584"/>
      <c r="AD47" s="585"/>
      <c r="AF47" s="556">
        <f t="shared" si="0"/>
        <v>0</v>
      </c>
      <c r="AG47" s="557">
        <f t="shared" si="1"/>
        <v>0</v>
      </c>
      <c r="AH47" s="557">
        <f t="shared" si="2"/>
        <v>0</v>
      </c>
      <c r="AI47" s="557">
        <f t="shared" si="3"/>
        <v>0</v>
      </c>
      <c r="AJ47" s="557">
        <f t="shared" si="4"/>
        <v>0</v>
      </c>
      <c r="AK47" s="557">
        <f t="shared" si="5"/>
        <v>0</v>
      </c>
      <c r="AL47" s="557">
        <f t="shared" si="6"/>
        <v>0</v>
      </c>
      <c r="AM47" s="557">
        <f t="shared" si="7"/>
        <v>0</v>
      </c>
      <c r="AN47" s="557">
        <f t="shared" si="8"/>
        <v>0</v>
      </c>
      <c r="AO47" s="557">
        <f t="shared" si="9"/>
        <v>0</v>
      </c>
      <c r="AP47" s="557">
        <f t="shared" si="10"/>
        <v>0</v>
      </c>
      <c r="AQ47" s="557">
        <f t="shared" si="11"/>
        <v>0</v>
      </c>
      <c r="AR47" s="557">
        <f t="shared" si="12"/>
        <v>0</v>
      </c>
      <c r="AS47" s="469">
        <f t="shared" si="13"/>
        <v>0</v>
      </c>
    </row>
    <row r="48" spans="2:45" s="458" customFormat="1" x14ac:dyDescent="0.2">
      <c r="B48" s="464"/>
      <c r="C48" s="579"/>
      <c r="D48" s="586"/>
      <c r="E48" s="587"/>
      <c r="F48" s="587"/>
      <c r="G48" s="587"/>
      <c r="H48" s="587"/>
      <c r="I48" s="587"/>
      <c r="J48" s="587"/>
      <c r="K48" s="587"/>
      <c r="L48" s="587"/>
      <c r="M48" s="587"/>
      <c r="N48" s="587"/>
      <c r="O48" s="587"/>
      <c r="P48" s="588"/>
      <c r="Q48" s="599"/>
      <c r="R48" s="583"/>
      <c r="S48" s="584"/>
      <c r="T48" s="584"/>
      <c r="U48" s="584"/>
      <c r="V48" s="584"/>
      <c r="W48" s="584"/>
      <c r="X48" s="584"/>
      <c r="Y48" s="584"/>
      <c r="Z48" s="584"/>
      <c r="AA48" s="584"/>
      <c r="AB48" s="584"/>
      <c r="AC48" s="584"/>
      <c r="AD48" s="585"/>
      <c r="AF48" s="556">
        <f t="shared" si="0"/>
        <v>0</v>
      </c>
      <c r="AG48" s="557">
        <f t="shared" si="1"/>
        <v>0</v>
      </c>
      <c r="AH48" s="557">
        <f t="shared" si="2"/>
        <v>0</v>
      </c>
      <c r="AI48" s="557">
        <f t="shared" si="3"/>
        <v>0</v>
      </c>
      <c r="AJ48" s="557">
        <f t="shared" si="4"/>
        <v>0</v>
      </c>
      <c r="AK48" s="557">
        <f t="shared" si="5"/>
        <v>0</v>
      </c>
      <c r="AL48" s="557">
        <f t="shared" si="6"/>
        <v>0</v>
      </c>
      <c r="AM48" s="557">
        <f t="shared" si="7"/>
        <v>0</v>
      </c>
      <c r="AN48" s="557">
        <f t="shared" si="8"/>
        <v>0</v>
      </c>
      <c r="AO48" s="557">
        <f t="shared" si="9"/>
        <v>0</v>
      </c>
      <c r="AP48" s="557">
        <f t="shared" si="10"/>
        <v>0</v>
      </c>
      <c r="AQ48" s="557">
        <f t="shared" si="11"/>
        <v>0</v>
      </c>
      <c r="AR48" s="557">
        <f t="shared" si="12"/>
        <v>0</v>
      </c>
      <c r="AS48" s="469">
        <f t="shared" si="13"/>
        <v>0</v>
      </c>
    </row>
    <row r="49" spans="2:45" s="458" customFormat="1" x14ac:dyDescent="0.2">
      <c r="B49" s="464"/>
      <c r="C49" s="579"/>
      <c r="D49" s="586"/>
      <c r="E49" s="587"/>
      <c r="F49" s="587"/>
      <c r="G49" s="587"/>
      <c r="H49" s="587"/>
      <c r="I49" s="587"/>
      <c r="J49" s="587"/>
      <c r="K49" s="587"/>
      <c r="L49" s="587"/>
      <c r="M49" s="587"/>
      <c r="N49" s="587"/>
      <c r="O49" s="587"/>
      <c r="P49" s="588"/>
      <c r="Q49" s="599"/>
      <c r="R49" s="583"/>
      <c r="S49" s="584"/>
      <c r="T49" s="584"/>
      <c r="U49" s="584"/>
      <c r="V49" s="584"/>
      <c r="W49" s="584"/>
      <c r="X49" s="584"/>
      <c r="Y49" s="584"/>
      <c r="Z49" s="584"/>
      <c r="AA49" s="584"/>
      <c r="AB49" s="584"/>
      <c r="AC49" s="584"/>
      <c r="AD49" s="585"/>
      <c r="AF49" s="556">
        <f t="shared" si="0"/>
        <v>0</v>
      </c>
      <c r="AG49" s="557">
        <f t="shared" si="1"/>
        <v>0</v>
      </c>
      <c r="AH49" s="557">
        <f t="shared" si="2"/>
        <v>0</v>
      </c>
      <c r="AI49" s="557">
        <f t="shared" si="3"/>
        <v>0</v>
      </c>
      <c r="AJ49" s="557">
        <f t="shared" si="4"/>
        <v>0</v>
      </c>
      <c r="AK49" s="557">
        <f t="shared" si="5"/>
        <v>0</v>
      </c>
      <c r="AL49" s="557">
        <f t="shared" si="6"/>
        <v>0</v>
      </c>
      <c r="AM49" s="557">
        <f t="shared" si="7"/>
        <v>0</v>
      </c>
      <c r="AN49" s="557">
        <f t="shared" si="8"/>
        <v>0</v>
      </c>
      <c r="AO49" s="557">
        <f t="shared" si="9"/>
        <v>0</v>
      </c>
      <c r="AP49" s="557">
        <f t="shared" si="10"/>
        <v>0</v>
      </c>
      <c r="AQ49" s="557">
        <f t="shared" si="11"/>
        <v>0</v>
      </c>
      <c r="AR49" s="557">
        <f t="shared" si="12"/>
        <v>0</v>
      </c>
      <c r="AS49" s="469">
        <f t="shared" si="13"/>
        <v>0</v>
      </c>
    </row>
    <row r="50" spans="2:45" s="458" customFormat="1" x14ac:dyDescent="0.2">
      <c r="B50" s="464"/>
      <c r="C50" s="579"/>
      <c r="D50" s="586"/>
      <c r="E50" s="587"/>
      <c r="F50" s="587"/>
      <c r="G50" s="587"/>
      <c r="H50" s="587"/>
      <c r="I50" s="587"/>
      <c r="J50" s="587"/>
      <c r="K50" s="587"/>
      <c r="L50" s="587"/>
      <c r="M50" s="587"/>
      <c r="N50" s="587"/>
      <c r="O50" s="587"/>
      <c r="P50" s="588"/>
      <c r="Q50" s="599"/>
      <c r="R50" s="583"/>
      <c r="S50" s="584"/>
      <c r="T50" s="584"/>
      <c r="U50" s="584"/>
      <c r="V50" s="584"/>
      <c r="W50" s="584"/>
      <c r="X50" s="584"/>
      <c r="Y50" s="584"/>
      <c r="Z50" s="584"/>
      <c r="AA50" s="584"/>
      <c r="AB50" s="584"/>
      <c r="AC50" s="584"/>
      <c r="AD50" s="585"/>
      <c r="AF50" s="556">
        <f t="shared" si="0"/>
        <v>0</v>
      </c>
      <c r="AG50" s="557">
        <f t="shared" si="1"/>
        <v>0</v>
      </c>
      <c r="AH50" s="557">
        <f t="shared" si="2"/>
        <v>0</v>
      </c>
      <c r="AI50" s="557">
        <f t="shared" si="3"/>
        <v>0</v>
      </c>
      <c r="AJ50" s="557">
        <f t="shared" si="4"/>
        <v>0</v>
      </c>
      <c r="AK50" s="557">
        <f t="shared" si="5"/>
        <v>0</v>
      </c>
      <c r="AL50" s="557">
        <f t="shared" si="6"/>
        <v>0</v>
      </c>
      <c r="AM50" s="557">
        <f t="shared" si="7"/>
        <v>0</v>
      </c>
      <c r="AN50" s="557">
        <f t="shared" si="8"/>
        <v>0</v>
      </c>
      <c r="AO50" s="557">
        <f t="shared" si="9"/>
        <v>0</v>
      </c>
      <c r="AP50" s="557">
        <f t="shared" si="10"/>
        <v>0</v>
      </c>
      <c r="AQ50" s="557">
        <f t="shared" si="11"/>
        <v>0</v>
      </c>
      <c r="AR50" s="557">
        <f t="shared" si="12"/>
        <v>0</v>
      </c>
      <c r="AS50" s="469">
        <f t="shared" si="13"/>
        <v>0</v>
      </c>
    </row>
    <row r="51" spans="2:45" s="458" customFormat="1" x14ac:dyDescent="0.2">
      <c r="B51" s="464"/>
      <c r="C51" s="579"/>
      <c r="D51" s="586"/>
      <c r="E51" s="587"/>
      <c r="F51" s="587"/>
      <c r="G51" s="587"/>
      <c r="H51" s="587"/>
      <c r="I51" s="587"/>
      <c r="J51" s="587"/>
      <c r="K51" s="587"/>
      <c r="L51" s="587"/>
      <c r="M51" s="587"/>
      <c r="N51" s="587"/>
      <c r="O51" s="587"/>
      <c r="P51" s="588"/>
      <c r="Q51" s="599"/>
      <c r="R51" s="583"/>
      <c r="S51" s="584"/>
      <c r="T51" s="584"/>
      <c r="U51" s="584"/>
      <c r="V51" s="584"/>
      <c r="W51" s="584"/>
      <c r="X51" s="584"/>
      <c r="Y51" s="584"/>
      <c r="Z51" s="584"/>
      <c r="AA51" s="584"/>
      <c r="AB51" s="584"/>
      <c r="AC51" s="584"/>
      <c r="AD51" s="585"/>
      <c r="AF51" s="556">
        <f t="shared" si="0"/>
        <v>0</v>
      </c>
      <c r="AG51" s="557">
        <f t="shared" si="1"/>
        <v>0</v>
      </c>
      <c r="AH51" s="557">
        <f t="shared" si="2"/>
        <v>0</v>
      </c>
      <c r="AI51" s="557">
        <f t="shared" si="3"/>
        <v>0</v>
      </c>
      <c r="AJ51" s="557">
        <f t="shared" si="4"/>
        <v>0</v>
      </c>
      <c r="AK51" s="557">
        <f t="shared" si="5"/>
        <v>0</v>
      </c>
      <c r="AL51" s="557">
        <f t="shared" si="6"/>
        <v>0</v>
      </c>
      <c r="AM51" s="557">
        <f t="shared" si="7"/>
        <v>0</v>
      </c>
      <c r="AN51" s="557">
        <f t="shared" si="8"/>
        <v>0</v>
      </c>
      <c r="AO51" s="557">
        <f t="shared" si="9"/>
        <v>0</v>
      </c>
      <c r="AP51" s="557">
        <f t="shared" si="10"/>
        <v>0</v>
      </c>
      <c r="AQ51" s="557">
        <f t="shared" si="11"/>
        <v>0</v>
      </c>
      <c r="AR51" s="557">
        <f t="shared" si="12"/>
        <v>0</v>
      </c>
      <c r="AS51" s="469">
        <f t="shared" si="13"/>
        <v>0</v>
      </c>
    </row>
    <row r="52" spans="2:45" s="458" customFormat="1" x14ac:dyDescent="0.2">
      <c r="B52" s="464"/>
      <c r="C52" s="579"/>
      <c r="D52" s="586"/>
      <c r="E52" s="587"/>
      <c r="F52" s="587"/>
      <c r="G52" s="587"/>
      <c r="H52" s="587"/>
      <c r="I52" s="587"/>
      <c r="J52" s="587"/>
      <c r="K52" s="587"/>
      <c r="L52" s="587"/>
      <c r="M52" s="587"/>
      <c r="N52" s="587"/>
      <c r="O52" s="587"/>
      <c r="P52" s="588"/>
      <c r="Q52" s="599"/>
      <c r="R52" s="583"/>
      <c r="S52" s="584"/>
      <c r="T52" s="584"/>
      <c r="U52" s="584"/>
      <c r="V52" s="584"/>
      <c r="W52" s="584"/>
      <c r="X52" s="584"/>
      <c r="Y52" s="584"/>
      <c r="Z52" s="584"/>
      <c r="AA52" s="584"/>
      <c r="AB52" s="584"/>
      <c r="AC52" s="584"/>
      <c r="AD52" s="585"/>
      <c r="AF52" s="556">
        <f t="shared" si="0"/>
        <v>0</v>
      </c>
      <c r="AG52" s="557">
        <f t="shared" si="1"/>
        <v>0</v>
      </c>
      <c r="AH52" s="557">
        <f t="shared" si="2"/>
        <v>0</v>
      </c>
      <c r="AI52" s="557">
        <f t="shared" si="3"/>
        <v>0</v>
      </c>
      <c r="AJ52" s="557">
        <f t="shared" si="4"/>
        <v>0</v>
      </c>
      <c r="AK52" s="557">
        <f t="shared" si="5"/>
        <v>0</v>
      </c>
      <c r="AL52" s="557">
        <f t="shared" si="6"/>
        <v>0</v>
      </c>
      <c r="AM52" s="557">
        <f t="shared" si="7"/>
        <v>0</v>
      </c>
      <c r="AN52" s="557">
        <f t="shared" si="8"/>
        <v>0</v>
      </c>
      <c r="AO52" s="557">
        <f t="shared" si="9"/>
        <v>0</v>
      </c>
      <c r="AP52" s="557">
        <f t="shared" si="10"/>
        <v>0</v>
      </c>
      <c r="AQ52" s="557">
        <f t="shared" si="11"/>
        <v>0</v>
      </c>
      <c r="AR52" s="557">
        <f t="shared" si="12"/>
        <v>0</v>
      </c>
      <c r="AS52" s="469">
        <f t="shared" si="13"/>
        <v>0</v>
      </c>
    </row>
    <row r="53" spans="2:45" s="458" customFormat="1" x14ac:dyDescent="0.2">
      <c r="B53" s="464"/>
      <c r="C53" s="579"/>
      <c r="D53" s="586"/>
      <c r="E53" s="587"/>
      <c r="F53" s="587"/>
      <c r="G53" s="587"/>
      <c r="H53" s="587"/>
      <c r="I53" s="587"/>
      <c r="J53" s="587"/>
      <c r="K53" s="587"/>
      <c r="L53" s="587"/>
      <c r="M53" s="587"/>
      <c r="N53" s="587"/>
      <c r="O53" s="587"/>
      <c r="P53" s="588"/>
      <c r="Q53" s="599"/>
      <c r="R53" s="583"/>
      <c r="S53" s="584"/>
      <c r="T53" s="584"/>
      <c r="U53" s="584"/>
      <c r="V53" s="584"/>
      <c r="W53" s="584"/>
      <c r="X53" s="584"/>
      <c r="Y53" s="584"/>
      <c r="Z53" s="584"/>
      <c r="AA53" s="584"/>
      <c r="AB53" s="584"/>
      <c r="AC53" s="584"/>
      <c r="AD53" s="585"/>
      <c r="AF53" s="556">
        <f t="shared" si="0"/>
        <v>0</v>
      </c>
      <c r="AG53" s="557">
        <f t="shared" si="1"/>
        <v>0</v>
      </c>
      <c r="AH53" s="557">
        <f t="shared" si="2"/>
        <v>0</v>
      </c>
      <c r="AI53" s="557">
        <f t="shared" si="3"/>
        <v>0</v>
      </c>
      <c r="AJ53" s="557">
        <f t="shared" si="4"/>
        <v>0</v>
      </c>
      <c r="AK53" s="557">
        <f t="shared" si="5"/>
        <v>0</v>
      </c>
      <c r="AL53" s="557">
        <f t="shared" si="6"/>
        <v>0</v>
      </c>
      <c r="AM53" s="557">
        <f t="shared" si="7"/>
        <v>0</v>
      </c>
      <c r="AN53" s="557">
        <f t="shared" si="8"/>
        <v>0</v>
      </c>
      <c r="AO53" s="557">
        <f t="shared" si="9"/>
        <v>0</v>
      </c>
      <c r="AP53" s="557">
        <f t="shared" si="10"/>
        <v>0</v>
      </c>
      <c r="AQ53" s="557">
        <f t="shared" si="11"/>
        <v>0</v>
      </c>
      <c r="AR53" s="557">
        <f t="shared" si="12"/>
        <v>0</v>
      </c>
      <c r="AS53" s="469">
        <f t="shared" si="13"/>
        <v>0</v>
      </c>
    </row>
    <row r="54" spans="2:45" s="458" customFormat="1" x14ac:dyDescent="0.2">
      <c r="B54" s="464"/>
      <c r="C54" s="579"/>
      <c r="D54" s="586"/>
      <c r="E54" s="587"/>
      <c r="F54" s="587"/>
      <c r="G54" s="587"/>
      <c r="H54" s="587"/>
      <c r="I54" s="587"/>
      <c r="J54" s="587"/>
      <c r="K54" s="587"/>
      <c r="L54" s="587"/>
      <c r="M54" s="587"/>
      <c r="N54" s="587"/>
      <c r="O54" s="587"/>
      <c r="P54" s="588"/>
      <c r="Q54" s="599"/>
      <c r="R54" s="583"/>
      <c r="S54" s="584"/>
      <c r="T54" s="584"/>
      <c r="U54" s="584"/>
      <c r="V54" s="584"/>
      <c r="W54" s="584"/>
      <c r="X54" s="584"/>
      <c r="Y54" s="584"/>
      <c r="Z54" s="584"/>
      <c r="AA54" s="584"/>
      <c r="AB54" s="584"/>
      <c r="AC54" s="584"/>
      <c r="AD54" s="585"/>
      <c r="AF54" s="556">
        <f t="shared" si="0"/>
        <v>0</v>
      </c>
      <c r="AG54" s="557">
        <f t="shared" si="1"/>
        <v>0</v>
      </c>
      <c r="AH54" s="557">
        <f t="shared" si="2"/>
        <v>0</v>
      </c>
      <c r="AI54" s="557">
        <f t="shared" si="3"/>
        <v>0</v>
      </c>
      <c r="AJ54" s="557">
        <f t="shared" si="4"/>
        <v>0</v>
      </c>
      <c r="AK54" s="557">
        <f t="shared" si="5"/>
        <v>0</v>
      </c>
      <c r="AL54" s="557">
        <f t="shared" si="6"/>
        <v>0</v>
      </c>
      <c r="AM54" s="557">
        <f t="shared" si="7"/>
        <v>0</v>
      </c>
      <c r="AN54" s="557">
        <f t="shared" si="8"/>
        <v>0</v>
      </c>
      <c r="AO54" s="557">
        <f t="shared" si="9"/>
        <v>0</v>
      </c>
      <c r="AP54" s="557">
        <f t="shared" si="10"/>
        <v>0</v>
      </c>
      <c r="AQ54" s="557">
        <f t="shared" si="11"/>
        <v>0</v>
      </c>
      <c r="AR54" s="557">
        <f t="shared" si="12"/>
        <v>0</v>
      </c>
      <c r="AS54" s="469">
        <f t="shared" si="13"/>
        <v>0</v>
      </c>
    </row>
    <row r="55" spans="2:45" s="458" customFormat="1" x14ac:dyDescent="0.2">
      <c r="B55" s="464"/>
      <c r="C55" s="579"/>
      <c r="D55" s="586"/>
      <c r="E55" s="587"/>
      <c r="F55" s="587"/>
      <c r="G55" s="587"/>
      <c r="H55" s="587"/>
      <c r="I55" s="587"/>
      <c r="J55" s="587"/>
      <c r="K55" s="587"/>
      <c r="L55" s="587"/>
      <c r="M55" s="587"/>
      <c r="N55" s="587"/>
      <c r="O55" s="587"/>
      <c r="P55" s="588"/>
      <c r="Q55" s="599"/>
      <c r="R55" s="583"/>
      <c r="S55" s="584"/>
      <c r="T55" s="584"/>
      <c r="U55" s="584"/>
      <c r="V55" s="584"/>
      <c r="W55" s="584"/>
      <c r="X55" s="584"/>
      <c r="Y55" s="584"/>
      <c r="Z55" s="584"/>
      <c r="AA55" s="584"/>
      <c r="AB55" s="584"/>
      <c r="AC55" s="584"/>
      <c r="AD55" s="585"/>
      <c r="AF55" s="556">
        <f t="shared" si="0"/>
        <v>0</v>
      </c>
      <c r="AG55" s="557">
        <f t="shared" si="1"/>
        <v>0</v>
      </c>
      <c r="AH55" s="557">
        <f t="shared" si="2"/>
        <v>0</v>
      </c>
      <c r="AI55" s="557">
        <f t="shared" si="3"/>
        <v>0</v>
      </c>
      <c r="AJ55" s="557">
        <f t="shared" si="4"/>
        <v>0</v>
      </c>
      <c r="AK55" s="557">
        <f t="shared" si="5"/>
        <v>0</v>
      </c>
      <c r="AL55" s="557">
        <f t="shared" si="6"/>
        <v>0</v>
      </c>
      <c r="AM55" s="557">
        <f t="shared" si="7"/>
        <v>0</v>
      </c>
      <c r="AN55" s="557">
        <f t="shared" si="8"/>
        <v>0</v>
      </c>
      <c r="AO55" s="557">
        <f t="shared" si="9"/>
        <v>0</v>
      </c>
      <c r="AP55" s="557">
        <f t="shared" si="10"/>
        <v>0</v>
      </c>
      <c r="AQ55" s="557">
        <f t="shared" si="11"/>
        <v>0</v>
      </c>
      <c r="AR55" s="557">
        <f t="shared" si="12"/>
        <v>0</v>
      </c>
      <c r="AS55" s="469">
        <f t="shared" si="13"/>
        <v>0</v>
      </c>
    </row>
    <row r="56" spans="2:45" s="458" customFormat="1" x14ac:dyDescent="0.2">
      <c r="B56" s="464"/>
      <c r="C56" s="579"/>
      <c r="D56" s="586"/>
      <c r="E56" s="587"/>
      <c r="F56" s="587"/>
      <c r="G56" s="587"/>
      <c r="H56" s="587"/>
      <c r="I56" s="587"/>
      <c r="J56" s="587"/>
      <c r="K56" s="587"/>
      <c r="L56" s="587"/>
      <c r="M56" s="587"/>
      <c r="N56" s="587"/>
      <c r="O56" s="587"/>
      <c r="P56" s="588"/>
      <c r="Q56" s="599"/>
      <c r="R56" s="583"/>
      <c r="S56" s="584"/>
      <c r="T56" s="584"/>
      <c r="U56" s="584"/>
      <c r="V56" s="584"/>
      <c r="W56" s="584"/>
      <c r="X56" s="584"/>
      <c r="Y56" s="584"/>
      <c r="Z56" s="584"/>
      <c r="AA56" s="584"/>
      <c r="AB56" s="584"/>
      <c r="AC56" s="584"/>
      <c r="AD56" s="585"/>
      <c r="AF56" s="556">
        <f t="shared" si="0"/>
        <v>0</v>
      </c>
      <c r="AG56" s="557">
        <f t="shared" si="1"/>
        <v>0</v>
      </c>
      <c r="AH56" s="557">
        <f t="shared" si="2"/>
        <v>0</v>
      </c>
      <c r="AI56" s="557">
        <f t="shared" si="3"/>
        <v>0</v>
      </c>
      <c r="AJ56" s="557">
        <f t="shared" si="4"/>
        <v>0</v>
      </c>
      <c r="AK56" s="557">
        <f t="shared" si="5"/>
        <v>0</v>
      </c>
      <c r="AL56" s="557">
        <f t="shared" si="6"/>
        <v>0</v>
      </c>
      <c r="AM56" s="557">
        <f t="shared" si="7"/>
        <v>0</v>
      </c>
      <c r="AN56" s="557">
        <f t="shared" si="8"/>
        <v>0</v>
      </c>
      <c r="AO56" s="557">
        <f t="shared" si="9"/>
        <v>0</v>
      </c>
      <c r="AP56" s="557">
        <f t="shared" si="10"/>
        <v>0</v>
      </c>
      <c r="AQ56" s="557">
        <f t="shared" si="11"/>
        <v>0</v>
      </c>
      <c r="AR56" s="557">
        <f t="shared" si="12"/>
        <v>0</v>
      </c>
      <c r="AS56" s="469">
        <f t="shared" si="13"/>
        <v>0</v>
      </c>
    </row>
    <row r="57" spans="2:45" s="458" customFormat="1" x14ac:dyDescent="0.2">
      <c r="B57" s="464"/>
      <c r="C57" s="579"/>
      <c r="D57" s="586"/>
      <c r="E57" s="587"/>
      <c r="F57" s="587"/>
      <c r="G57" s="587"/>
      <c r="H57" s="587"/>
      <c r="I57" s="587"/>
      <c r="J57" s="587"/>
      <c r="K57" s="587"/>
      <c r="L57" s="587"/>
      <c r="M57" s="587"/>
      <c r="N57" s="587"/>
      <c r="O57" s="587"/>
      <c r="P57" s="588"/>
      <c r="Q57" s="599"/>
      <c r="R57" s="583"/>
      <c r="S57" s="584"/>
      <c r="T57" s="584"/>
      <c r="U57" s="584"/>
      <c r="V57" s="584"/>
      <c r="W57" s="584"/>
      <c r="X57" s="584"/>
      <c r="Y57" s="584"/>
      <c r="Z57" s="584"/>
      <c r="AA57" s="584"/>
      <c r="AB57" s="584"/>
      <c r="AC57" s="584"/>
      <c r="AD57" s="585"/>
      <c r="AF57" s="556">
        <f t="shared" si="0"/>
        <v>0</v>
      </c>
      <c r="AG57" s="557">
        <f t="shared" si="1"/>
        <v>0</v>
      </c>
      <c r="AH57" s="557">
        <f t="shared" si="2"/>
        <v>0</v>
      </c>
      <c r="AI57" s="557">
        <f t="shared" si="3"/>
        <v>0</v>
      </c>
      <c r="AJ57" s="557">
        <f t="shared" si="4"/>
        <v>0</v>
      </c>
      <c r="AK57" s="557">
        <f t="shared" si="5"/>
        <v>0</v>
      </c>
      <c r="AL57" s="557">
        <f t="shared" si="6"/>
        <v>0</v>
      </c>
      <c r="AM57" s="557">
        <f t="shared" si="7"/>
        <v>0</v>
      </c>
      <c r="AN57" s="557">
        <f t="shared" si="8"/>
        <v>0</v>
      </c>
      <c r="AO57" s="557">
        <f t="shared" si="9"/>
        <v>0</v>
      </c>
      <c r="AP57" s="557">
        <f t="shared" si="10"/>
        <v>0</v>
      </c>
      <c r="AQ57" s="557">
        <f t="shared" si="11"/>
        <v>0</v>
      </c>
      <c r="AR57" s="557">
        <f t="shared" si="12"/>
        <v>0</v>
      </c>
      <c r="AS57" s="469">
        <f t="shared" si="13"/>
        <v>0</v>
      </c>
    </row>
    <row r="58" spans="2:45" s="458" customFormat="1" x14ac:dyDescent="0.2">
      <c r="B58" s="464"/>
      <c r="C58" s="579"/>
      <c r="D58" s="586"/>
      <c r="E58" s="587"/>
      <c r="F58" s="587"/>
      <c r="G58" s="587"/>
      <c r="H58" s="587"/>
      <c r="I58" s="587"/>
      <c r="J58" s="587"/>
      <c r="K58" s="587"/>
      <c r="L58" s="587"/>
      <c r="M58" s="587"/>
      <c r="N58" s="587"/>
      <c r="O58" s="587"/>
      <c r="P58" s="588"/>
      <c r="Q58" s="599"/>
      <c r="R58" s="583"/>
      <c r="S58" s="584"/>
      <c r="T58" s="584"/>
      <c r="U58" s="584"/>
      <c r="V58" s="584"/>
      <c r="W58" s="584"/>
      <c r="X58" s="584"/>
      <c r="Y58" s="584"/>
      <c r="Z58" s="584"/>
      <c r="AA58" s="584"/>
      <c r="AB58" s="584"/>
      <c r="AC58" s="584"/>
      <c r="AD58" s="585"/>
      <c r="AF58" s="556">
        <f t="shared" si="0"/>
        <v>0</v>
      </c>
      <c r="AG58" s="557">
        <f t="shared" si="1"/>
        <v>0</v>
      </c>
      <c r="AH58" s="557">
        <f t="shared" si="2"/>
        <v>0</v>
      </c>
      <c r="AI58" s="557">
        <f t="shared" si="3"/>
        <v>0</v>
      </c>
      <c r="AJ58" s="557">
        <f t="shared" si="4"/>
        <v>0</v>
      </c>
      <c r="AK58" s="557">
        <f t="shared" si="5"/>
        <v>0</v>
      </c>
      <c r="AL58" s="557">
        <f t="shared" si="6"/>
        <v>0</v>
      </c>
      <c r="AM58" s="557">
        <f t="shared" si="7"/>
        <v>0</v>
      </c>
      <c r="AN58" s="557">
        <f t="shared" si="8"/>
        <v>0</v>
      </c>
      <c r="AO58" s="557">
        <f t="shared" si="9"/>
        <v>0</v>
      </c>
      <c r="AP58" s="557">
        <f t="shared" si="10"/>
        <v>0</v>
      </c>
      <c r="AQ58" s="557">
        <f t="shared" si="11"/>
        <v>0</v>
      </c>
      <c r="AR58" s="557">
        <f t="shared" si="12"/>
        <v>0</v>
      </c>
      <c r="AS58" s="469">
        <f t="shared" si="13"/>
        <v>0</v>
      </c>
    </row>
    <row r="59" spans="2:45" s="458" customFormat="1" x14ac:dyDescent="0.2">
      <c r="B59" s="464"/>
      <c r="C59" s="579"/>
      <c r="D59" s="586"/>
      <c r="E59" s="587"/>
      <c r="F59" s="587"/>
      <c r="G59" s="587"/>
      <c r="H59" s="587"/>
      <c r="I59" s="587"/>
      <c r="J59" s="587"/>
      <c r="K59" s="587"/>
      <c r="L59" s="587"/>
      <c r="M59" s="587"/>
      <c r="N59" s="587"/>
      <c r="O59" s="587"/>
      <c r="P59" s="588"/>
      <c r="Q59" s="599"/>
      <c r="R59" s="583"/>
      <c r="S59" s="584"/>
      <c r="T59" s="584"/>
      <c r="U59" s="584"/>
      <c r="V59" s="584"/>
      <c r="W59" s="584"/>
      <c r="X59" s="584"/>
      <c r="Y59" s="584"/>
      <c r="Z59" s="584"/>
      <c r="AA59" s="584"/>
      <c r="AB59" s="584"/>
      <c r="AC59" s="584"/>
      <c r="AD59" s="585"/>
      <c r="AF59" s="556">
        <f t="shared" si="0"/>
        <v>0</v>
      </c>
      <c r="AG59" s="557">
        <f t="shared" si="1"/>
        <v>0</v>
      </c>
      <c r="AH59" s="557">
        <f t="shared" si="2"/>
        <v>0</v>
      </c>
      <c r="AI59" s="557">
        <f t="shared" si="3"/>
        <v>0</v>
      </c>
      <c r="AJ59" s="557">
        <f t="shared" si="4"/>
        <v>0</v>
      </c>
      <c r="AK59" s="557">
        <f t="shared" si="5"/>
        <v>0</v>
      </c>
      <c r="AL59" s="557">
        <f t="shared" si="6"/>
        <v>0</v>
      </c>
      <c r="AM59" s="557">
        <f t="shared" si="7"/>
        <v>0</v>
      </c>
      <c r="AN59" s="557">
        <f t="shared" si="8"/>
        <v>0</v>
      </c>
      <c r="AO59" s="557">
        <f t="shared" si="9"/>
        <v>0</v>
      </c>
      <c r="AP59" s="557">
        <f t="shared" si="10"/>
        <v>0</v>
      </c>
      <c r="AQ59" s="557">
        <f t="shared" si="11"/>
        <v>0</v>
      </c>
      <c r="AR59" s="557">
        <f t="shared" si="12"/>
        <v>0</v>
      </c>
      <c r="AS59" s="469">
        <f t="shared" si="13"/>
        <v>0</v>
      </c>
    </row>
    <row r="60" spans="2:45" s="458" customFormat="1" x14ac:dyDescent="0.2">
      <c r="B60" s="464"/>
      <c r="C60" s="579"/>
      <c r="D60" s="586"/>
      <c r="E60" s="587"/>
      <c r="F60" s="587"/>
      <c r="G60" s="587"/>
      <c r="H60" s="587"/>
      <c r="I60" s="587"/>
      <c r="J60" s="587"/>
      <c r="K60" s="587"/>
      <c r="L60" s="587"/>
      <c r="M60" s="587"/>
      <c r="N60" s="587"/>
      <c r="O60" s="587"/>
      <c r="P60" s="588"/>
      <c r="Q60" s="599"/>
      <c r="R60" s="583"/>
      <c r="S60" s="584"/>
      <c r="T60" s="584"/>
      <c r="U60" s="584"/>
      <c r="V60" s="584"/>
      <c r="W60" s="584"/>
      <c r="X60" s="584"/>
      <c r="Y60" s="584"/>
      <c r="Z60" s="584"/>
      <c r="AA60" s="584"/>
      <c r="AB60" s="584"/>
      <c r="AC60" s="584"/>
      <c r="AD60" s="585"/>
      <c r="AF60" s="556">
        <f t="shared" si="0"/>
        <v>0</v>
      </c>
      <c r="AG60" s="557">
        <f t="shared" si="1"/>
        <v>0</v>
      </c>
      <c r="AH60" s="557">
        <f t="shared" si="2"/>
        <v>0</v>
      </c>
      <c r="AI60" s="557">
        <f t="shared" si="3"/>
        <v>0</v>
      </c>
      <c r="AJ60" s="557">
        <f t="shared" si="4"/>
        <v>0</v>
      </c>
      <c r="AK60" s="557">
        <f t="shared" si="5"/>
        <v>0</v>
      </c>
      <c r="AL60" s="557">
        <f t="shared" si="6"/>
        <v>0</v>
      </c>
      <c r="AM60" s="557">
        <f t="shared" si="7"/>
        <v>0</v>
      </c>
      <c r="AN60" s="557">
        <f t="shared" si="8"/>
        <v>0</v>
      </c>
      <c r="AO60" s="557">
        <f t="shared" si="9"/>
        <v>0</v>
      </c>
      <c r="AP60" s="557">
        <f t="shared" si="10"/>
        <v>0</v>
      </c>
      <c r="AQ60" s="557">
        <f t="shared" si="11"/>
        <v>0</v>
      </c>
      <c r="AR60" s="557">
        <f t="shared" si="12"/>
        <v>0</v>
      </c>
      <c r="AS60" s="469">
        <f t="shared" si="13"/>
        <v>0</v>
      </c>
    </row>
    <row r="61" spans="2:45" s="458" customFormat="1" x14ac:dyDescent="0.2">
      <c r="B61" s="464"/>
      <c r="C61" s="579"/>
      <c r="D61" s="586"/>
      <c r="E61" s="587"/>
      <c r="F61" s="587"/>
      <c r="G61" s="587"/>
      <c r="H61" s="587"/>
      <c r="I61" s="587"/>
      <c r="J61" s="587"/>
      <c r="K61" s="587"/>
      <c r="L61" s="587"/>
      <c r="M61" s="587"/>
      <c r="N61" s="587"/>
      <c r="O61" s="587"/>
      <c r="P61" s="588"/>
      <c r="Q61" s="599"/>
      <c r="R61" s="583"/>
      <c r="S61" s="584"/>
      <c r="T61" s="584"/>
      <c r="U61" s="584"/>
      <c r="V61" s="584"/>
      <c r="W61" s="584"/>
      <c r="X61" s="584"/>
      <c r="Y61" s="584"/>
      <c r="Z61" s="584"/>
      <c r="AA61" s="584"/>
      <c r="AB61" s="584"/>
      <c r="AC61" s="584"/>
      <c r="AD61" s="585"/>
      <c r="AF61" s="556">
        <f t="shared" si="0"/>
        <v>0</v>
      </c>
      <c r="AG61" s="557">
        <f t="shared" si="1"/>
        <v>0</v>
      </c>
      <c r="AH61" s="557">
        <f t="shared" si="2"/>
        <v>0</v>
      </c>
      <c r="AI61" s="557">
        <f t="shared" si="3"/>
        <v>0</v>
      </c>
      <c r="AJ61" s="557">
        <f t="shared" si="4"/>
        <v>0</v>
      </c>
      <c r="AK61" s="557">
        <f t="shared" si="5"/>
        <v>0</v>
      </c>
      <c r="AL61" s="557">
        <f t="shared" si="6"/>
        <v>0</v>
      </c>
      <c r="AM61" s="557">
        <f t="shared" si="7"/>
        <v>0</v>
      </c>
      <c r="AN61" s="557">
        <f t="shared" si="8"/>
        <v>0</v>
      </c>
      <c r="AO61" s="557">
        <f t="shared" si="9"/>
        <v>0</v>
      </c>
      <c r="AP61" s="557">
        <f t="shared" si="10"/>
        <v>0</v>
      </c>
      <c r="AQ61" s="557">
        <f t="shared" si="11"/>
        <v>0</v>
      </c>
      <c r="AR61" s="557">
        <f t="shared" si="12"/>
        <v>0</v>
      </c>
      <c r="AS61" s="469">
        <f t="shared" si="13"/>
        <v>0</v>
      </c>
    </row>
    <row r="62" spans="2:45" s="458" customFormat="1" x14ac:dyDescent="0.2">
      <c r="B62" s="464"/>
      <c r="C62" s="579"/>
      <c r="D62" s="586"/>
      <c r="E62" s="587"/>
      <c r="F62" s="587"/>
      <c r="G62" s="587"/>
      <c r="H62" s="587"/>
      <c r="I62" s="587"/>
      <c r="J62" s="587"/>
      <c r="K62" s="587"/>
      <c r="L62" s="587"/>
      <c r="M62" s="587"/>
      <c r="N62" s="587"/>
      <c r="O62" s="587"/>
      <c r="P62" s="588"/>
      <c r="Q62" s="599"/>
      <c r="R62" s="583"/>
      <c r="S62" s="584"/>
      <c r="T62" s="584"/>
      <c r="U62" s="584"/>
      <c r="V62" s="584"/>
      <c r="W62" s="584"/>
      <c r="X62" s="584"/>
      <c r="Y62" s="584"/>
      <c r="Z62" s="584"/>
      <c r="AA62" s="584"/>
      <c r="AB62" s="584"/>
      <c r="AC62" s="584"/>
      <c r="AD62" s="585"/>
      <c r="AF62" s="556">
        <f t="shared" si="0"/>
        <v>0</v>
      </c>
      <c r="AG62" s="557">
        <f t="shared" si="1"/>
        <v>0</v>
      </c>
      <c r="AH62" s="557">
        <f t="shared" si="2"/>
        <v>0</v>
      </c>
      <c r="AI62" s="557">
        <f t="shared" si="3"/>
        <v>0</v>
      </c>
      <c r="AJ62" s="557">
        <f t="shared" si="4"/>
        <v>0</v>
      </c>
      <c r="AK62" s="557">
        <f t="shared" si="5"/>
        <v>0</v>
      </c>
      <c r="AL62" s="557">
        <f t="shared" si="6"/>
        <v>0</v>
      </c>
      <c r="AM62" s="557">
        <f t="shared" si="7"/>
        <v>0</v>
      </c>
      <c r="AN62" s="557">
        <f t="shared" si="8"/>
        <v>0</v>
      </c>
      <c r="AO62" s="557">
        <f t="shared" si="9"/>
        <v>0</v>
      </c>
      <c r="AP62" s="557">
        <f t="shared" si="10"/>
        <v>0</v>
      </c>
      <c r="AQ62" s="557">
        <f t="shared" si="11"/>
        <v>0</v>
      </c>
      <c r="AR62" s="557">
        <f t="shared" si="12"/>
        <v>0</v>
      </c>
      <c r="AS62" s="469">
        <f t="shared" si="13"/>
        <v>0</v>
      </c>
    </row>
    <row r="63" spans="2:45" s="458" customFormat="1" x14ac:dyDescent="0.2">
      <c r="B63" s="464"/>
      <c r="C63" s="579"/>
      <c r="D63" s="586"/>
      <c r="E63" s="587"/>
      <c r="F63" s="587"/>
      <c r="G63" s="587"/>
      <c r="H63" s="587"/>
      <c r="I63" s="587"/>
      <c r="J63" s="587"/>
      <c r="K63" s="587"/>
      <c r="L63" s="587"/>
      <c r="M63" s="587"/>
      <c r="N63" s="587"/>
      <c r="O63" s="587"/>
      <c r="P63" s="588"/>
      <c r="Q63" s="599"/>
      <c r="R63" s="583"/>
      <c r="S63" s="584"/>
      <c r="T63" s="584"/>
      <c r="U63" s="584"/>
      <c r="V63" s="584"/>
      <c r="W63" s="584"/>
      <c r="X63" s="584"/>
      <c r="Y63" s="584"/>
      <c r="Z63" s="584"/>
      <c r="AA63" s="584"/>
      <c r="AB63" s="584"/>
      <c r="AC63" s="584"/>
      <c r="AD63" s="585"/>
      <c r="AF63" s="556">
        <f t="shared" si="0"/>
        <v>0</v>
      </c>
      <c r="AG63" s="557">
        <f t="shared" si="1"/>
        <v>0</v>
      </c>
      <c r="AH63" s="557">
        <f t="shared" si="2"/>
        <v>0</v>
      </c>
      <c r="AI63" s="557">
        <f t="shared" si="3"/>
        <v>0</v>
      </c>
      <c r="AJ63" s="557">
        <f t="shared" si="4"/>
        <v>0</v>
      </c>
      <c r="AK63" s="557">
        <f t="shared" si="5"/>
        <v>0</v>
      </c>
      <c r="AL63" s="557">
        <f t="shared" si="6"/>
        <v>0</v>
      </c>
      <c r="AM63" s="557">
        <f t="shared" si="7"/>
        <v>0</v>
      </c>
      <c r="AN63" s="557">
        <f t="shared" si="8"/>
        <v>0</v>
      </c>
      <c r="AO63" s="557">
        <f t="shared" si="9"/>
        <v>0</v>
      </c>
      <c r="AP63" s="557">
        <f t="shared" si="10"/>
        <v>0</v>
      </c>
      <c r="AQ63" s="557">
        <f t="shared" si="11"/>
        <v>0</v>
      </c>
      <c r="AR63" s="557">
        <f t="shared" si="12"/>
        <v>0</v>
      </c>
      <c r="AS63" s="469">
        <f t="shared" si="13"/>
        <v>0</v>
      </c>
    </row>
    <row r="64" spans="2:45" s="458" customFormat="1" x14ac:dyDescent="0.2">
      <c r="B64" s="464"/>
      <c r="C64" s="579"/>
      <c r="D64" s="586"/>
      <c r="E64" s="587"/>
      <c r="F64" s="587"/>
      <c r="G64" s="587"/>
      <c r="H64" s="587"/>
      <c r="I64" s="587"/>
      <c r="J64" s="587"/>
      <c r="K64" s="587"/>
      <c r="L64" s="587"/>
      <c r="M64" s="587"/>
      <c r="N64" s="587"/>
      <c r="O64" s="587"/>
      <c r="P64" s="588"/>
      <c r="Q64" s="599"/>
      <c r="R64" s="583"/>
      <c r="S64" s="584"/>
      <c r="T64" s="584"/>
      <c r="U64" s="584"/>
      <c r="V64" s="584"/>
      <c r="W64" s="584"/>
      <c r="X64" s="584"/>
      <c r="Y64" s="584"/>
      <c r="Z64" s="584"/>
      <c r="AA64" s="584"/>
      <c r="AB64" s="584"/>
      <c r="AC64" s="584"/>
      <c r="AD64" s="585"/>
      <c r="AF64" s="556">
        <f t="shared" si="0"/>
        <v>0</v>
      </c>
      <c r="AG64" s="557">
        <f t="shared" si="1"/>
        <v>0</v>
      </c>
      <c r="AH64" s="557">
        <f t="shared" si="2"/>
        <v>0</v>
      </c>
      <c r="AI64" s="557">
        <f t="shared" si="3"/>
        <v>0</v>
      </c>
      <c r="AJ64" s="557">
        <f t="shared" si="4"/>
        <v>0</v>
      </c>
      <c r="AK64" s="557">
        <f t="shared" si="5"/>
        <v>0</v>
      </c>
      <c r="AL64" s="557">
        <f t="shared" si="6"/>
        <v>0</v>
      </c>
      <c r="AM64" s="557">
        <f t="shared" si="7"/>
        <v>0</v>
      </c>
      <c r="AN64" s="557">
        <f t="shared" si="8"/>
        <v>0</v>
      </c>
      <c r="AO64" s="557">
        <f t="shared" si="9"/>
        <v>0</v>
      </c>
      <c r="AP64" s="557">
        <f t="shared" si="10"/>
        <v>0</v>
      </c>
      <c r="AQ64" s="557">
        <f t="shared" si="11"/>
        <v>0</v>
      </c>
      <c r="AR64" s="557">
        <f t="shared" si="12"/>
        <v>0</v>
      </c>
      <c r="AS64" s="469">
        <f t="shared" si="13"/>
        <v>0</v>
      </c>
    </row>
    <row r="65" spans="2:45" s="458" customFormat="1" ht="13.5" thickBot="1" x14ac:dyDescent="0.25">
      <c r="B65" s="486"/>
      <c r="C65" s="589"/>
      <c r="D65" s="590"/>
      <c r="E65" s="591"/>
      <c r="F65" s="591"/>
      <c r="G65" s="591"/>
      <c r="H65" s="591"/>
      <c r="I65" s="591"/>
      <c r="J65" s="591"/>
      <c r="K65" s="591"/>
      <c r="L65" s="591"/>
      <c r="M65" s="591"/>
      <c r="N65" s="591"/>
      <c r="O65" s="591"/>
      <c r="P65" s="592"/>
      <c r="Q65" s="600"/>
      <c r="R65" s="593"/>
      <c r="S65" s="594"/>
      <c r="T65" s="594"/>
      <c r="U65" s="594"/>
      <c r="V65" s="594"/>
      <c r="W65" s="594"/>
      <c r="X65" s="594"/>
      <c r="Y65" s="594"/>
      <c r="Z65" s="594"/>
      <c r="AA65" s="594"/>
      <c r="AB65" s="594"/>
      <c r="AC65" s="594"/>
      <c r="AD65" s="595"/>
      <c r="AF65" s="565">
        <f t="shared" si="0"/>
        <v>0</v>
      </c>
      <c r="AG65" s="566">
        <f t="shared" si="1"/>
        <v>0</v>
      </c>
      <c r="AH65" s="566">
        <f t="shared" si="2"/>
        <v>0</v>
      </c>
      <c r="AI65" s="566">
        <f t="shared" si="3"/>
        <v>0</v>
      </c>
      <c r="AJ65" s="566">
        <f t="shared" si="4"/>
        <v>0</v>
      </c>
      <c r="AK65" s="566">
        <f t="shared" si="5"/>
        <v>0</v>
      </c>
      <c r="AL65" s="566">
        <f t="shared" si="6"/>
        <v>0</v>
      </c>
      <c r="AM65" s="566">
        <f t="shared" si="7"/>
        <v>0</v>
      </c>
      <c r="AN65" s="566">
        <f t="shared" si="8"/>
        <v>0</v>
      </c>
      <c r="AO65" s="566">
        <f t="shared" si="9"/>
        <v>0</v>
      </c>
      <c r="AP65" s="566">
        <f t="shared" si="10"/>
        <v>0</v>
      </c>
      <c r="AQ65" s="566">
        <f t="shared" si="11"/>
        <v>0</v>
      </c>
      <c r="AR65" s="566">
        <f t="shared" si="12"/>
        <v>0</v>
      </c>
      <c r="AS65" s="500">
        <f t="shared" si="13"/>
        <v>0</v>
      </c>
    </row>
    <row r="66" spans="2:45" ht="13.5" thickBot="1" x14ac:dyDescent="0.25">
      <c r="B66" s="260"/>
      <c r="C66" s="167"/>
      <c r="Q66" s="196"/>
      <c r="R66" s="261">
        <f t="shared" ref="R66:X66" si="14">SUM(R6:R65)</f>
        <v>251870585.43828374</v>
      </c>
      <c r="S66" s="261">
        <f t="shared" si="14"/>
        <v>1105073281.1039526</v>
      </c>
      <c r="T66" s="261">
        <f t="shared" si="14"/>
        <v>13590995.171930563</v>
      </c>
      <c r="U66" s="261">
        <f t="shared" si="14"/>
        <v>1070758535.8825854</v>
      </c>
      <c r="V66" s="261">
        <f t="shared" si="14"/>
        <v>1769485306.2105303</v>
      </c>
      <c r="W66" s="261">
        <f t="shared" si="14"/>
        <v>0</v>
      </c>
      <c r="X66" s="261">
        <f t="shared" si="14"/>
        <v>1535616518.1730585</v>
      </c>
      <c r="Y66" s="261">
        <f t="shared" ref="Y66:AD66" si="15">SUM(Y6:Y65)</f>
        <v>2366381227.3844643</v>
      </c>
      <c r="Z66" s="261">
        <f t="shared" si="15"/>
        <v>27719428.929923877</v>
      </c>
      <c r="AA66" s="261">
        <f t="shared" si="15"/>
        <v>434885104.18464965</v>
      </c>
      <c r="AB66" s="261">
        <f t="shared" si="15"/>
        <v>131258313.60085636</v>
      </c>
      <c r="AC66" s="261">
        <f t="shared" si="15"/>
        <v>27840603.376435239</v>
      </c>
      <c r="AD66" s="261">
        <f t="shared" si="15"/>
        <v>50131603.072093338</v>
      </c>
      <c r="AF66" s="261">
        <f t="shared" ref="AF66:AL66" si="16">SUM(AF6:AF65)</f>
        <v>0</v>
      </c>
      <c r="AG66" s="261">
        <f t="shared" si="16"/>
        <v>18478089.775811106</v>
      </c>
      <c r="AH66" s="261">
        <f t="shared" si="16"/>
        <v>338121.59897079173</v>
      </c>
      <c r="AI66" s="261">
        <f t="shared" si="16"/>
        <v>10687736.601188302</v>
      </c>
      <c r="AJ66" s="261">
        <f t="shared" si="16"/>
        <v>29563415.08038801</v>
      </c>
      <c r="AK66" s="261">
        <f t="shared" si="16"/>
        <v>0</v>
      </c>
      <c r="AL66" s="261">
        <f t="shared" si="16"/>
        <v>13259009.30320017</v>
      </c>
      <c r="AM66" s="261">
        <f t="shared" ref="AM66:AS66" si="17">SUM(AM6:AM65)</f>
        <v>0</v>
      </c>
      <c r="AN66" s="261">
        <f t="shared" si="17"/>
        <v>620716.92701720097</v>
      </c>
      <c r="AO66" s="261">
        <f t="shared" si="17"/>
        <v>17202043.129583489</v>
      </c>
      <c r="AP66" s="261">
        <f t="shared" si="17"/>
        <v>6660343.961038379</v>
      </c>
      <c r="AQ66" s="261">
        <f t="shared" si="17"/>
        <v>2388628.6224109256</v>
      </c>
      <c r="AR66" s="261">
        <f t="shared" si="17"/>
        <v>2867409.1769839949</v>
      </c>
      <c r="AS66" s="261">
        <f t="shared" si="17"/>
        <v>102065514.17659236</v>
      </c>
    </row>
    <row r="67" spans="2:45" ht="13.5" thickTop="1" x14ac:dyDescent="0.2">
      <c r="B67" s="260"/>
      <c r="C67" s="167"/>
      <c r="Q67" s="196"/>
    </row>
    <row r="68" spans="2:45" x14ac:dyDescent="0.2">
      <c r="B68" s="260"/>
      <c r="C68" s="167"/>
      <c r="AS68" s="263"/>
    </row>
    <row r="69" spans="2:45" x14ac:dyDescent="0.2">
      <c r="B69" s="260"/>
      <c r="C69" s="167"/>
      <c r="AS69" s="263"/>
    </row>
    <row r="70" spans="2:45" x14ac:dyDescent="0.2">
      <c r="B70" s="260"/>
      <c r="C70" s="167"/>
    </row>
    <row r="71" spans="2:45" x14ac:dyDescent="0.2">
      <c r="B71" s="260"/>
      <c r="C71" s="167"/>
    </row>
    <row r="72" spans="2:45" x14ac:dyDescent="0.2">
      <c r="B72" s="260"/>
      <c r="C72" s="167"/>
    </row>
    <row r="73" spans="2:45" x14ac:dyDescent="0.2">
      <c r="B73" s="260"/>
      <c r="C73" s="167"/>
    </row>
    <row r="74" spans="2:45" x14ac:dyDescent="0.2">
      <c r="B74" s="260"/>
      <c r="C74" s="167"/>
    </row>
    <row r="75" spans="2:45" x14ac:dyDescent="0.2">
      <c r="B75" s="260"/>
      <c r="C75" s="167"/>
    </row>
    <row r="76" spans="2:45" x14ac:dyDescent="0.2">
      <c r="B76" s="260"/>
      <c r="C76" s="167"/>
    </row>
    <row r="77" spans="2:45" x14ac:dyDescent="0.2">
      <c r="B77" s="260"/>
      <c r="C77" s="167"/>
    </row>
    <row r="78" spans="2:45" x14ac:dyDescent="0.2">
      <c r="B78" s="260"/>
      <c r="C78" s="167"/>
    </row>
    <row r="79" spans="2:45" x14ac:dyDescent="0.2">
      <c r="B79" s="260"/>
      <c r="C79" s="167"/>
    </row>
    <row r="80" spans="2:45" x14ac:dyDescent="0.2">
      <c r="B80" s="260"/>
      <c r="C80" s="167"/>
    </row>
    <row r="81" spans="2:3" x14ac:dyDescent="0.2">
      <c r="B81" s="260"/>
      <c r="C81" s="167"/>
    </row>
    <row r="82" spans="2:3" x14ac:dyDescent="0.2">
      <c r="B82" s="260"/>
      <c r="C82" s="167"/>
    </row>
    <row r="83" spans="2:3" x14ac:dyDescent="0.2">
      <c r="B83" s="260"/>
      <c r="C83" s="167"/>
    </row>
    <row r="84" spans="2:3" x14ac:dyDescent="0.2">
      <c r="B84" s="260"/>
      <c r="C84" s="167"/>
    </row>
    <row r="85" spans="2:3" x14ac:dyDescent="0.2">
      <c r="B85" s="260"/>
      <c r="C85" s="167"/>
    </row>
    <row r="86" spans="2:3" x14ac:dyDescent="0.2">
      <c r="B86" s="260"/>
      <c r="C86" s="167"/>
    </row>
    <row r="87" spans="2:3" x14ac:dyDescent="0.2">
      <c r="B87" s="260"/>
      <c r="C87" s="167"/>
    </row>
    <row r="88" spans="2:3" x14ac:dyDescent="0.2">
      <c r="B88" s="260"/>
      <c r="C88" s="167"/>
    </row>
    <row r="89" spans="2:3" x14ac:dyDescent="0.2">
      <c r="B89" s="260"/>
      <c r="C89" s="167"/>
    </row>
    <row r="90" spans="2:3" x14ac:dyDescent="0.2">
      <c r="B90" s="260"/>
      <c r="C90" s="167"/>
    </row>
    <row r="91" spans="2:3" x14ac:dyDescent="0.2">
      <c r="B91" s="260"/>
      <c r="C91" s="167"/>
    </row>
    <row r="92" spans="2:3" x14ac:dyDescent="0.2">
      <c r="B92" s="260"/>
      <c r="C92" s="167"/>
    </row>
    <row r="93" spans="2:3" x14ac:dyDescent="0.2">
      <c r="B93" s="260"/>
      <c r="C93" s="167"/>
    </row>
    <row r="94" spans="2:3" x14ac:dyDescent="0.2">
      <c r="B94" s="260"/>
      <c r="C94" s="167"/>
    </row>
    <row r="95" spans="2:3" x14ac:dyDescent="0.2">
      <c r="B95" s="260"/>
      <c r="C95" s="167"/>
    </row>
    <row r="96" spans="2:3" x14ac:dyDescent="0.2">
      <c r="B96" s="260"/>
      <c r="C96" s="167"/>
    </row>
    <row r="97" spans="2:3" x14ac:dyDescent="0.2">
      <c r="B97" s="260"/>
      <c r="C97" s="167"/>
    </row>
    <row r="98" spans="2:3" x14ac:dyDescent="0.2">
      <c r="B98" s="260"/>
      <c r="C98" s="167"/>
    </row>
    <row r="99" spans="2:3" x14ac:dyDescent="0.2">
      <c r="B99" s="260"/>
      <c r="C99" s="167"/>
    </row>
    <row r="100" spans="2:3" x14ac:dyDescent="0.2">
      <c r="B100" s="260"/>
      <c r="C100" s="167"/>
    </row>
    <row r="101" spans="2:3" x14ac:dyDescent="0.2">
      <c r="B101" s="260"/>
      <c r="C101" s="167"/>
    </row>
    <row r="102" spans="2:3" x14ac:dyDescent="0.2">
      <c r="B102" s="260"/>
      <c r="C102" s="167"/>
    </row>
    <row r="103" spans="2:3" x14ac:dyDescent="0.2">
      <c r="B103" s="260"/>
      <c r="C103" s="167"/>
    </row>
    <row r="104" spans="2:3" x14ac:dyDescent="0.2">
      <c r="B104" s="260"/>
      <c r="C104" s="167"/>
    </row>
    <row r="105" spans="2:3" x14ac:dyDescent="0.2">
      <c r="B105" s="260"/>
      <c r="C105" s="167"/>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31" max="1048575"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pageSetUpPr autoPageBreaks="0"/>
  </sheetPr>
  <dimension ref="B1:AV102"/>
  <sheetViews>
    <sheetView zoomScale="80" zoomScaleNormal="80" workbookViewId="0">
      <pane xSplit="3" ySplit="5" topLeftCell="D6" activePane="bottomRight" state="frozen"/>
      <selection activeCell="C18" sqref="C18"/>
      <selection pane="topRight" activeCell="C18" sqref="C18"/>
      <selection pane="bottomLeft" activeCell="C18" sqref="C18"/>
      <selection pane="bottomRight"/>
    </sheetView>
  </sheetViews>
  <sheetFormatPr defaultRowHeight="12.75" x14ac:dyDescent="0.2"/>
  <cols>
    <col min="1" max="1" width="1.85546875" style="210" customWidth="1"/>
    <col min="2" max="2" width="45" style="210" customWidth="1"/>
    <col min="3" max="3" width="2.85546875" style="210" customWidth="1"/>
    <col min="4" max="4" width="15.28515625" style="210" customWidth="1"/>
    <col min="5" max="5" width="14.7109375" style="210" customWidth="1"/>
    <col min="6" max="6" width="14.28515625" style="210" customWidth="1"/>
    <col min="7" max="7" width="15" style="210" customWidth="1"/>
    <col min="8" max="8" width="14.140625" style="210" customWidth="1"/>
    <col min="9" max="9" width="11.5703125" style="210" customWidth="1"/>
    <col min="10" max="10" width="13.85546875" style="210" customWidth="1"/>
    <col min="11" max="16" width="12.28515625" style="210" customWidth="1"/>
    <col min="17" max="17" width="4.28515625" style="210" customWidth="1"/>
    <col min="18" max="18" width="16.5703125" style="210" customWidth="1"/>
    <col min="19" max="19" width="19.5703125" style="210" customWidth="1"/>
    <col min="20" max="20" width="14.28515625" style="210" customWidth="1"/>
    <col min="21" max="21" width="17.28515625" style="210" customWidth="1"/>
    <col min="22" max="22" width="19" style="210" customWidth="1"/>
    <col min="23" max="23" width="17.140625" style="210" customWidth="1"/>
    <col min="24" max="24" width="18" style="210" customWidth="1"/>
    <col min="25" max="25" width="19.140625" style="210" customWidth="1"/>
    <col min="26" max="26" width="17.5703125" style="210" customWidth="1"/>
    <col min="27" max="27" width="18.7109375" style="210" bestFit="1" customWidth="1"/>
    <col min="28" max="28" width="18" style="210" customWidth="1"/>
    <col min="29" max="30" width="16.7109375" style="210" bestFit="1" customWidth="1"/>
    <col min="31" max="31" width="7.7109375" style="210" customWidth="1"/>
    <col min="32" max="33" width="16.7109375" style="210" bestFit="1" customWidth="1"/>
    <col min="34" max="34" width="12.85546875" style="210" customWidth="1"/>
    <col min="35" max="36" width="14.85546875" style="210" bestFit="1" customWidth="1"/>
    <col min="37" max="37" width="16.28515625" style="210" customWidth="1"/>
    <col min="38" max="38" width="15" style="210" customWidth="1"/>
    <col min="39" max="41" width="14.85546875" style="210" bestFit="1" customWidth="1"/>
    <col min="42" max="42" width="14" style="210" customWidth="1"/>
    <col min="43" max="43" width="15.85546875" style="210" customWidth="1"/>
    <col min="44" max="45" width="14.85546875" style="210" customWidth="1"/>
    <col min="46" max="46" width="9.140625" style="210"/>
    <col min="47" max="47" width="14.42578125" style="210" customWidth="1"/>
    <col min="48" max="48" width="12.7109375" style="210" customWidth="1"/>
    <col min="49" max="16384" width="9.140625" style="210"/>
  </cols>
  <sheetData>
    <row r="1" spans="2:48" ht="15" x14ac:dyDescent="0.25">
      <c r="B1" s="166" t="str">
        <f>"Tariff Approval - "&amp;'Model update'!C3</f>
        <v>Tariff Approval - United Energy</v>
      </c>
      <c r="C1" s="166"/>
    </row>
    <row r="2" spans="2:48" x14ac:dyDescent="0.2">
      <c r="G2" s="514"/>
    </row>
    <row r="3" spans="2:48" x14ac:dyDescent="0.2">
      <c r="B3" s="250" t="str">
        <f>"ESTIMATED "&amp;'Model update'!C8&amp;" TRANSMISSION TARIFF REVENUE"</f>
        <v>ESTIMATED 2018 TRANSMISSION TARIFF REVENUE</v>
      </c>
      <c r="C3" s="250"/>
    </row>
    <row r="4" spans="2:48" ht="13.5" thickBot="1" x14ac:dyDescent="0.25">
      <c r="D4" s="252" t="str">
        <f>"Current Transmission Tariffs (Pt-1) for "&amp;'Model update'!$C$8</f>
        <v>Current Transmission Tariffs (Pt-1) for 2018</v>
      </c>
      <c r="E4" s="253"/>
      <c r="F4" s="253"/>
      <c r="G4" s="196"/>
      <c r="H4" s="196"/>
      <c r="I4" s="196"/>
      <c r="J4" s="196"/>
      <c r="R4" s="254" t="str">
        <f>"Estimated Quantities (Qt-1) for "&amp;'Model update'!$C$8</f>
        <v>Estimated Quantities (Qt-1) for 2018</v>
      </c>
      <c r="S4" s="253"/>
      <c r="T4" s="196"/>
      <c r="U4" s="196"/>
      <c r="V4" s="196"/>
      <c r="AF4" s="254" t="str">
        <f>"Estimated Revenue (Pt-1 "&amp;'Model update'!$C$8&amp;")*(Qt-1 " &amp;'Model update'!$C$8&amp;")"</f>
        <v>Estimated Revenue (Pt-1 2018)*(Qt-1 2018)</v>
      </c>
      <c r="AG4" s="253"/>
      <c r="AH4" s="253"/>
      <c r="AI4" s="196"/>
    </row>
    <row r="5" spans="2:48" s="458" customFormat="1" ht="38.25" x14ac:dyDescent="0.2">
      <c r="B5" s="256" t="str">
        <f>"Tariffs "&amp;'Model update'!C8</f>
        <v>Tariffs 2018</v>
      </c>
      <c r="C5" s="568"/>
      <c r="D5" s="461" t="s">
        <v>435</v>
      </c>
      <c r="E5" s="462" t="s">
        <v>436</v>
      </c>
      <c r="F5" s="462" t="s">
        <v>437</v>
      </c>
      <c r="G5" s="462" t="s">
        <v>438</v>
      </c>
      <c r="H5" s="462" t="s">
        <v>439</v>
      </c>
      <c r="I5" s="462" t="s">
        <v>440</v>
      </c>
      <c r="J5" s="462" t="s">
        <v>441</v>
      </c>
      <c r="K5" s="462" t="s">
        <v>442</v>
      </c>
      <c r="L5" s="462" t="s">
        <v>443</v>
      </c>
      <c r="M5" s="462" t="s">
        <v>444</v>
      </c>
      <c r="N5" s="462" t="s">
        <v>445</v>
      </c>
      <c r="O5" s="462" t="s">
        <v>446</v>
      </c>
      <c r="P5" s="463" t="s">
        <v>447</v>
      </c>
      <c r="R5" s="461" t="s">
        <v>250</v>
      </c>
      <c r="S5" s="462" t="s">
        <v>251</v>
      </c>
      <c r="T5" s="462" t="s">
        <v>448</v>
      </c>
      <c r="U5" s="462" t="s">
        <v>449</v>
      </c>
      <c r="V5" s="462" t="s">
        <v>450</v>
      </c>
      <c r="W5" s="462" t="s">
        <v>252</v>
      </c>
      <c r="X5" s="462" t="s">
        <v>451</v>
      </c>
      <c r="Y5" s="462" t="s">
        <v>253</v>
      </c>
      <c r="Z5" s="462" t="s">
        <v>254</v>
      </c>
      <c r="AA5" s="462" t="s">
        <v>255</v>
      </c>
      <c r="AB5" s="462" t="s">
        <v>256</v>
      </c>
      <c r="AC5" s="462" t="s">
        <v>257</v>
      </c>
      <c r="AD5" s="463" t="s">
        <v>258</v>
      </c>
      <c r="AF5" s="461" t="s">
        <v>240</v>
      </c>
      <c r="AG5" s="462" t="s">
        <v>241</v>
      </c>
      <c r="AH5" s="462" t="s">
        <v>452</v>
      </c>
      <c r="AI5" s="462" t="s">
        <v>453</v>
      </c>
      <c r="AJ5" s="462" t="s">
        <v>454</v>
      </c>
      <c r="AK5" s="462" t="s">
        <v>242</v>
      </c>
      <c r="AL5" s="462" t="s">
        <v>455</v>
      </c>
      <c r="AM5" s="462" t="s">
        <v>243</v>
      </c>
      <c r="AN5" s="462" t="s">
        <v>244</v>
      </c>
      <c r="AO5" s="462" t="s">
        <v>245</v>
      </c>
      <c r="AP5" s="462" t="s">
        <v>246</v>
      </c>
      <c r="AQ5" s="462" t="s">
        <v>247</v>
      </c>
      <c r="AR5" s="462" t="s">
        <v>248</v>
      </c>
      <c r="AS5" s="463" t="s">
        <v>249</v>
      </c>
    </row>
    <row r="6" spans="2:48" s="458" customFormat="1" x14ac:dyDescent="0.2">
      <c r="B6" s="464" t="str">
        <f>Est2018DistRev!B6</f>
        <v>Low voltage small 1 rate</v>
      </c>
      <c r="C6" s="569"/>
      <c r="D6" s="612">
        <v>0</v>
      </c>
      <c r="E6" s="597">
        <v>1.7549999999999999</v>
      </c>
      <c r="F6" s="597">
        <v>0</v>
      </c>
      <c r="G6" s="597">
        <v>0</v>
      </c>
      <c r="H6" s="597">
        <v>1.4670000000000001</v>
      </c>
      <c r="I6" s="597">
        <v>0</v>
      </c>
      <c r="J6" s="597">
        <v>0</v>
      </c>
      <c r="K6" s="597">
        <v>0</v>
      </c>
      <c r="L6" s="597">
        <v>0</v>
      </c>
      <c r="M6" s="597">
        <v>0</v>
      </c>
      <c r="N6" s="597">
        <v>0</v>
      </c>
      <c r="O6" s="597">
        <v>0</v>
      </c>
      <c r="P6" s="636">
        <v>0</v>
      </c>
      <c r="R6" s="573">
        <f>Est2018DistRev!R6</f>
        <v>200952788.42021027</v>
      </c>
      <c r="S6" s="574">
        <f>Est2018DistRev!S6</f>
        <v>928008318.47282875</v>
      </c>
      <c r="T6" s="574">
        <f>Est2018DistRev!T6</f>
        <v>0</v>
      </c>
      <c r="U6" s="574">
        <f>Est2018DistRev!U6</f>
        <v>0</v>
      </c>
      <c r="V6" s="574">
        <f>Est2018DistRev!V6</f>
        <v>1503738154.9662266</v>
      </c>
      <c r="W6" s="574">
        <f>Est2018DistRev!W6</f>
        <v>0</v>
      </c>
      <c r="X6" s="574">
        <f>Est2018DistRev!X6</f>
        <v>0</v>
      </c>
      <c r="Y6" s="574">
        <f>Est2018DistRev!Y6</f>
        <v>0</v>
      </c>
      <c r="Z6" s="574">
        <f>Est2018DistRev!Z6</f>
        <v>0</v>
      </c>
      <c r="AA6" s="574">
        <f>Est2018DistRev!AA6</f>
        <v>0</v>
      </c>
      <c r="AB6" s="574">
        <f>Est2018DistRev!AB6</f>
        <v>0</v>
      </c>
      <c r="AC6" s="574">
        <f>Est2018DistRev!AC6</f>
        <v>0</v>
      </c>
      <c r="AD6" s="575">
        <f>Est2018DistRev!AD6</f>
        <v>0</v>
      </c>
      <c r="AF6" s="576">
        <f t="shared" ref="AF6:AF65" si="0">D6/100*R6</f>
        <v>0</v>
      </c>
      <c r="AG6" s="577">
        <f t="shared" ref="AG6:AG65" si="1">E6/100*S6</f>
        <v>16286545.989198145</v>
      </c>
      <c r="AH6" s="577">
        <f t="shared" ref="AH6:AH65" si="2">F6/100*T6</f>
        <v>0</v>
      </c>
      <c r="AI6" s="577">
        <f t="shared" ref="AI6:AI65" si="3">G6/100*U6</f>
        <v>0</v>
      </c>
      <c r="AJ6" s="577">
        <f t="shared" ref="AJ6:AJ65" si="4">H6/100*V6</f>
        <v>22059838.733354546</v>
      </c>
      <c r="AK6" s="577">
        <f t="shared" ref="AK6:AK65" si="5">I6/100*W6</f>
        <v>0</v>
      </c>
      <c r="AL6" s="577">
        <f t="shared" ref="AL6:AL65" si="6">J6/100*X6</f>
        <v>0</v>
      </c>
      <c r="AM6" s="577">
        <f t="shared" ref="AM6:AM65" si="7">K6/100*Y6</f>
        <v>0</v>
      </c>
      <c r="AN6" s="577">
        <f t="shared" ref="AN6:AN65" si="8">L6/100*Z6</f>
        <v>0</v>
      </c>
      <c r="AO6" s="577">
        <f t="shared" ref="AO6:AO65" si="9">M6/100*AA6</f>
        <v>0</v>
      </c>
      <c r="AP6" s="577">
        <f t="shared" ref="AP6:AP65" si="10">N6/100*AB6</f>
        <v>0</v>
      </c>
      <c r="AQ6" s="577">
        <f t="shared" ref="AQ6:AQ65" si="11">O6/100*AC6</f>
        <v>0</v>
      </c>
      <c r="AR6" s="577">
        <f t="shared" ref="AR6:AR65" si="12">P6/100*AD6</f>
        <v>0</v>
      </c>
      <c r="AS6" s="578">
        <f t="shared" ref="AS6:AS65" si="13">SUM(AF6:AR6)</f>
        <v>38346384.722552687</v>
      </c>
      <c r="AU6" s="614"/>
      <c r="AV6" s="614"/>
    </row>
    <row r="7" spans="2:48" s="458" customFormat="1" x14ac:dyDescent="0.2">
      <c r="B7" s="464" t="str">
        <f>Est2018DistRev!B7</f>
        <v>Winter economy tariff</v>
      </c>
      <c r="C7" s="579"/>
      <c r="D7" s="478">
        <v>0</v>
      </c>
      <c r="E7" s="473">
        <v>1.964</v>
      </c>
      <c r="F7" s="473">
        <v>0</v>
      </c>
      <c r="G7" s="473">
        <v>0</v>
      </c>
      <c r="H7" s="473">
        <v>1.571</v>
      </c>
      <c r="I7" s="473">
        <v>1.571</v>
      </c>
      <c r="J7" s="473">
        <v>0</v>
      </c>
      <c r="K7" s="473">
        <v>0</v>
      </c>
      <c r="L7" s="473">
        <v>0</v>
      </c>
      <c r="M7" s="473">
        <v>0</v>
      </c>
      <c r="N7" s="473">
        <v>0</v>
      </c>
      <c r="O7" s="473">
        <v>0</v>
      </c>
      <c r="P7" s="596">
        <v>0</v>
      </c>
      <c r="R7" s="583">
        <f>Est2018DistRev!R7</f>
        <v>45377.16506450923</v>
      </c>
      <c r="S7" s="584">
        <f>Est2018DistRev!S7</f>
        <v>302993.89143638534</v>
      </c>
      <c r="T7" s="584">
        <f>Est2018DistRev!T7</f>
        <v>0</v>
      </c>
      <c r="U7" s="584">
        <f>Est2018DistRev!U7</f>
        <v>0</v>
      </c>
      <c r="V7" s="584">
        <f>Est2018DistRev!V7</f>
        <v>578609.48262818658</v>
      </c>
      <c r="W7" s="584">
        <f>Est2018DistRev!W7</f>
        <v>0</v>
      </c>
      <c r="X7" s="584">
        <f>Est2018DistRev!X7</f>
        <v>0</v>
      </c>
      <c r="Y7" s="584">
        <f>Est2018DistRev!Y7</f>
        <v>0</v>
      </c>
      <c r="Z7" s="584">
        <f>Est2018DistRev!Z7</f>
        <v>0</v>
      </c>
      <c r="AA7" s="584">
        <f>Est2018DistRev!AA7</f>
        <v>0</v>
      </c>
      <c r="AB7" s="584">
        <f>Est2018DistRev!AB7</f>
        <v>0</v>
      </c>
      <c r="AC7" s="584">
        <f>Est2018DistRev!AC7</f>
        <v>0</v>
      </c>
      <c r="AD7" s="585">
        <f>Est2018DistRev!AD7</f>
        <v>0</v>
      </c>
      <c r="AF7" s="556">
        <f t="shared" si="0"/>
        <v>0</v>
      </c>
      <c r="AG7" s="557">
        <f t="shared" si="1"/>
        <v>5950.8000278106083</v>
      </c>
      <c r="AH7" s="557">
        <f t="shared" si="2"/>
        <v>0</v>
      </c>
      <c r="AI7" s="557">
        <f t="shared" si="3"/>
        <v>0</v>
      </c>
      <c r="AJ7" s="557">
        <f t="shared" si="4"/>
        <v>9089.9549720888099</v>
      </c>
      <c r="AK7" s="557">
        <f t="shared" si="5"/>
        <v>0</v>
      </c>
      <c r="AL7" s="557">
        <f t="shared" si="6"/>
        <v>0</v>
      </c>
      <c r="AM7" s="557">
        <f t="shared" si="7"/>
        <v>0</v>
      </c>
      <c r="AN7" s="557">
        <f t="shared" si="8"/>
        <v>0</v>
      </c>
      <c r="AO7" s="557">
        <f t="shared" si="9"/>
        <v>0</v>
      </c>
      <c r="AP7" s="557">
        <f t="shared" si="10"/>
        <v>0</v>
      </c>
      <c r="AQ7" s="557">
        <f t="shared" si="11"/>
        <v>0</v>
      </c>
      <c r="AR7" s="557">
        <f t="shared" si="12"/>
        <v>0</v>
      </c>
      <c r="AS7" s="469">
        <f t="shared" si="13"/>
        <v>15040.754999899418</v>
      </c>
      <c r="AU7" s="614"/>
      <c r="AV7" s="614"/>
    </row>
    <row r="8" spans="2:48" s="458" customFormat="1" x14ac:dyDescent="0.2">
      <c r="B8" s="464" t="str">
        <f>Est2018DistRev!B8</f>
        <v>Reverse cycle airconditioning time of use</v>
      </c>
      <c r="C8" s="579"/>
      <c r="D8" s="478">
        <v>0</v>
      </c>
      <c r="E8" s="473">
        <v>0</v>
      </c>
      <c r="F8" s="473">
        <v>0</v>
      </c>
      <c r="G8" s="473">
        <v>0</v>
      </c>
      <c r="H8" s="473">
        <v>0</v>
      </c>
      <c r="I8" s="473">
        <v>0</v>
      </c>
      <c r="J8" s="473">
        <v>0</v>
      </c>
      <c r="K8" s="473">
        <v>0</v>
      </c>
      <c r="L8" s="473">
        <v>0</v>
      </c>
      <c r="M8" s="473">
        <v>0</v>
      </c>
      <c r="N8" s="473">
        <v>0</v>
      </c>
      <c r="O8" s="473">
        <v>0</v>
      </c>
      <c r="P8" s="596">
        <v>0</v>
      </c>
      <c r="R8" s="583">
        <f>Est2018DistRev!R8</f>
        <v>0</v>
      </c>
      <c r="S8" s="584">
        <f>Est2018DistRev!S8</f>
        <v>0</v>
      </c>
      <c r="T8" s="584">
        <f>Est2018DistRev!T8</f>
        <v>0</v>
      </c>
      <c r="U8" s="584">
        <f>Est2018DistRev!U8</f>
        <v>0</v>
      </c>
      <c r="V8" s="584">
        <f>Est2018DistRev!V8</f>
        <v>0</v>
      </c>
      <c r="W8" s="584">
        <f>Est2018DistRev!W8</f>
        <v>0</v>
      </c>
      <c r="X8" s="584">
        <f>Est2018DistRev!X8</f>
        <v>0</v>
      </c>
      <c r="Y8" s="584">
        <f>Est2018DistRev!Y8</f>
        <v>0</v>
      </c>
      <c r="Z8" s="584">
        <f>Est2018DistRev!Z8</f>
        <v>0</v>
      </c>
      <c r="AA8" s="584">
        <f>Est2018DistRev!AA8</f>
        <v>0</v>
      </c>
      <c r="AB8" s="584">
        <f>Est2018DistRev!AB8</f>
        <v>0</v>
      </c>
      <c r="AC8" s="584">
        <f>Est2018DistRev!AC8</f>
        <v>0</v>
      </c>
      <c r="AD8" s="585">
        <f>Est2018DistRev!AD8</f>
        <v>0</v>
      </c>
      <c r="AF8" s="556">
        <f t="shared" si="0"/>
        <v>0</v>
      </c>
      <c r="AG8" s="557">
        <f t="shared" si="1"/>
        <v>0</v>
      </c>
      <c r="AH8" s="557">
        <f t="shared" si="2"/>
        <v>0</v>
      </c>
      <c r="AI8" s="557">
        <f t="shared" si="3"/>
        <v>0</v>
      </c>
      <c r="AJ8" s="557">
        <f t="shared" si="4"/>
        <v>0</v>
      </c>
      <c r="AK8" s="557">
        <f t="shared" si="5"/>
        <v>0</v>
      </c>
      <c r="AL8" s="557">
        <f t="shared" si="6"/>
        <v>0</v>
      </c>
      <c r="AM8" s="557">
        <f t="shared" si="7"/>
        <v>0</v>
      </c>
      <c r="AN8" s="557">
        <f t="shared" si="8"/>
        <v>0</v>
      </c>
      <c r="AO8" s="557">
        <f t="shared" si="9"/>
        <v>0</v>
      </c>
      <c r="AP8" s="557">
        <f t="shared" si="10"/>
        <v>0</v>
      </c>
      <c r="AQ8" s="557">
        <f t="shared" si="11"/>
        <v>0</v>
      </c>
      <c r="AR8" s="557">
        <f t="shared" si="12"/>
        <v>0</v>
      </c>
      <c r="AS8" s="469">
        <f t="shared" si="13"/>
        <v>0</v>
      </c>
      <c r="AU8" s="614"/>
      <c r="AV8" s="614"/>
    </row>
    <row r="9" spans="2:48" s="458" customFormat="1" x14ac:dyDescent="0.2">
      <c r="B9" s="464" t="str">
        <f>Est2018DistRev!B9</f>
        <v>Low voltage small 2 rate</v>
      </c>
      <c r="C9" s="579"/>
      <c r="D9" s="478">
        <v>0</v>
      </c>
      <c r="E9" s="473">
        <v>0</v>
      </c>
      <c r="F9" s="473">
        <v>0</v>
      </c>
      <c r="G9" s="473">
        <v>2.9470000000000001</v>
      </c>
      <c r="H9" s="473">
        <v>0</v>
      </c>
      <c r="I9" s="473">
        <v>0</v>
      </c>
      <c r="J9" s="473">
        <v>2.359</v>
      </c>
      <c r="K9" s="473">
        <v>0</v>
      </c>
      <c r="L9" s="473">
        <v>0</v>
      </c>
      <c r="M9" s="473">
        <v>0</v>
      </c>
      <c r="N9" s="473">
        <v>0</v>
      </c>
      <c r="O9" s="473">
        <v>0</v>
      </c>
      <c r="P9" s="596">
        <v>0</v>
      </c>
      <c r="R9" s="583">
        <f>Est2018DistRev!R9</f>
        <v>1512412.6828954241</v>
      </c>
      <c r="S9" s="584">
        <f>Est2018DistRev!S9</f>
        <v>0</v>
      </c>
      <c r="T9" s="584">
        <f>Est2018DistRev!T9</f>
        <v>0</v>
      </c>
      <c r="U9" s="584">
        <f>Est2018DistRev!U9</f>
        <v>4357801.8995413752</v>
      </c>
      <c r="V9" s="584">
        <f>Est2018DistRev!V9</f>
        <v>0</v>
      </c>
      <c r="W9" s="584">
        <f>Est2018DistRev!W9</f>
        <v>0</v>
      </c>
      <c r="X9" s="584">
        <f>Est2018DistRev!X9</f>
        <v>6953080.2419008315</v>
      </c>
      <c r="Y9" s="584">
        <f>Est2018DistRev!Y9</f>
        <v>14873749.96422084</v>
      </c>
      <c r="Z9" s="584">
        <f>Est2018DistRev!Z9</f>
        <v>0</v>
      </c>
      <c r="AA9" s="584">
        <f>Est2018DistRev!AA9</f>
        <v>0</v>
      </c>
      <c r="AB9" s="584">
        <f>Est2018DistRev!AB9</f>
        <v>0</v>
      </c>
      <c r="AC9" s="584">
        <f>Est2018DistRev!AC9</f>
        <v>0</v>
      </c>
      <c r="AD9" s="585">
        <f>Est2018DistRev!AD9</f>
        <v>0</v>
      </c>
      <c r="AF9" s="556">
        <f t="shared" si="0"/>
        <v>0</v>
      </c>
      <c r="AG9" s="557">
        <f t="shared" si="1"/>
        <v>0</v>
      </c>
      <c r="AH9" s="557">
        <f t="shared" si="2"/>
        <v>0</v>
      </c>
      <c r="AI9" s="557">
        <f t="shared" si="3"/>
        <v>128424.42197948432</v>
      </c>
      <c r="AJ9" s="557">
        <f t="shared" si="4"/>
        <v>0</v>
      </c>
      <c r="AK9" s="557">
        <f t="shared" si="5"/>
        <v>0</v>
      </c>
      <c r="AL9" s="557">
        <f t="shared" si="6"/>
        <v>164023.16290644062</v>
      </c>
      <c r="AM9" s="557">
        <f t="shared" si="7"/>
        <v>0</v>
      </c>
      <c r="AN9" s="557">
        <f t="shared" si="8"/>
        <v>0</v>
      </c>
      <c r="AO9" s="557">
        <f t="shared" si="9"/>
        <v>0</v>
      </c>
      <c r="AP9" s="557">
        <f t="shared" si="10"/>
        <v>0</v>
      </c>
      <c r="AQ9" s="557">
        <f t="shared" si="11"/>
        <v>0</v>
      </c>
      <c r="AR9" s="557">
        <f t="shared" si="12"/>
        <v>0</v>
      </c>
      <c r="AS9" s="469">
        <f t="shared" si="13"/>
        <v>292447.58488592494</v>
      </c>
      <c r="AU9" s="614"/>
      <c r="AV9" s="614"/>
    </row>
    <row r="10" spans="2:48" s="458" customFormat="1" x14ac:dyDescent="0.2">
      <c r="B10" s="464" t="str">
        <f>Est2018DistRev!B10</f>
        <v>Dedicated circuit</v>
      </c>
      <c r="C10" s="579"/>
      <c r="D10" s="478">
        <v>0</v>
      </c>
      <c r="E10" s="473">
        <v>0</v>
      </c>
      <c r="F10" s="473">
        <v>0</v>
      </c>
      <c r="G10" s="473">
        <v>0</v>
      </c>
      <c r="H10" s="473">
        <v>0</v>
      </c>
      <c r="I10" s="473">
        <v>0</v>
      </c>
      <c r="J10" s="473">
        <v>0</v>
      </c>
      <c r="K10" s="473">
        <v>0</v>
      </c>
      <c r="L10" s="473">
        <v>0</v>
      </c>
      <c r="M10" s="473">
        <v>0</v>
      </c>
      <c r="N10" s="473">
        <v>0</v>
      </c>
      <c r="O10" s="473">
        <v>0</v>
      </c>
      <c r="P10" s="596">
        <v>0</v>
      </c>
      <c r="R10" s="583">
        <f>Est2018DistRev!R10</f>
        <v>1960437.019180858</v>
      </c>
      <c r="S10" s="584">
        <f>Est2018DistRev!S10</f>
        <v>0</v>
      </c>
      <c r="T10" s="584">
        <f>Est2018DistRev!T10</f>
        <v>0</v>
      </c>
      <c r="U10" s="584">
        <f>Est2018DistRev!U10</f>
        <v>0</v>
      </c>
      <c r="V10" s="584">
        <f>Est2018DistRev!V10</f>
        <v>0</v>
      </c>
      <c r="W10" s="584">
        <f>Est2018DistRev!W10</f>
        <v>0</v>
      </c>
      <c r="X10" s="584">
        <f>Est2018DistRev!X10</f>
        <v>0</v>
      </c>
      <c r="Y10" s="584">
        <f>Est2018DistRev!Y10</f>
        <v>89664408.336873919</v>
      </c>
      <c r="Z10" s="584">
        <f>Est2018DistRev!Z10</f>
        <v>0</v>
      </c>
      <c r="AA10" s="584">
        <f>Est2018DistRev!AA10</f>
        <v>0</v>
      </c>
      <c r="AB10" s="584">
        <f>Est2018DistRev!AB10</f>
        <v>0</v>
      </c>
      <c r="AC10" s="584">
        <f>Est2018DistRev!AC10</f>
        <v>0</v>
      </c>
      <c r="AD10" s="585">
        <f>Est2018DistRev!AD10</f>
        <v>0</v>
      </c>
      <c r="AF10" s="556">
        <f t="shared" si="0"/>
        <v>0</v>
      </c>
      <c r="AG10" s="557">
        <f t="shared" si="1"/>
        <v>0</v>
      </c>
      <c r="AH10" s="557">
        <f t="shared" si="2"/>
        <v>0</v>
      </c>
      <c r="AI10" s="557">
        <f t="shared" si="3"/>
        <v>0</v>
      </c>
      <c r="AJ10" s="557">
        <f t="shared" si="4"/>
        <v>0</v>
      </c>
      <c r="AK10" s="557">
        <f t="shared" si="5"/>
        <v>0</v>
      </c>
      <c r="AL10" s="557">
        <f t="shared" si="6"/>
        <v>0</v>
      </c>
      <c r="AM10" s="557">
        <f t="shared" si="7"/>
        <v>0</v>
      </c>
      <c r="AN10" s="557">
        <f t="shared" si="8"/>
        <v>0</v>
      </c>
      <c r="AO10" s="557">
        <f t="shared" si="9"/>
        <v>0</v>
      </c>
      <c r="AP10" s="557">
        <f t="shared" si="10"/>
        <v>0</v>
      </c>
      <c r="AQ10" s="557">
        <f t="shared" si="11"/>
        <v>0</v>
      </c>
      <c r="AR10" s="557">
        <f t="shared" si="12"/>
        <v>0</v>
      </c>
      <c r="AS10" s="469">
        <f t="shared" si="13"/>
        <v>0</v>
      </c>
      <c r="AU10" s="614"/>
      <c r="AV10" s="614"/>
    </row>
    <row r="11" spans="2:48" s="458" customFormat="1" x14ac:dyDescent="0.2">
      <c r="B11" s="464" t="str">
        <f>Est2018DistRev!B11</f>
        <v>Low voltage medium 1 rate</v>
      </c>
      <c r="C11" s="579"/>
      <c r="D11" s="478">
        <v>0</v>
      </c>
      <c r="E11" s="473">
        <v>2.0619999999999998</v>
      </c>
      <c r="F11" s="473">
        <v>0</v>
      </c>
      <c r="G11" s="473">
        <v>0</v>
      </c>
      <c r="H11" s="473">
        <v>1.647</v>
      </c>
      <c r="I11" s="473">
        <v>0</v>
      </c>
      <c r="J11" s="473">
        <v>0</v>
      </c>
      <c r="K11" s="473">
        <v>0</v>
      </c>
      <c r="L11" s="473">
        <v>0</v>
      </c>
      <c r="M11" s="473">
        <v>0</v>
      </c>
      <c r="N11" s="473">
        <v>0</v>
      </c>
      <c r="O11" s="473">
        <v>0</v>
      </c>
      <c r="P11" s="596">
        <v>0</v>
      </c>
      <c r="R11" s="583">
        <f>Est2018DistRev!R11</f>
        <v>12103894.642855167</v>
      </c>
      <c r="S11" s="584">
        <f>Est2018DistRev!S11</f>
        <v>163534676.50539243</v>
      </c>
      <c r="T11" s="584">
        <f>Est2018DistRev!T11</f>
        <v>0</v>
      </c>
      <c r="U11" s="584">
        <f>Est2018DistRev!U11</f>
        <v>0</v>
      </c>
      <c r="V11" s="584">
        <f>Est2018DistRev!V11</f>
        <v>244508549.48999846</v>
      </c>
      <c r="W11" s="584">
        <f>Est2018DistRev!W11</f>
        <v>0</v>
      </c>
      <c r="X11" s="584">
        <f>Est2018DistRev!X11</f>
        <v>0</v>
      </c>
      <c r="Y11" s="584">
        <f>Est2018DistRev!Y11</f>
        <v>0</v>
      </c>
      <c r="Z11" s="584">
        <f>Est2018DistRev!Z11</f>
        <v>0</v>
      </c>
      <c r="AA11" s="584">
        <f>Est2018DistRev!AA11</f>
        <v>0</v>
      </c>
      <c r="AB11" s="584">
        <f>Est2018DistRev!AB11</f>
        <v>0</v>
      </c>
      <c r="AC11" s="584">
        <f>Est2018DistRev!AC11</f>
        <v>0</v>
      </c>
      <c r="AD11" s="585">
        <f>Est2018DistRev!AD11</f>
        <v>0</v>
      </c>
      <c r="AF11" s="556">
        <f t="shared" si="0"/>
        <v>0</v>
      </c>
      <c r="AG11" s="557">
        <f t="shared" si="1"/>
        <v>3372085.0295411916</v>
      </c>
      <c r="AH11" s="557">
        <f t="shared" si="2"/>
        <v>0</v>
      </c>
      <c r="AI11" s="557">
        <f t="shared" si="3"/>
        <v>0</v>
      </c>
      <c r="AJ11" s="557">
        <f t="shared" si="4"/>
        <v>4027055.8101002742</v>
      </c>
      <c r="AK11" s="557">
        <f t="shared" si="5"/>
        <v>0</v>
      </c>
      <c r="AL11" s="557">
        <f t="shared" si="6"/>
        <v>0</v>
      </c>
      <c r="AM11" s="557">
        <f t="shared" si="7"/>
        <v>0</v>
      </c>
      <c r="AN11" s="557">
        <f t="shared" si="8"/>
        <v>0</v>
      </c>
      <c r="AO11" s="557">
        <f t="shared" si="9"/>
        <v>0</v>
      </c>
      <c r="AP11" s="557">
        <f t="shared" si="10"/>
        <v>0</v>
      </c>
      <c r="AQ11" s="557">
        <f t="shared" si="11"/>
        <v>0</v>
      </c>
      <c r="AR11" s="557">
        <f t="shared" si="12"/>
        <v>0</v>
      </c>
      <c r="AS11" s="469">
        <f t="shared" si="13"/>
        <v>7399140.8396414658</v>
      </c>
      <c r="AU11" s="614"/>
      <c r="AV11" s="614"/>
    </row>
    <row r="12" spans="2:48" s="458" customFormat="1" x14ac:dyDescent="0.2">
      <c r="B12" s="464" t="str">
        <f>Est2018DistRev!B12</f>
        <v>Low voltage medium 2 rate 5 day</v>
      </c>
      <c r="C12" s="579"/>
      <c r="D12" s="478">
        <v>0</v>
      </c>
      <c r="E12" s="473">
        <v>0</v>
      </c>
      <c r="F12" s="473">
        <v>0</v>
      </c>
      <c r="G12" s="473">
        <v>1.786</v>
      </c>
      <c r="H12" s="473">
        <v>0</v>
      </c>
      <c r="I12" s="473">
        <v>0</v>
      </c>
      <c r="J12" s="473">
        <v>1.4279999999999999</v>
      </c>
      <c r="K12" s="473">
        <v>0</v>
      </c>
      <c r="L12" s="473">
        <v>0</v>
      </c>
      <c r="M12" s="473">
        <v>0</v>
      </c>
      <c r="N12" s="473">
        <v>0</v>
      </c>
      <c r="O12" s="473">
        <v>0</v>
      </c>
      <c r="P12" s="596">
        <v>0</v>
      </c>
      <c r="R12" s="583">
        <f>Est2018DistRev!R12</f>
        <v>3269874.0172774848</v>
      </c>
      <c r="S12" s="584">
        <f>Est2018DistRev!S12</f>
        <v>0</v>
      </c>
      <c r="T12" s="584">
        <f>Est2018DistRev!T12</f>
        <v>0</v>
      </c>
      <c r="U12" s="584">
        <f>Est2018DistRev!U12</f>
        <v>48815797.803827435</v>
      </c>
      <c r="V12" s="584">
        <f>Est2018DistRev!V12</f>
        <v>0</v>
      </c>
      <c r="W12" s="584">
        <f>Est2018DistRev!W12</f>
        <v>0</v>
      </c>
      <c r="X12" s="584">
        <f>Est2018DistRev!X12</f>
        <v>76642995.376129091</v>
      </c>
      <c r="Y12" s="584">
        <f>Est2018DistRev!Y12</f>
        <v>73750815.478119001</v>
      </c>
      <c r="Z12" s="584">
        <f>Est2018DistRev!Z12</f>
        <v>0</v>
      </c>
      <c r="AA12" s="584">
        <f>Est2018DistRev!AA12</f>
        <v>0</v>
      </c>
      <c r="AB12" s="584">
        <f>Est2018DistRev!AB12</f>
        <v>0</v>
      </c>
      <c r="AC12" s="584">
        <f>Est2018DistRev!AC12</f>
        <v>0</v>
      </c>
      <c r="AD12" s="585">
        <f>Est2018DistRev!AD12</f>
        <v>0</v>
      </c>
      <c r="AF12" s="556">
        <f t="shared" si="0"/>
        <v>0</v>
      </c>
      <c r="AG12" s="557">
        <f t="shared" si="1"/>
        <v>0</v>
      </c>
      <c r="AH12" s="557">
        <f t="shared" si="2"/>
        <v>0</v>
      </c>
      <c r="AI12" s="557">
        <f t="shared" si="3"/>
        <v>871850.14877635799</v>
      </c>
      <c r="AJ12" s="557">
        <f t="shared" si="4"/>
        <v>0</v>
      </c>
      <c r="AK12" s="557">
        <f t="shared" si="5"/>
        <v>0</v>
      </c>
      <c r="AL12" s="557">
        <f t="shared" si="6"/>
        <v>1094461.9739711233</v>
      </c>
      <c r="AM12" s="557">
        <f t="shared" si="7"/>
        <v>0</v>
      </c>
      <c r="AN12" s="557">
        <f t="shared" si="8"/>
        <v>0</v>
      </c>
      <c r="AO12" s="557">
        <f t="shared" si="9"/>
        <v>0</v>
      </c>
      <c r="AP12" s="557">
        <f t="shared" si="10"/>
        <v>0</v>
      </c>
      <c r="AQ12" s="557">
        <f t="shared" si="11"/>
        <v>0</v>
      </c>
      <c r="AR12" s="557">
        <f t="shared" si="12"/>
        <v>0</v>
      </c>
      <c r="AS12" s="469">
        <f t="shared" si="13"/>
        <v>1966312.1227474813</v>
      </c>
      <c r="AU12" s="614"/>
      <c r="AV12" s="614"/>
    </row>
    <row r="13" spans="2:48" s="458" customFormat="1" x14ac:dyDescent="0.2">
      <c r="B13" s="464" t="str">
        <f>Est2018DistRev!B13</f>
        <v>Low voltage medium 2 rate 7 day</v>
      </c>
      <c r="C13" s="579"/>
      <c r="D13" s="478">
        <v>0</v>
      </c>
      <c r="E13" s="473">
        <v>0</v>
      </c>
      <c r="F13" s="473">
        <v>0</v>
      </c>
      <c r="G13" s="473">
        <v>2.1259999999999999</v>
      </c>
      <c r="H13" s="473">
        <v>0</v>
      </c>
      <c r="I13" s="473">
        <v>0</v>
      </c>
      <c r="J13" s="473">
        <v>1.702</v>
      </c>
      <c r="K13" s="473">
        <v>0</v>
      </c>
      <c r="L13" s="473">
        <v>0</v>
      </c>
      <c r="M13" s="473">
        <v>0</v>
      </c>
      <c r="N13" s="473">
        <v>0</v>
      </c>
      <c r="O13" s="473">
        <v>0</v>
      </c>
      <c r="P13" s="596">
        <v>0</v>
      </c>
      <c r="R13" s="583">
        <f>Est2018DistRev!R13</f>
        <v>1655208.3921497124</v>
      </c>
      <c r="S13" s="584">
        <f>Est2018DistRev!S13</f>
        <v>0</v>
      </c>
      <c r="T13" s="584">
        <f>Est2018DistRev!T13</f>
        <v>0</v>
      </c>
      <c r="U13" s="584">
        <f>Est2018DistRev!U13</f>
        <v>21784409.061092354</v>
      </c>
      <c r="V13" s="584">
        <f>Est2018DistRev!V13</f>
        <v>0</v>
      </c>
      <c r="W13" s="584">
        <f>Est2018DistRev!W13</f>
        <v>0</v>
      </c>
      <c r="X13" s="584">
        <f>Est2018DistRev!X13</f>
        <v>35541857.096002646</v>
      </c>
      <c r="Y13" s="584">
        <f>Est2018DistRev!Y13</f>
        <v>15171726.589555863</v>
      </c>
      <c r="Z13" s="584">
        <f>Est2018DistRev!Z13</f>
        <v>0</v>
      </c>
      <c r="AA13" s="584">
        <f>Est2018DistRev!AA13</f>
        <v>0</v>
      </c>
      <c r="AB13" s="584">
        <f>Est2018DistRev!AB13</f>
        <v>0</v>
      </c>
      <c r="AC13" s="584">
        <f>Est2018DistRev!AC13</f>
        <v>0</v>
      </c>
      <c r="AD13" s="585">
        <f>Est2018DistRev!AD13</f>
        <v>0</v>
      </c>
      <c r="AF13" s="556">
        <f t="shared" si="0"/>
        <v>0</v>
      </c>
      <c r="AG13" s="557">
        <f t="shared" si="1"/>
        <v>0</v>
      </c>
      <c r="AH13" s="557">
        <f t="shared" si="2"/>
        <v>0</v>
      </c>
      <c r="AI13" s="557">
        <f t="shared" si="3"/>
        <v>463136.5366388234</v>
      </c>
      <c r="AJ13" s="557">
        <f t="shared" si="4"/>
        <v>0</v>
      </c>
      <c r="AK13" s="557">
        <f t="shared" si="5"/>
        <v>0</v>
      </c>
      <c r="AL13" s="557">
        <f t="shared" si="6"/>
        <v>604922.40777396504</v>
      </c>
      <c r="AM13" s="557">
        <f t="shared" si="7"/>
        <v>0</v>
      </c>
      <c r="AN13" s="557">
        <f t="shared" si="8"/>
        <v>0</v>
      </c>
      <c r="AO13" s="557">
        <f t="shared" si="9"/>
        <v>0</v>
      </c>
      <c r="AP13" s="557">
        <f t="shared" si="10"/>
        <v>0</v>
      </c>
      <c r="AQ13" s="557">
        <f t="shared" si="11"/>
        <v>0</v>
      </c>
      <c r="AR13" s="557">
        <f t="shared" si="12"/>
        <v>0</v>
      </c>
      <c r="AS13" s="469">
        <f t="shared" si="13"/>
        <v>1068058.9444127884</v>
      </c>
      <c r="AU13" s="614"/>
      <c r="AV13" s="614"/>
    </row>
    <row r="14" spans="2:48" s="458" customFormat="1" x14ac:dyDescent="0.2">
      <c r="B14" s="464" t="str">
        <f>Est2018DistRev!B14</f>
        <v>Unmetered supplies</v>
      </c>
      <c r="C14" s="579"/>
      <c r="D14" s="478">
        <v>0</v>
      </c>
      <c r="E14" s="473">
        <v>0</v>
      </c>
      <c r="F14" s="473">
        <v>0</v>
      </c>
      <c r="G14" s="473">
        <v>2.7610000000000001</v>
      </c>
      <c r="H14" s="473">
        <v>0</v>
      </c>
      <c r="I14" s="473">
        <v>0</v>
      </c>
      <c r="J14" s="473">
        <v>2.2069999999999999</v>
      </c>
      <c r="K14" s="473">
        <v>0</v>
      </c>
      <c r="L14" s="473">
        <v>0</v>
      </c>
      <c r="M14" s="473">
        <v>0</v>
      </c>
      <c r="N14" s="473">
        <v>0</v>
      </c>
      <c r="O14" s="473">
        <v>0</v>
      </c>
      <c r="P14" s="596">
        <v>0</v>
      </c>
      <c r="R14" s="583">
        <f>Est2018DistRev!R14</f>
        <v>1969509.4767538456</v>
      </c>
      <c r="S14" s="584">
        <f>Est2018DistRev!S14</f>
        <v>0</v>
      </c>
      <c r="T14" s="584">
        <f>Est2018DistRev!T14</f>
        <v>0</v>
      </c>
      <c r="U14" s="584">
        <f>Est2018DistRev!U14</f>
        <v>13849579.425705153</v>
      </c>
      <c r="V14" s="584">
        <f>Est2018DistRev!V14</f>
        <v>0</v>
      </c>
      <c r="W14" s="584">
        <f>Est2018DistRev!W14</f>
        <v>0</v>
      </c>
      <c r="X14" s="584">
        <f>Est2018DistRev!X14</f>
        <v>26202949.438063513</v>
      </c>
      <c r="Y14" s="584">
        <f>Est2018DistRev!Y14</f>
        <v>60264599.840833753</v>
      </c>
      <c r="Z14" s="584">
        <f>Est2018DistRev!Z14</f>
        <v>0</v>
      </c>
      <c r="AA14" s="584">
        <f>Est2018DistRev!AA14</f>
        <v>0</v>
      </c>
      <c r="AB14" s="584">
        <f>Est2018DistRev!AB14</f>
        <v>0</v>
      </c>
      <c r="AC14" s="584">
        <f>Est2018DistRev!AC14</f>
        <v>0</v>
      </c>
      <c r="AD14" s="585">
        <f>Est2018DistRev!AD14</f>
        <v>0</v>
      </c>
      <c r="AF14" s="556">
        <f t="shared" si="0"/>
        <v>0</v>
      </c>
      <c r="AG14" s="557">
        <f t="shared" si="1"/>
        <v>0</v>
      </c>
      <c r="AH14" s="557">
        <f t="shared" si="2"/>
        <v>0</v>
      </c>
      <c r="AI14" s="557">
        <f t="shared" si="3"/>
        <v>382386.88794371934</v>
      </c>
      <c r="AJ14" s="557">
        <f t="shared" si="4"/>
        <v>0</v>
      </c>
      <c r="AK14" s="557">
        <f t="shared" si="5"/>
        <v>0</v>
      </c>
      <c r="AL14" s="557">
        <f t="shared" si="6"/>
        <v>578299.09409806167</v>
      </c>
      <c r="AM14" s="557">
        <f t="shared" si="7"/>
        <v>0</v>
      </c>
      <c r="AN14" s="557">
        <f t="shared" si="8"/>
        <v>0</v>
      </c>
      <c r="AO14" s="557">
        <f t="shared" si="9"/>
        <v>0</v>
      </c>
      <c r="AP14" s="557">
        <f t="shared" si="10"/>
        <v>0</v>
      </c>
      <c r="AQ14" s="557">
        <f t="shared" si="11"/>
        <v>0</v>
      </c>
      <c r="AR14" s="557">
        <f t="shared" si="12"/>
        <v>0</v>
      </c>
      <c r="AS14" s="469">
        <f t="shared" si="13"/>
        <v>960685.98204178107</v>
      </c>
      <c r="AU14" s="614"/>
      <c r="AV14" s="614"/>
    </row>
    <row r="15" spans="2:48" s="458" customFormat="1" x14ac:dyDescent="0.2">
      <c r="B15" s="464" t="str">
        <f>Est2018DistRev!B15</f>
        <v>Low voltage large 1 rate</v>
      </c>
      <c r="C15" s="579"/>
      <c r="D15" s="478">
        <v>0</v>
      </c>
      <c r="E15" s="473">
        <v>2.056</v>
      </c>
      <c r="F15" s="473">
        <v>0</v>
      </c>
      <c r="G15" s="473">
        <v>0</v>
      </c>
      <c r="H15" s="473">
        <v>1.643</v>
      </c>
      <c r="I15" s="473">
        <v>0</v>
      </c>
      <c r="J15" s="473">
        <v>0</v>
      </c>
      <c r="K15" s="473">
        <v>0</v>
      </c>
      <c r="L15" s="473">
        <v>0</v>
      </c>
      <c r="M15" s="473">
        <v>0</v>
      </c>
      <c r="N15" s="473">
        <v>0</v>
      </c>
      <c r="O15" s="473">
        <v>0</v>
      </c>
      <c r="P15" s="596">
        <v>0</v>
      </c>
      <c r="R15" s="583">
        <f>Est2018DistRev!R15</f>
        <v>2284.06611547582</v>
      </c>
      <c r="S15" s="584">
        <f>Est2018DistRev!S15</f>
        <v>593575.62292224064</v>
      </c>
      <c r="T15" s="584">
        <f>Est2018DistRev!T15</f>
        <v>0</v>
      </c>
      <c r="U15" s="584">
        <f>Est2018DistRev!U15</f>
        <v>0</v>
      </c>
      <c r="V15" s="584">
        <f>Est2018DistRev!V15</f>
        <v>787538.80436954857</v>
      </c>
      <c r="W15" s="584">
        <f>Est2018DistRev!W15</f>
        <v>0</v>
      </c>
      <c r="X15" s="584">
        <f>Est2018DistRev!X15</f>
        <v>0</v>
      </c>
      <c r="Y15" s="584">
        <f>Est2018DistRev!Y15</f>
        <v>0</v>
      </c>
      <c r="Z15" s="584">
        <f>Est2018DistRev!Z15</f>
        <v>0</v>
      </c>
      <c r="AA15" s="584">
        <f>Est2018DistRev!AA15</f>
        <v>0</v>
      </c>
      <c r="AB15" s="584">
        <f>Est2018DistRev!AB15</f>
        <v>0</v>
      </c>
      <c r="AC15" s="584">
        <f>Est2018DistRev!AC15</f>
        <v>0</v>
      </c>
      <c r="AD15" s="585">
        <f>Est2018DistRev!AD15</f>
        <v>0</v>
      </c>
      <c r="AF15" s="556">
        <f t="shared" si="0"/>
        <v>0</v>
      </c>
      <c r="AG15" s="557">
        <f t="shared" si="1"/>
        <v>12203.91480728127</v>
      </c>
      <c r="AH15" s="557">
        <f t="shared" si="2"/>
        <v>0</v>
      </c>
      <c r="AI15" s="557">
        <f t="shared" si="3"/>
        <v>0</v>
      </c>
      <c r="AJ15" s="557">
        <f t="shared" si="4"/>
        <v>12939.262555791684</v>
      </c>
      <c r="AK15" s="557">
        <f t="shared" si="5"/>
        <v>0</v>
      </c>
      <c r="AL15" s="557">
        <f t="shared" si="6"/>
        <v>0</v>
      </c>
      <c r="AM15" s="557">
        <f t="shared" si="7"/>
        <v>0</v>
      </c>
      <c r="AN15" s="557">
        <f t="shared" si="8"/>
        <v>0</v>
      </c>
      <c r="AO15" s="557">
        <f t="shared" si="9"/>
        <v>0</v>
      </c>
      <c r="AP15" s="557">
        <f t="shared" si="10"/>
        <v>0</v>
      </c>
      <c r="AQ15" s="557">
        <f t="shared" si="11"/>
        <v>0</v>
      </c>
      <c r="AR15" s="557">
        <f t="shared" si="12"/>
        <v>0</v>
      </c>
      <c r="AS15" s="469">
        <f t="shared" si="13"/>
        <v>25143.177363072951</v>
      </c>
      <c r="AU15" s="614"/>
      <c r="AV15" s="614"/>
    </row>
    <row r="16" spans="2:48" s="458" customFormat="1" x14ac:dyDescent="0.2">
      <c r="B16" s="464" t="str">
        <f>Est2018DistRev!B16</f>
        <v>Low voltage large 2 rate</v>
      </c>
      <c r="C16" s="579"/>
      <c r="D16" s="478">
        <v>0</v>
      </c>
      <c r="E16" s="473">
        <v>0</v>
      </c>
      <c r="F16" s="473">
        <v>0</v>
      </c>
      <c r="G16" s="473">
        <v>1.58</v>
      </c>
      <c r="H16" s="473">
        <v>0</v>
      </c>
      <c r="I16" s="473">
        <v>0</v>
      </c>
      <c r="J16" s="473">
        <v>1.266</v>
      </c>
      <c r="K16" s="473">
        <v>0</v>
      </c>
      <c r="L16" s="473">
        <v>0</v>
      </c>
      <c r="M16" s="473">
        <v>0</v>
      </c>
      <c r="N16" s="473">
        <v>0</v>
      </c>
      <c r="O16" s="473">
        <v>0</v>
      </c>
      <c r="P16" s="596">
        <v>0</v>
      </c>
      <c r="R16" s="583">
        <f>Est2018DistRev!R16</f>
        <v>6546.679367207641</v>
      </c>
      <c r="S16" s="584">
        <f>Est2018DistRev!S16</f>
        <v>0</v>
      </c>
      <c r="T16" s="584">
        <f>Est2018DistRev!T16</f>
        <v>0</v>
      </c>
      <c r="U16" s="584">
        <f>Est2018DistRev!U16</f>
        <v>849445.1711176812</v>
      </c>
      <c r="V16" s="584">
        <f>Est2018DistRev!V16</f>
        <v>0</v>
      </c>
      <c r="W16" s="584">
        <f>Est2018DistRev!W16</f>
        <v>0</v>
      </c>
      <c r="X16" s="584">
        <f>Est2018DistRev!X16</f>
        <v>1153521.6860541257</v>
      </c>
      <c r="Y16" s="584">
        <f>Est2018DistRev!Y16</f>
        <v>1508497.2585641092</v>
      </c>
      <c r="Z16" s="584">
        <f>Est2018DistRev!Z16</f>
        <v>0</v>
      </c>
      <c r="AA16" s="584">
        <f>Est2018DistRev!AA16</f>
        <v>0</v>
      </c>
      <c r="AB16" s="584">
        <f>Est2018DistRev!AB16</f>
        <v>0</v>
      </c>
      <c r="AC16" s="584">
        <f>Est2018DistRev!AC16</f>
        <v>0</v>
      </c>
      <c r="AD16" s="585">
        <f>Est2018DistRev!AD16</f>
        <v>0</v>
      </c>
      <c r="AF16" s="556">
        <f t="shared" si="0"/>
        <v>0</v>
      </c>
      <c r="AG16" s="557">
        <f t="shared" si="1"/>
        <v>0</v>
      </c>
      <c r="AH16" s="557">
        <f t="shared" si="2"/>
        <v>0</v>
      </c>
      <c r="AI16" s="557">
        <f t="shared" si="3"/>
        <v>13421.233703659364</v>
      </c>
      <c r="AJ16" s="557">
        <f t="shared" si="4"/>
        <v>0</v>
      </c>
      <c r="AK16" s="557">
        <f t="shared" si="5"/>
        <v>0</v>
      </c>
      <c r="AL16" s="557">
        <f t="shared" si="6"/>
        <v>14603.58454544523</v>
      </c>
      <c r="AM16" s="557">
        <f t="shared" si="7"/>
        <v>0</v>
      </c>
      <c r="AN16" s="557">
        <f t="shared" si="8"/>
        <v>0</v>
      </c>
      <c r="AO16" s="557">
        <f t="shared" si="9"/>
        <v>0</v>
      </c>
      <c r="AP16" s="557">
        <f t="shared" si="10"/>
        <v>0</v>
      </c>
      <c r="AQ16" s="557">
        <f t="shared" si="11"/>
        <v>0</v>
      </c>
      <c r="AR16" s="557">
        <f t="shared" si="12"/>
        <v>0</v>
      </c>
      <c r="AS16" s="469">
        <f t="shared" si="13"/>
        <v>28024.818249104595</v>
      </c>
      <c r="AU16" s="614"/>
      <c r="AV16" s="614"/>
    </row>
    <row r="17" spans="2:48" s="458" customFormat="1" x14ac:dyDescent="0.2">
      <c r="B17" s="464" t="str">
        <f>Est2018DistRev!B17</f>
        <v>Low voltage KW time of use</v>
      </c>
      <c r="C17" s="579"/>
      <c r="D17" s="478">
        <v>0</v>
      </c>
      <c r="E17" s="473">
        <v>0</v>
      </c>
      <c r="F17" s="473">
        <v>0</v>
      </c>
      <c r="G17" s="473">
        <v>1.6539999999999999</v>
      </c>
      <c r="H17" s="473">
        <v>0</v>
      </c>
      <c r="I17" s="473">
        <v>0</v>
      </c>
      <c r="J17" s="473">
        <v>1.323</v>
      </c>
      <c r="K17" s="473">
        <v>0</v>
      </c>
      <c r="L17" s="473">
        <v>0</v>
      </c>
      <c r="M17" s="473">
        <v>0</v>
      </c>
      <c r="N17" s="473">
        <v>7.7149999999999999</v>
      </c>
      <c r="O17" s="473">
        <v>0</v>
      </c>
      <c r="P17" s="596">
        <v>0</v>
      </c>
      <c r="R17" s="583">
        <f>Est2018DistRev!R17</f>
        <v>48172.706514614823</v>
      </c>
      <c r="S17" s="584">
        <f>Est2018DistRev!S17</f>
        <v>0</v>
      </c>
      <c r="T17" s="584">
        <f>Est2018DistRev!T17</f>
        <v>0</v>
      </c>
      <c r="U17" s="584">
        <f>Est2018DistRev!U17</f>
        <v>3089851.3218058241</v>
      </c>
      <c r="V17" s="584">
        <f>Est2018DistRev!V17</f>
        <v>0</v>
      </c>
      <c r="W17" s="584">
        <f>Est2018DistRev!W17</f>
        <v>0</v>
      </c>
      <c r="X17" s="584">
        <f>Est2018DistRev!X17</f>
        <v>4905638.0836019199</v>
      </c>
      <c r="Y17" s="584">
        <f>Est2018DistRev!Y17</f>
        <v>7484286.2595233629</v>
      </c>
      <c r="Z17" s="584">
        <f>Est2018DistRev!Z17</f>
        <v>0</v>
      </c>
      <c r="AA17" s="584">
        <f>Est2018DistRev!AA17</f>
        <v>0</v>
      </c>
      <c r="AB17" s="584">
        <f>Est2018DistRev!AB17</f>
        <v>593374.18803061428</v>
      </c>
      <c r="AC17" s="584">
        <f>Est2018DistRev!AC17</f>
        <v>0</v>
      </c>
      <c r="AD17" s="585">
        <f>Est2018DistRev!AD17</f>
        <v>0</v>
      </c>
      <c r="AF17" s="556">
        <f t="shared" si="0"/>
        <v>0</v>
      </c>
      <c r="AG17" s="557">
        <f t="shared" si="1"/>
        <v>0</v>
      </c>
      <c r="AH17" s="557">
        <f t="shared" si="2"/>
        <v>0</v>
      </c>
      <c r="AI17" s="557">
        <f t="shared" si="3"/>
        <v>51106.140862668326</v>
      </c>
      <c r="AJ17" s="557">
        <f t="shared" si="4"/>
        <v>0</v>
      </c>
      <c r="AK17" s="557">
        <f t="shared" si="5"/>
        <v>0</v>
      </c>
      <c r="AL17" s="557">
        <f t="shared" si="6"/>
        <v>64901.591846053394</v>
      </c>
      <c r="AM17" s="557">
        <f t="shared" si="7"/>
        <v>0</v>
      </c>
      <c r="AN17" s="557">
        <f t="shared" si="8"/>
        <v>0</v>
      </c>
      <c r="AO17" s="557">
        <f t="shared" si="9"/>
        <v>0</v>
      </c>
      <c r="AP17" s="557">
        <f t="shared" si="10"/>
        <v>45778.818606561887</v>
      </c>
      <c r="AQ17" s="557">
        <f t="shared" si="11"/>
        <v>0</v>
      </c>
      <c r="AR17" s="557">
        <f t="shared" si="12"/>
        <v>0</v>
      </c>
      <c r="AS17" s="469">
        <f t="shared" si="13"/>
        <v>161786.55131528361</v>
      </c>
      <c r="AU17" s="614"/>
      <c r="AV17" s="614"/>
    </row>
    <row r="18" spans="2:48" s="458" customFormat="1" x14ac:dyDescent="0.2">
      <c r="B18" s="464" t="str">
        <f>Est2018DistRev!B18</f>
        <v>Low voltage KW time of use - HOT</v>
      </c>
      <c r="C18" s="579"/>
      <c r="D18" s="478">
        <v>0</v>
      </c>
      <c r="E18" s="473">
        <v>0</v>
      </c>
      <c r="F18" s="473">
        <v>0</v>
      </c>
      <c r="G18" s="473">
        <v>0.90500000000000003</v>
      </c>
      <c r="H18" s="473">
        <v>0</v>
      </c>
      <c r="I18" s="473">
        <v>0</v>
      </c>
      <c r="J18" s="473">
        <v>0.72299999999999998</v>
      </c>
      <c r="K18" s="473">
        <v>0</v>
      </c>
      <c r="L18" s="473">
        <v>0</v>
      </c>
      <c r="M18" s="473">
        <v>0</v>
      </c>
      <c r="N18" s="473">
        <v>8.1080000000000005</v>
      </c>
      <c r="O18" s="473">
        <v>0</v>
      </c>
      <c r="P18" s="596">
        <v>0</v>
      </c>
      <c r="R18" s="583">
        <f>Est2018DistRev!R18</f>
        <v>3377.2963478435508</v>
      </c>
      <c r="S18" s="584">
        <f>Est2018DistRev!S18</f>
        <v>0</v>
      </c>
      <c r="T18" s="584">
        <f>Est2018DistRev!T18</f>
        <v>0</v>
      </c>
      <c r="U18" s="584">
        <f>Est2018DistRev!U18</f>
        <v>108342.11368740152</v>
      </c>
      <c r="V18" s="584">
        <f>Est2018DistRev!V18</f>
        <v>0</v>
      </c>
      <c r="W18" s="584">
        <f>Est2018DistRev!W18</f>
        <v>0</v>
      </c>
      <c r="X18" s="584">
        <f>Est2018DistRev!X18</f>
        <v>359846.06235580798</v>
      </c>
      <c r="Y18" s="584">
        <f>Est2018DistRev!Y18</f>
        <v>701806.42737128097</v>
      </c>
      <c r="Z18" s="584">
        <f>Est2018DistRev!Z18</f>
        <v>0</v>
      </c>
      <c r="AA18" s="584">
        <f>Est2018DistRev!AA18</f>
        <v>0</v>
      </c>
      <c r="AB18" s="584">
        <f>Est2018DistRev!AB18</f>
        <v>83234.846769077732</v>
      </c>
      <c r="AC18" s="584">
        <f>Est2018DistRev!AC18</f>
        <v>0</v>
      </c>
      <c r="AD18" s="585">
        <f>Est2018DistRev!AD18</f>
        <v>0</v>
      </c>
      <c r="AF18" s="556">
        <f t="shared" si="0"/>
        <v>0</v>
      </c>
      <c r="AG18" s="557">
        <f t="shared" si="1"/>
        <v>0</v>
      </c>
      <c r="AH18" s="557">
        <f t="shared" si="2"/>
        <v>0</v>
      </c>
      <c r="AI18" s="557">
        <f t="shared" si="3"/>
        <v>980.49612887098385</v>
      </c>
      <c r="AJ18" s="557">
        <f t="shared" si="4"/>
        <v>0</v>
      </c>
      <c r="AK18" s="557">
        <f t="shared" si="5"/>
        <v>0</v>
      </c>
      <c r="AL18" s="557">
        <f t="shared" si="6"/>
        <v>2601.6870308324915</v>
      </c>
      <c r="AM18" s="557">
        <f t="shared" si="7"/>
        <v>0</v>
      </c>
      <c r="AN18" s="557">
        <f t="shared" si="8"/>
        <v>0</v>
      </c>
      <c r="AO18" s="557">
        <f t="shared" si="9"/>
        <v>0</v>
      </c>
      <c r="AP18" s="557">
        <f t="shared" si="10"/>
        <v>6748.6813760368223</v>
      </c>
      <c r="AQ18" s="557">
        <f t="shared" si="11"/>
        <v>0</v>
      </c>
      <c r="AR18" s="557">
        <f t="shared" si="12"/>
        <v>0</v>
      </c>
      <c r="AS18" s="469">
        <f t="shared" si="13"/>
        <v>10330.864535740297</v>
      </c>
      <c r="AU18" s="614"/>
      <c r="AV18" s="614"/>
    </row>
    <row r="19" spans="2:48" s="458" customFormat="1" x14ac:dyDescent="0.2">
      <c r="B19" s="464" t="str">
        <f>Est2018DistRev!B19</f>
        <v>Low voltage large KVA time of use</v>
      </c>
      <c r="C19" s="579"/>
      <c r="D19" s="478">
        <v>0</v>
      </c>
      <c r="E19" s="473">
        <v>0</v>
      </c>
      <c r="F19" s="473">
        <v>0</v>
      </c>
      <c r="G19" s="473">
        <v>0.90200000000000002</v>
      </c>
      <c r="H19" s="473">
        <v>0</v>
      </c>
      <c r="I19" s="473">
        <v>0</v>
      </c>
      <c r="J19" s="473">
        <v>0.72299999999999998</v>
      </c>
      <c r="K19" s="473">
        <v>0</v>
      </c>
      <c r="L19" s="473">
        <v>0</v>
      </c>
      <c r="M19" s="473">
        <v>3.6789999999999998</v>
      </c>
      <c r="N19" s="473">
        <v>5.0289999999999999</v>
      </c>
      <c r="O19" s="473">
        <v>0</v>
      </c>
      <c r="P19" s="596">
        <v>0</v>
      </c>
      <c r="R19" s="583">
        <f>Est2018DistRev!R19</f>
        <v>764344.95686236827</v>
      </c>
      <c r="S19" s="584">
        <f>Est2018DistRev!S19</f>
        <v>0</v>
      </c>
      <c r="T19" s="584">
        <f>Est2018DistRev!T19</f>
        <v>0</v>
      </c>
      <c r="U19" s="584">
        <f>Est2018DistRev!U19</f>
        <v>460132576.88722563</v>
      </c>
      <c r="V19" s="584">
        <f>Est2018DistRev!V19</f>
        <v>0</v>
      </c>
      <c r="W19" s="584">
        <f>Est2018DistRev!W19</f>
        <v>0</v>
      </c>
      <c r="X19" s="584">
        <f>Est2018DistRev!X19</f>
        <v>673775020.51341701</v>
      </c>
      <c r="Y19" s="584">
        <f>Est2018DistRev!Y19</f>
        <v>1285828208.3606589</v>
      </c>
      <c r="Z19" s="584">
        <f>Est2018DistRev!Z19</f>
        <v>0</v>
      </c>
      <c r="AA19" s="584">
        <f>Est2018DistRev!AA19</f>
        <v>322292593.38509929</v>
      </c>
      <c r="AB19" s="584">
        <f>Est2018DistRev!AB19</f>
        <v>94706335.244417608</v>
      </c>
      <c r="AC19" s="584">
        <f>Est2018DistRev!AC19</f>
        <v>0</v>
      </c>
      <c r="AD19" s="585">
        <f>Est2018DistRev!AD19</f>
        <v>0</v>
      </c>
      <c r="AF19" s="556">
        <f t="shared" si="0"/>
        <v>0</v>
      </c>
      <c r="AG19" s="557">
        <f t="shared" si="1"/>
        <v>0</v>
      </c>
      <c r="AH19" s="557">
        <f t="shared" si="2"/>
        <v>0</v>
      </c>
      <c r="AI19" s="557">
        <f t="shared" si="3"/>
        <v>4150395.8435227755</v>
      </c>
      <c r="AJ19" s="557">
        <f t="shared" si="4"/>
        <v>0</v>
      </c>
      <c r="AK19" s="557">
        <f t="shared" si="5"/>
        <v>0</v>
      </c>
      <c r="AL19" s="557">
        <f t="shared" si="6"/>
        <v>4871393.3983120043</v>
      </c>
      <c r="AM19" s="557">
        <f t="shared" si="7"/>
        <v>0</v>
      </c>
      <c r="AN19" s="557">
        <f t="shared" si="8"/>
        <v>0</v>
      </c>
      <c r="AO19" s="557">
        <f t="shared" si="9"/>
        <v>11857144.510637801</v>
      </c>
      <c r="AP19" s="557">
        <f t="shared" si="10"/>
        <v>4762781.5994417621</v>
      </c>
      <c r="AQ19" s="557">
        <f t="shared" si="11"/>
        <v>0</v>
      </c>
      <c r="AR19" s="557">
        <f t="shared" si="12"/>
        <v>0</v>
      </c>
      <c r="AS19" s="469">
        <f t="shared" si="13"/>
        <v>25641715.351914342</v>
      </c>
      <c r="AU19" s="614"/>
      <c r="AV19" s="614"/>
    </row>
    <row r="20" spans="2:48" s="458" customFormat="1" x14ac:dyDescent="0.2">
      <c r="B20" s="464" t="str">
        <f>Est2018DistRev!B20</f>
        <v>Low voltage large KVA time of use - HOT</v>
      </c>
      <c r="C20" s="579"/>
      <c r="D20" s="478">
        <v>0</v>
      </c>
      <c r="E20" s="473">
        <v>0</v>
      </c>
      <c r="F20" s="473">
        <v>0</v>
      </c>
      <c r="G20" s="473">
        <v>0</v>
      </c>
      <c r="H20" s="473">
        <v>0</v>
      </c>
      <c r="I20" s="473">
        <v>0</v>
      </c>
      <c r="J20" s="473">
        <v>0</v>
      </c>
      <c r="K20" s="473">
        <v>0</v>
      </c>
      <c r="L20" s="473">
        <v>0</v>
      </c>
      <c r="M20" s="473">
        <v>0</v>
      </c>
      <c r="N20" s="473">
        <v>0</v>
      </c>
      <c r="O20" s="473">
        <v>0</v>
      </c>
      <c r="P20" s="596">
        <v>0</v>
      </c>
      <c r="R20" s="583">
        <f>Est2018DistRev!R20</f>
        <v>0</v>
      </c>
      <c r="S20" s="584">
        <f>Est2018DistRev!S20</f>
        <v>0</v>
      </c>
      <c r="T20" s="584">
        <f>Est2018DistRev!T20</f>
        <v>0</v>
      </c>
      <c r="U20" s="584">
        <f>Est2018DistRev!U20</f>
        <v>0</v>
      </c>
      <c r="V20" s="584">
        <f>Est2018DistRev!V20</f>
        <v>0</v>
      </c>
      <c r="W20" s="584">
        <f>Est2018DistRev!W20</f>
        <v>0</v>
      </c>
      <c r="X20" s="584">
        <f>Est2018DistRev!X20</f>
        <v>0</v>
      </c>
      <c r="Y20" s="584">
        <f>Est2018DistRev!Y20</f>
        <v>0</v>
      </c>
      <c r="Z20" s="584">
        <f>Est2018DistRev!Z20</f>
        <v>0</v>
      </c>
      <c r="AA20" s="584">
        <f>Est2018DistRev!AA20</f>
        <v>0</v>
      </c>
      <c r="AB20" s="584">
        <f>Est2018DistRev!AB20</f>
        <v>0</v>
      </c>
      <c r="AC20" s="584">
        <f>Est2018DistRev!AC20</f>
        <v>0</v>
      </c>
      <c r="AD20" s="585">
        <f>Est2018DistRev!AD20</f>
        <v>0</v>
      </c>
      <c r="AF20" s="556">
        <f t="shared" si="0"/>
        <v>0</v>
      </c>
      <c r="AG20" s="557">
        <f t="shared" si="1"/>
        <v>0</v>
      </c>
      <c r="AH20" s="557">
        <f t="shared" si="2"/>
        <v>0</v>
      </c>
      <c r="AI20" s="557">
        <f t="shared" si="3"/>
        <v>0</v>
      </c>
      <c r="AJ20" s="557">
        <f t="shared" si="4"/>
        <v>0</v>
      </c>
      <c r="AK20" s="557">
        <f t="shared" si="5"/>
        <v>0</v>
      </c>
      <c r="AL20" s="557">
        <f t="shared" si="6"/>
        <v>0</v>
      </c>
      <c r="AM20" s="557">
        <f t="shared" si="7"/>
        <v>0</v>
      </c>
      <c r="AN20" s="557">
        <f t="shared" si="8"/>
        <v>0</v>
      </c>
      <c r="AO20" s="557">
        <f t="shared" si="9"/>
        <v>0</v>
      </c>
      <c r="AP20" s="557">
        <f t="shared" si="10"/>
        <v>0</v>
      </c>
      <c r="AQ20" s="557">
        <f t="shared" si="11"/>
        <v>0</v>
      </c>
      <c r="AR20" s="557">
        <f t="shared" si="12"/>
        <v>0</v>
      </c>
      <c r="AS20" s="469">
        <f t="shared" si="13"/>
        <v>0</v>
      </c>
      <c r="AU20" s="614"/>
      <c r="AV20" s="614"/>
    </row>
    <row r="21" spans="2:48" s="458" customFormat="1" x14ac:dyDescent="0.2">
      <c r="B21" s="464" t="str">
        <f>Est2018DistRev!B21</f>
        <v>High voltage KVA time of use</v>
      </c>
      <c r="C21" s="579"/>
      <c r="D21" s="478">
        <v>0</v>
      </c>
      <c r="E21" s="473">
        <v>0</v>
      </c>
      <c r="F21" s="473">
        <v>0</v>
      </c>
      <c r="G21" s="473">
        <v>0.63300000000000001</v>
      </c>
      <c r="H21" s="473">
        <v>0</v>
      </c>
      <c r="I21" s="473">
        <v>0</v>
      </c>
      <c r="J21" s="473">
        <v>0.50700000000000001</v>
      </c>
      <c r="K21" s="473">
        <v>0</v>
      </c>
      <c r="L21" s="473">
        <v>0</v>
      </c>
      <c r="M21" s="473">
        <v>4.2130000000000001</v>
      </c>
      <c r="N21" s="473">
        <v>4.4219999999999997</v>
      </c>
      <c r="O21" s="473">
        <v>0</v>
      </c>
      <c r="P21" s="596">
        <v>0</v>
      </c>
      <c r="R21" s="583">
        <f>Est2018DistRev!R21</f>
        <v>23617.124230962414</v>
      </c>
      <c r="S21" s="584">
        <f>Est2018DistRev!S21</f>
        <v>0</v>
      </c>
      <c r="T21" s="584">
        <f>Est2018DistRev!T21</f>
        <v>0</v>
      </c>
      <c r="U21" s="584">
        <f>Est2018DistRev!U21</f>
        <v>174081366.56664249</v>
      </c>
      <c r="V21" s="584">
        <f>Est2018DistRev!V21</f>
        <v>0</v>
      </c>
      <c r="W21" s="584">
        <f>Est2018DistRev!W21</f>
        <v>0</v>
      </c>
      <c r="X21" s="584">
        <f>Est2018DistRev!X21</f>
        <v>259668945.42942247</v>
      </c>
      <c r="Y21" s="584">
        <f>Est2018DistRev!Y21</f>
        <v>644419593.14659941</v>
      </c>
      <c r="Z21" s="584">
        <f>Est2018DistRev!Z21</f>
        <v>0</v>
      </c>
      <c r="AA21" s="584">
        <f>Est2018DistRev!AA21</f>
        <v>104174290.29862042</v>
      </c>
      <c r="AB21" s="584">
        <f>Est2018DistRev!AB21</f>
        <v>32696351.560311582</v>
      </c>
      <c r="AC21" s="584">
        <f>Est2018DistRev!AC21</f>
        <v>0</v>
      </c>
      <c r="AD21" s="585">
        <f>Est2018DistRev!AD21</f>
        <v>0</v>
      </c>
      <c r="AF21" s="556">
        <f t="shared" si="0"/>
        <v>0</v>
      </c>
      <c r="AG21" s="557">
        <f t="shared" si="1"/>
        <v>0</v>
      </c>
      <c r="AH21" s="557">
        <f t="shared" si="2"/>
        <v>0</v>
      </c>
      <c r="AI21" s="557">
        <f t="shared" si="3"/>
        <v>1101935.0503668468</v>
      </c>
      <c r="AJ21" s="557">
        <f t="shared" si="4"/>
        <v>0</v>
      </c>
      <c r="AK21" s="557">
        <f t="shared" si="5"/>
        <v>0</v>
      </c>
      <c r="AL21" s="557">
        <f t="shared" si="6"/>
        <v>1316521.5533271718</v>
      </c>
      <c r="AM21" s="557">
        <f t="shared" si="7"/>
        <v>0</v>
      </c>
      <c r="AN21" s="557">
        <f t="shared" si="8"/>
        <v>0</v>
      </c>
      <c r="AO21" s="557">
        <f t="shared" si="9"/>
        <v>4388862.8502808781</v>
      </c>
      <c r="AP21" s="557">
        <f t="shared" si="10"/>
        <v>1445832.6659969781</v>
      </c>
      <c r="AQ21" s="557">
        <f t="shared" si="11"/>
        <v>0</v>
      </c>
      <c r="AR21" s="557">
        <f t="shared" si="12"/>
        <v>0</v>
      </c>
      <c r="AS21" s="469">
        <f t="shared" si="13"/>
        <v>8253152.1199718751</v>
      </c>
      <c r="AU21" s="614"/>
      <c r="AV21" s="614"/>
    </row>
    <row r="22" spans="2:48" s="458" customFormat="1" x14ac:dyDescent="0.2">
      <c r="B22" s="477" t="str">
        <f>Est2018DistRev!B22</f>
        <v>High voltage KVA time of use - HOT</v>
      </c>
      <c r="C22" s="579"/>
      <c r="D22" s="478">
        <v>0</v>
      </c>
      <c r="E22" s="473">
        <v>0</v>
      </c>
      <c r="F22" s="473">
        <v>0</v>
      </c>
      <c r="G22" s="473">
        <v>0</v>
      </c>
      <c r="H22" s="473">
        <v>0</v>
      </c>
      <c r="I22" s="473">
        <v>0</v>
      </c>
      <c r="J22" s="473">
        <v>0</v>
      </c>
      <c r="K22" s="473">
        <v>0</v>
      </c>
      <c r="L22" s="473">
        <v>0</v>
      </c>
      <c r="M22" s="473">
        <v>0</v>
      </c>
      <c r="N22" s="473">
        <v>0</v>
      </c>
      <c r="O22" s="473">
        <v>0</v>
      </c>
      <c r="P22" s="596">
        <v>0</v>
      </c>
      <c r="R22" s="583">
        <f>Est2018DistRev!R22</f>
        <v>0</v>
      </c>
      <c r="S22" s="584">
        <f>Est2018DistRev!S22</f>
        <v>0</v>
      </c>
      <c r="T22" s="584">
        <f>Est2018DistRev!T22</f>
        <v>0</v>
      </c>
      <c r="U22" s="584">
        <f>Est2018DistRev!U22</f>
        <v>0</v>
      </c>
      <c r="V22" s="584">
        <f>Est2018DistRev!V22</f>
        <v>0</v>
      </c>
      <c r="W22" s="584">
        <f>Est2018DistRev!W22</f>
        <v>0</v>
      </c>
      <c r="X22" s="584">
        <f>Est2018DistRev!X22</f>
        <v>0</v>
      </c>
      <c r="Y22" s="584">
        <f>Est2018DistRev!Y22</f>
        <v>0</v>
      </c>
      <c r="Z22" s="584">
        <f>Est2018DistRev!Z22</f>
        <v>0</v>
      </c>
      <c r="AA22" s="584">
        <f>Est2018DistRev!AA22</f>
        <v>0</v>
      </c>
      <c r="AB22" s="584">
        <f>Est2018DistRev!AB22</f>
        <v>0</v>
      </c>
      <c r="AC22" s="584">
        <f>Est2018DistRev!AC22</f>
        <v>0</v>
      </c>
      <c r="AD22" s="585">
        <f>Est2018DistRev!AD22</f>
        <v>0</v>
      </c>
      <c r="AF22" s="556">
        <f t="shared" si="0"/>
        <v>0</v>
      </c>
      <c r="AG22" s="557">
        <f t="shared" si="1"/>
        <v>0</v>
      </c>
      <c r="AH22" s="557">
        <f t="shared" si="2"/>
        <v>0</v>
      </c>
      <c r="AI22" s="557">
        <f t="shared" si="3"/>
        <v>0</v>
      </c>
      <c r="AJ22" s="557">
        <f t="shared" si="4"/>
        <v>0</v>
      </c>
      <c r="AK22" s="557">
        <f t="shared" si="5"/>
        <v>0</v>
      </c>
      <c r="AL22" s="557">
        <f t="shared" si="6"/>
        <v>0</v>
      </c>
      <c r="AM22" s="557">
        <f t="shared" si="7"/>
        <v>0</v>
      </c>
      <c r="AN22" s="557">
        <f t="shared" si="8"/>
        <v>0</v>
      </c>
      <c r="AO22" s="557">
        <f t="shared" si="9"/>
        <v>0</v>
      </c>
      <c r="AP22" s="557">
        <f t="shared" si="10"/>
        <v>0</v>
      </c>
      <c r="AQ22" s="557">
        <f t="shared" si="11"/>
        <v>0</v>
      </c>
      <c r="AR22" s="557">
        <f t="shared" si="12"/>
        <v>0</v>
      </c>
      <c r="AS22" s="469">
        <f t="shared" si="13"/>
        <v>0</v>
      </c>
      <c r="AU22" s="614"/>
      <c r="AV22" s="614"/>
    </row>
    <row r="23" spans="2:48" s="458" customFormat="1" x14ac:dyDescent="0.2">
      <c r="B23" s="464" t="str">
        <f>Est2018DistRev!B23</f>
        <v>Subtransmission KVA time of use</v>
      </c>
      <c r="C23" s="579"/>
      <c r="D23" s="478">
        <v>0</v>
      </c>
      <c r="E23" s="473">
        <v>0</v>
      </c>
      <c r="F23" s="473">
        <v>0</v>
      </c>
      <c r="G23" s="473">
        <v>0.42699999999999999</v>
      </c>
      <c r="H23" s="473">
        <v>0</v>
      </c>
      <c r="I23" s="473">
        <v>0</v>
      </c>
      <c r="J23" s="473">
        <v>0.34399999999999997</v>
      </c>
      <c r="K23" s="473">
        <v>0</v>
      </c>
      <c r="L23" s="473">
        <v>0</v>
      </c>
      <c r="M23" s="473">
        <v>3.0289999999999999</v>
      </c>
      <c r="N23" s="473">
        <v>3.6749999999999998</v>
      </c>
      <c r="O23" s="473">
        <v>0</v>
      </c>
      <c r="P23" s="596">
        <v>0</v>
      </c>
      <c r="R23" s="583">
        <f>Est2018DistRev!R23</f>
        <v>254.9822872220187</v>
      </c>
      <c r="S23" s="584">
        <f>Est2018DistRev!S23</f>
        <v>0</v>
      </c>
      <c r="T23" s="584">
        <f>Est2018DistRev!T23</f>
        <v>0</v>
      </c>
      <c r="U23" s="584">
        <f>Est2018DistRev!U23</f>
        <v>8490617.7384865712</v>
      </c>
      <c r="V23" s="584">
        <f>Est2018DistRev!V23</f>
        <v>0</v>
      </c>
      <c r="W23" s="584">
        <f>Est2018DistRev!W23</f>
        <v>0</v>
      </c>
      <c r="X23" s="584">
        <f>Est2018DistRev!X23</f>
        <v>11592624.597042518</v>
      </c>
      <c r="Y23" s="584">
        <f>Est2018DistRev!Y23</f>
        <v>16560893.601771353</v>
      </c>
      <c r="Z23" s="584">
        <f>Est2018DistRev!Z23</f>
        <v>0</v>
      </c>
      <c r="AA23" s="584">
        <f>Est2018DistRev!AA23</f>
        <v>4295974.8330156021</v>
      </c>
      <c r="AB23" s="584">
        <f>Est2018DistRev!AB23</f>
        <v>1468306.6399210575</v>
      </c>
      <c r="AC23" s="584">
        <f>Est2018DistRev!AC23</f>
        <v>0</v>
      </c>
      <c r="AD23" s="585">
        <f>Est2018DistRev!AD23</f>
        <v>0</v>
      </c>
      <c r="AF23" s="556">
        <f t="shared" si="0"/>
        <v>0</v>
      </c>
      <c r="AG23" s="557">
        <f t="shared" si="1"/>
        <v>0</v>
      </c>
      <c r="AH23" s="557">
        <f t="shared" si="2"/>
        <v>0</v>
      </c>
      <c r="AI23" s="557">
        <f t="shared" si="3"/>
        <v>36254.937743337658</v>
      </c>
      <c r="AJ23" s="557">
        <f t="shared" si="4"/>
        <v>0</v>
      </c>
      <c r="AK23" s="557">
        <f t="shared" si="5"/>
        <v>0</v>
      </c>
      <c r="AL23" s="557">
        <f t="shared" si="6"/>
        <v>39878.628613826259</v>
      </c>
      <c r="AM23" s="557">
        <f t="shared" si="7"/>
        <v>0</v>
      </c>
      <c r="AN23" s="557">
        <f t="shared" si="8"/>
        <v>0</v>
      </c>
      <c r="AO23" s="557">
        <f t="shared" si="9"/>
        <v>130125.07769204257</v>
      </c>
      <c r="AP23" s="557">
        <f t="shared" si="10"/>
        <v>53960.269017098857</v>
      </c>
      <c r="AQ23" s="557">
        <f t="shared" si="11"/>
        <v>0</v>
      </c>
      <c r="AR23" s="557">
        <f t="shared" si="12"/>
        <v>0</v>
      </c>
      <c r="AS23" s="469">
        <f t="shared" si="13"/>
        <v>260218.91306630534</v>
      </c>
      <c r="AU23" s="614"/>
      <c r="AV23" s="614"/>
    </row>
    <row r="24" spans="2:48" s="458" customFormat="1" x14ac:dyDescent="0.2">
      <c r="B24" s="464" t="str">
        <f>Est2018DistRev!B24</f>
        <v>TOD</v>
      </c>
      <c r="C24" s="579"/>
      <c r="D24" s="478">
        <v>0</v>
      </c>
      <c r="E24" s="473">
        <v>0</v>
      </c>
      <c r="F24" s="473">
        <v>2.4129999999999998</v>
      </c>
      <c r="G24" s="473">
        <v>2.843</v>
      </c>
      <c r="H24" s="473">
        <v>0</v>
      </c>
      <c r="I24" s="473">
        <v>0</v>
      </c>
      <c r="J24" s="473">
        <v>2.4129999999999998</v>
      </c>
      <c r="K24" s="473">
        <v>0</v>
      </c>
      <c r="L24" s="473">
        <v>2.1309999999999998</v>
      </c>
      <c r="M24" s="473">
        <v>0</v>
      </c>
      <c r="N24" s="473">
        <v>0</v>
      </c>
      <c r="O24" s="473">
        <v>0</v>
      </c>
      <c r="P24" s="596">
        <v>0</v>
      </c>
      <c r="R24" s="583">
        <f>Est2018DistRev!R24</f>
        <v>15646965.572124485</v>
      </c>
      <c r="S24" s="584">
        <f>Est2018DistRev!S24</f>
        <v>0</v>
      </c>
      <c r="T24" s="584">
        <f>Est2018DistRev!T24</f>
        <v>12981338.044567086</v>
      </c>
      <c r="U24" s="584">
        <f>Est2018DistRev!U24</f>
        <v>24005631.63872676</v>
      </c>
      <c r="V24" s="584">
        <f>Est2018DistRev!V24</f>
        <v>0</v>
      </c>
      <c r="W24" s="584">
        <f>Est2018DistRev!W24</f>
        <v>0</v>
      </c>
      <c r="X24" s="584">
        <f>Est2018DistRev!X24</f>
        <v>44926998.687545806</v>
      </c>
      <c r="Y24" s="584">
        <f>Est2018DistRev!Y24</f>
        <v>113601967.92548038</v>
      </c>
      <c r="Z24" s="584">
        <f>Est2018DistRev!Z24</f>
        <v>24041636.918775704</v>
      </c>
      <c r="AA24" s="584">
        <f>Est2018DistRev!AA24</f>
        <v>0</v>
      </c>
      <c r="AB24" s="584">
        <f>Est2018DistRev!AB24</f>
        <v>0</v>
      </c>
      <c r="AC24" s="584">
        <f>Est2018DistRev!AC24</f>
        <v>0</v>
      </c>
      <c r="AD24" s="585">
        <f>Est2018DistRev!AD24</f>
        <v>0</v>
      </c>
      <c r="AF24" s="556">
        <f t="shared" si="0"/>
        <v>0</v>
      </c>
      <c r="AG24" s="557">
        <f t="shared" si="1"/>
        <v>0</v>
      </c>
      <c r="AH24" s="557">
        <f t="shared" si="2"/>
        <v>313239.68701540376</v>
      </c>
      <c r="AI24" s="557">
        <f t="shared" si="3"/>
        <v>682480.10748900182</v>
      </c>
      <c r="AJ24" s="557">
        <f t="shared" si="4"/>
        <v>0</v>
      </c>
      <c r="AK24" s="557">
        <f t="shared" si="5"/>
        <v>0</v>
      </c>
      <c r="AL24" s="557">
        <f t="shared" si="6"/>
        <v>1084088.4783304802</v>
      </c>
      <c r="AM24" s="557">
        <f t="shared" si="7"/>
        <v>0</v>
      </c>
      <c r="AN24" s="557">
        <f t="shared" si="8"/>
        <v>512327.28273911023</v>
      </c>
      <c r="AO24" s="557">
        <f t="shared" si="9"/>
        <v>0</v>
      </c>
      <c r="AP24" s="557">
        <f t="shared" si="10"/>
        <v>0</v>
      </c>
      <c r="AQ24" s="557">
        <f t="shared" si="11"/>
        <v>0</v>
      </c>
      <c r="AR24" s="557">
        <f t="shared" si="12"/>
        <v>0</v>
      </c>
      <c r="AS24" s="469">
        <f t="shared" si="13"/>
        <v>2592135.5555739962</v>
      </c>
      <c r="AU24" s="614"/>
      <c r="AV24" s="614"/>
    </row>
    <row r="25" spans="2:48" s="458" customFormat="1" x14ac:dyDescent="0.2">
      <c r="B25" s="464" t="str">
        <f>Est2018DistRev!B25</f>
        <v>TOD9</v>
      </c>
      <c r="C25" s="579"/>
      <c r="D25" s="478">
        <v>0</v>
      </c>
      <c r="E25" s="473">
        <v>0</v>
      </c>
      <c r="F25" s="473">
        <v>3.5470000000000002</v>
      </c>
      <c r="G25" s="473">
        <v>3.8149999999999999</v>
      </c>
      <c r="H25" s="473">
        <v>0</v>
      </c>
      <c r="I25" s="473">
        <v>0</v>
      </c>
      <c r="J25" s="473">
        <v>3.5470000000000002</v>
      </c>
      <c r="K25" s="473">
        <v>0</v>
      </c>
      <c r="L25" s="473">
        <v>3.37</v>
      </c>
      <c r="M25" s="473">
        <v>0</v>
      </c>
      <c r="N25" s="473">
        <v>0</v>
      </c>
      <c r="O25" s="473">
        <v>0</v>
      </c>
      <c r="P25" s="596">
        <v>0</v>
      </c>
      <c r="R25" s="583">
        <f>Est2018DistRev!R25</f>
        <v>698982.3764513043</v>
      </c>
      <c r="S25" s="584">
        <f>Est2018DistRev!S25</f>
        <v>0</v>
      </c>
      <c r="T25" s="584">
        <f>Est2018DistRev!T25</f>
        <v>458383.27284907468</v>
      </c>
      <c r="U25" s="584">
        <f>Est2018DistRev!U25</f>
        <v>704379.18300563958</v>
      </c>
      <c r="V25" s="584">
        <f>Est2018DistRev!V25</f>
        <v>0</v>
      </c>
      <c r="W25" s="584">
        <f>Est2018DistRev!W25</f>
        <v>0</v>
      </c>
      <c r="X25" s="584">
        <f>Est2018DistRev!X25</f>
        <v>1715045.284054603</v>
      </c>
      <c r="Y25" s="584">
        <f>Est2018DistRev!Y25</f>
        <v>5147486.2983944518</v>
      </c>
      <c r="Z25" s="584">
        <f>Est2018DistRev!Z25</f>
        <v>1156234.759408884</v>
      </c>
      <c r="AA25" s="584">
        <f>Est2018DistRev!AA25</f>
        <v>0</v>
      </c>
      <c r="AB25" s="584">
        <f>Est2018DistRev!AB25</f>
        <v>0</v>
      </c>
      <c r="AC25" s="584">
        <f>Est2018DistRev!AC25</f>
        <v>0</v>
      </c>
      <c r="AD25" s="585">
        <f>Est2018DistRev!AD25</f>
        <v>0</v>
      </c>
      <c r="AF25" s="556">
        <f t="shared" si="0"/>
        <v>0</v>
      </c>
      <c r="AG25" s="557">
        <f t="shared" si="1"/>
        <v>0</v>
      </c>
      <c r="AH25" s="557">
        <f t="shared" si="2"/>
        <v>16258.85468795668</v>
      </c>
      <c r="AI25" s="557">
        <f t="shared" si="3"/>
        <v>26872.065831665146</v>
      </c>
      <c r="AJ25" s="557">
        <f t="shared" si="4"/>
        <v>0</v>
      </c>
      <c r="AK25" s="557">
        <f t="shared" si="5"/>
        <v>0</v>
      </c>
      <c r="AL25" s="557">
        <f t="shared" si="6"/>
        <v>60832.656225416773</v>
      </c>
      <c r="AM25" s="557">
        <f t="shared" si="7"/>
        <v>0</v>
      </c>
      <c r="AN25" s="557">
        <f t="shared" si="8"/>
        <v>38965.111392079394</v>
      </c>
      <c r="AO25" s="557">
        <f t="shared" si="9"/>
        <v>0</v>
      </c>
      <c r="AP25" s="557">
        <f t="shared" si="10"/>
        <v>0</v>
      </c>
      <c r="AQ25" s="557">
        <f t="shared" si="11"/>
        <v>0</v>
      </c>
      <c r="AR25" s="557">
        <f t="shared" si="12"/>
        <v>0</v>
      </c>
      <c r="AS25" s="469">
        <f t="shared" si="13"/>
        <v>142928.68813711798</v>
      </c>
      <c r="AU25" s="614"/>
      <c r="AV25" s="614"/>
    </row>
    <row r="26" spans="2:48" s="458" customFormat="1" x14ac:dyDescent="0.2">
      <c r="B26" s="464" t="str">
        <f>Est2018DistRev!B26</f>
        <v>TOU</v>
      </c>
      <c r="C26" s="579"/>
      <c r="D26" s="478">
        <v>0</v>
      </c>
      <c r="E26" s="473">
        <v>0</v>
      </c>
      <c r="F26" s="473">
        <v>0</v>
      </c>
      <c r="G26" s="473">
        <v>2.1120000000000001</v>
      </c>
      <c r="H26" s="473">
        <v>0</v>
      </c>
      <c r="I26" s="473">
        <v>0</v>
      </c>
      <c r="J26" s="473">
        <v>0.97</v>
      </c>
      <c r="K26" s="473">
        <v>0</v>
      </c>
      <c r="L26" s="473">
        <v>0</v>
      </c>
      <c r="M26" s="473">
        <v>0</v>
      </c>
      <c r="N26" s="473">
        <v>5.5339999999999998</v>
      </c>
      <c r="O26" s="473">
        <v>0</v>
      </c>
      <c r="P26" s="596">
        <v>0</v>
      </c>
      <c r="R26" s="583">
        <f>Est2018DistRev!R26</f>
        <v>168848.19915218107</v>
      </c>
      <c r="S26" s="584">
        <f>Est2018DistRev!S26</f>
        <v>0</v>
      </c>
      <c r="T26" s="584">
        <f>Est2018DistRev!T26</f>
        <v>0</v>
      </c>
      <c r="U26" s="584">
        <f>Est2018DistRev!U26</f>
        <v>4805127.267966155</v>
      </c>
      <c r="V26" s="584">
        <f>Est2018DistRev!V26</f>
        <v>0</v>
      </c>
      <c r="W26" s="584">
        <f>Est2018DistRev!W26</f>
        <v>0</v>
      </c>
      <c r="X26" s="584">
        <f>Est2018DistRev!X26</f>
        <v>8039117.8005384253</v>
      </c>
      <c r="Y26" s="584">
        <f>Est2018DistRev!Y26</f>
        <v>9760139.2286830526</v>
      </c>
      <c r="Z26" s="584">
        <f>Est2018DistRev!Z26</f>
        <v>0</v>
      </c>
      <c r="AA26" s="584">
        <f>Est2018DistRev!AA26</f>
        <v>0</v>
      </c>
      <c r="AB26" s="584">
        <f>Est2018DistRev!AB26</f>
        <v>812870.66145761427</v>
      </c>
      <c r="AC26" s="584">
        <f>Est2018DistRev!AC26</f>
        <v>0</v>
      </c>
      <c r="AD26" s="585">
        <f>Est2018DistRev!AD26</f>
        <v>0</v>
      </c>
      <c r="AF26" s="556">
        <f t="shared" si="0"/>
        <v>0</v>
      </c>
      <c r="AG26" s="557">
        <f t="shared" si="1"/>
        <v>0</v>
      </c>
      <c r="AH26" s="557">
        <f t="shared" si="2"/>
        <v>0</v>
      </c>
      <c r="AI26" s="557">
        <f t="shared" si="3"/>
        <v>101484.28789944519</v>
      </c>
      <c r="AJ26" s="557">
        <f t="shared" si="4"/>
        <v>0</v>
      </c>
      <c r="AK26" s="557">
        <f t="shared" si="5"/>
        <v>0</v>
      </c>
      <c r="AL26" s="557">
        <f t="shared" si="6"/>
        <v>77979.442665222727</v>
      </c>
      <c r="AM26" s="557">
        <f t="shared" si="7"/>
        <v>0</v>
      </c>
      <c r="AN26" s="557">
        <f t="shared" si="8"/>
        <v>0</v>
      </c>
      <c r="AO26" s="557">
        <f t="shared" si="9"/>
        <v>0</v>
      </c>
      <c r="AP26" s="557">
        <f t="shared" si="10"/>
        <v>44984.262405064372</v>
      </c>
      <c r="AQ26" s="557">
        <f t="shared" si="11"/>
        <v>0</v>
      </c>
      <c r="AR26" s="557">
        <f t="shared" si="12"/>
        <v>0</v>
      </c>
      <c r="AS26" s="469">
        <f t="shared" si="13"/>
        <v>224447.99296973227</v>
      </c>
      <c r="AU26" s="614"/>
      <c r="AV26" s="614"/>
    </row>
    <row r="27" spans="2:48" s="458" customFormat="1" x14ac:dyDescent="0.2">
      <c r="B27" s="477" t="str">
        <f>Est2018DistRev!B27</f>
        <v>TODFLEX</v>
      </c>
      <c r="C27" s="579"/>
      <c r="D27" s="478">
        <v>0</v>
      </c>
      <c r="E27" s="473">
        <v>0</v>
      </c>
      <c r="F27" s="473">
        <v>1.6120000000000001</v>
      </c>
      <c r="G27" s="473">
        <v>3.226</v>
      </c>
      <c r="H27" s="473">
        <v>0</v>
      </c>
      <c r="I27" s="473">
        <v>0</v>
      </c>
      <c r="J27" s="473">
        <v>3.0089999999999999</v>
      </c>
      <c r="K27" s="473">
        <v>0</v>
      </c>
      <c r="L27" s="473">
        <v>1.4219999999999999</v>
      </c>
      <c r="M27" s="473">
        <v>0</v>
      </c>
      <c r="N27" s="473">
        <v>0</v>
      </c>
      <c r="O27" s="473">
        <v>0</v>
      </c>
      <c r="P27" s="596">
        <v>0</v>
      </c>
      <c r="R27" s="583">
        <f>Est2018DistRev!R27</f>
        <v>707665.9845626707</v>
      </c>
      <c r="S27" s="584">
        <f>Est2018DistRev!S27</f>
        <v>0</v>
      </c>
      <c r="T27" s="584">
        <f>Est2018DistRev!T27</f>
        <v>1751306.7666805629</v>
      </c>
      <c r="U27" s="584">
        <f>Est2018DistRev!U27</f>
        <v>851710.93174947728</v>
      </c>
      <c r="V27" s="584">
        <f>Est2018DistRev!V27</f>
        <v>0</v>
      </c>
      <c r="W27" s="584">
        <f>Est2018DistRev!W27</f>
        <v>0</v>
      </c>
      <c r="X27" s="584">
        <f>Est2018DistRev!X27</f>
        <v>1453136.0320939666</v>
      </c>
      <c r="Y27" s="584">
        <f>Est2018DistRev!Y27</f>
        <v>3614429.9433507249</v>
      </c>
      <c r="Z27" s="584">
        <f>Est2018DistRev!Z27</f>
        <v>3021129.6229164279</v>
      </c>
      <c r="AA27" s="584">
        <f>Est2018DistRev!AA27</f>
        <v>0</v>
      </c>
      <c r="AB27" s="584">
        <f>Est2018DistRev!AB27</f>
        <v>0</v>
      </c>
      <c r="AC27" s="584">
        <f>Est2018DistRev!AC27</f>
        <v>0</v>
      </c>
      <c r="AD27" s="585">
        <f>Est2018DistRev!AD27</f>
        <v>0</v>
      </c>
      <c r="AF27" s="556">
        <f t="shared" si="0"/>
        <v>0</v>
      </c>
      <c r="AG27" s="557">
        <f t="shared" si="1"/>
        <v>0</v>
      </c>
      <c r="AH27" s="557">
        <f t="shared" si="2"/>
        <v>28231.065078890679</v>
      </c>
      <c r="AI27" s="557">
        <f t="shared" si="3"/>
        <v>27476.194658238135</v>
      </c>
      <c r="AJ27" s="557">
        <f t="shared" si="4"/>
        <v>0</v>
      </c>
      <c r="AK27" s="557">
        <f t="shared" si="5"/>
        <v>0</v>
      </c>
      <c r="AL27" s="557">
        <f t="shared" si="6"/>
        <v>43724.86320570745</v>
      </c>
      <c r="AM27" s="557">
        <f t="shared" si="7"/>
        <v>0</v>
      </c>
      <c r="AN27" s="557">
        <f t="shared" si="8"/>
        <v>42960.463237871605</v>
      </c>
      <c r="AO27" s="557">
        <f t="shared" si="9"/>
        <v>0</v>
      </c>
      <c r="AP27" s="557">
        <f t="shared" si="10"/>
        <v>0</v>
      </c>
      <c r="AQ27" s="557">
        <f t="shared" si="11"/>
        <v>0</v>
      </c>
      <c r="AR27" s="557">
        <f t="shared" si="12"/>
        <v>0</v>
      </c>
      <c r="AS27" s="469">
        <f t="shared" si="13"/>
        <v>142392.58618070785</v>
      </c>
      <c r="AU27" s="614"/>
      <c r="AV27" s="614"/>
    </row>
    <row r="28" spans="2:48" s="458" customFormat="1" x14ac:dyDescent="0.2">
      <c r="B28" s="464" t="str">
        <f>Est2018DistRev!B28</f>
        <v>Low Voltage KW 1 rate</v>
      </c>
      <c r="C28" s="579"/>
      <c r="D28" s="478">
        <v>0</v>
      </c>
      <c r="E28" s="473">
        <v>0.59299999999999997</v>
      </c>
      <c r="F28" s="473">
        <v>0.59299999999999997</v>
      </c>
      <c r="G28" s="473">
        <v>0.59299999999999997</v>
      </c>
      <c r="H28" s="473">
        <v>0.59299999999999997</v>
      </c>
      <c r="I28" s="473">
        <v>0.59299999999999997</v>
      </c>
      <c r="J28" s="473">
        <v>0.59299999999999997</v>
      </c>
      <c r="K28" s="473">
        <v>0.59299999999999997</v>
      </c>
      <c r="L28" s="473">
        <v>0.59299999999999997</v>
      </c>
      <c r="M28" s="473">
        <v>0</v>
      </c>
      <c r="N28" s="473">
        <v>0</v>
      </c>
      <c r="O28" s="473">
        <v>4.4409999999999998</v>
      </c>
      <c r="P28" s="596">
        <v>2.887</v>
      </c>
      <c r="R28" s="583">
        <f>Est2018DistRev!R28</f>
        <v>2826.3547375973726</v>
      </c>
      <c r="S28" s="584">
        <f>Est2018DistRev!S28</f>
        <v>0</v>
      </c>
      <c r="T28" s="584">
        <f>Est2018DistRev!T28</f>
        <v>0</v>
      </c>
      <c r="U28" s="584">
        <f>Est2018DistRev!U28</f>
        <v>13329.577355123805</v>
      </c>
      <c r="V28" s="584">
        <f>Est2018DistRev!V28</f>
        <v>0</v>
      </c>
      <c r="W28" s="584">
        <f>Est2018DistRev!W28</f>
        <v>0</v>
      </c>
      <c r="X28" s="584">
        <f>Est2018DistRev!X28</f>
        <v>24988.071743663233</v>
      </c>
      <c r="Y28" s="584">
        <f>Est2018DistRev!Y28</f>
        <v>0</v>
      </c>
      <c r="Z28" s="584">
        <f>Est2018DistRev!Z28</f>
        <v>0</v>
      </c>
      <c r="AA28" s="584">
        <f>Est2018DistRev!AA28</f>
        <v>0</v>
      </c>
      <c r="AB28" s="584">
        <f>Est2018DistRev!AB28</f>
        <v>0</v>
      </c>
      <c r="AC28" s="584">
        <f>Est2018DistRev!AC28</f>
        <v>3245.4217658789721</v>
      </c>
      <c r="AD28" s="585">
        <f>Est2018DistRev!AD28</f>
        <v>5347.9291775978709</v>
      </c>
      <c r="AF28" s="556">
        <f t="shared" si="0"/>
        <v>0</v>
      </c>
      <c r="AG28" s="557">
        <f t="shared" si="1"/>
        <v>0</v>
      </c>
      <c r="AH28" s="557">
        <f t="shared" si="2"/>
        <v>0</v>
      </c>
      <c r="AI28" s="557">
        <f t="shared" si="3"/>
        <v>79.044393715884155</v>
      </c>
      <c r="AJ28" s="557">
        <f t="shared" si="4"/>
        <v>0</v>
      </c>
      <c r="AK28" s="557">
        <f t="shared" si="5"/>
        <v>0</v>
      </c>
      <c r="AL28" s="557">
        <f t="shared" si="6"/>
        <v>148.17926543992297</v>
      </c>
      <c r="AM28" s="557">
        <f t="shared" si="7"/>
        <v>0</v>
      </c>
      <c r="AN28" s="557">
        <f t="shared" si="8"/>
        <v>0</v>
      </c>
      <c r="AO28" s="557">
        <f t="shared" si="9"/>
        <v>0</v>
      </c>
      <c r="AP28" s="557">
        <f t="shared" si="10"/>
        <v>0</v>
      </c>
      <c r="AQ28" s="557">
        <f t="shared" si="11"/>
        <v>144.12918062268514</v>
      </c>
      <c r="AR28" s="557">
        <f t="shared" si="12"/>
        <v>154.39471535725053</v>
      </c>
      <c r="AS28" s="469">
        <f t="shared" si="13"/>
        <v>525.7475551357428</v>
      </c>
      <c r="AU28" s="614"/>
      <c r="AV28" s="614"/>
    </row>
    <row r="29" spans="2:48" s="458" customFormat="1" x14ac:dyDescent="0.2">
      <c r="B29" s="464" t="str">
        <f>Est2018DistRev!B29</f>
        <v>Low voltage medium KW time of use (opt-in)</v>
      </c>
      <c r="C29" s="579"/>
      <c r="D29" s="478">
        <v>0</v>
      </c>
      <c r="E29" s="473">
        <v>0.75</v>
      </c>
      <c r="F29" s="473">
        <v>0.75</v>
      </c>
      <c r="G29" s="473">
        <v>0.75</v>
      </c>
      <c r="H29" s="473">
        <v>0.75</v>
      </c>
      <c r="I29" s="473">
        <v>0.75</v>
      </c>
      <c r="J29" s="473">
        <v>0.75</v>
      </c>
      <c r="K29" s="473">
        <v>0.75</v>
      </c>
      <c r="L29" s="473">
        <v>0.75</v>
      </c>
      <c r="M29" s="473">
        <v>0</v>
      </c>
      <c r="N29" s="473">
        <v>0</v>
      </c>
      <c r="O29" s="473">
        <v>6.1980000000000004</v>
      </c>
      <c r="P29" s="596">
        <v>4.1319999999999997</v>
      </c>
      <c r="R29" s="583">
        <f>Est2018DistRev!R29</f>
        <v>90787.080051499332</v>
      </c>
      <c r="S29" s="584">
        <f>Est2018DistRev!S29</f>
        <v>0</v>
      </c>
      <c r="T29" s="584">
        <f>Est2018DistRev!T29</f>
        <v>0</v>
      </c>
      <c r="U29" s="584">
        <f>Est2018DistRev!U29</f>
        <v>18491573.068425383</v>
      </c>
      <c r="V29" s="584">
        <f>Est2018DistRev!V29</f>
        <v>0</v>
      </c>
      <c r="W29" s="584">
        <f>Est2018DistRev!W29</f>
        <v>0</v>
      </c>
      <c r="X29" s="584">
        <f>Est2018DistRev!X29</f>
        <v>19354558.323015686</v>
      </c>
      <c r="Y29" s="584">
        <f>Est2018DistRev!Y29</f>
        <v>0</v>
      </c>
      <c r="Z29" s="584">
        <f>Est2018DistRev!Z29</f>
        <v>0</v>
      </c>
      <c r="AA29" s="584">
        <f>Est2018DistRev!AA29</f>
        <v>0</v>
      </c>
      <c r="AB29" s="584">
        <f>Est2018DistRev!AB29</f>
        <v>0</v>
      </c>
      <c r="AC29" s="584">
        <f>Est2018DistRev!AC29</f>
        <v>1676011.6411662186</v>
      </c>
      <c r="AD29" s="585">
        <f>Est2018DistRev!AD29</f>
        <v>2131721.2605446144</v>
      </c>
      <c r="AF29" s="556">
        <f t="shared" si="0"/>
        <v>0</v>
      </c>
      <c r="AG29" s="557">
        <f t="shared" si="1"/>
        <v>0</v>
      </c>
      <c r="AH29" s="557">
        <f t="shared" si="2"/>
        <v>0</v>
      </c>
      <c r="AI29" s="557">
        <f t="shared" si="3"/>
        <v>138686.79801319036</v>
      </c>
      <c r="AJ29" s="557">
        <f t="shared" si="4"/>
        <v>0</v>
      </c>
      <c r="AK29" s="557">
        <f t="shared" si="5"/>
        <v>0</v>
      </c>
      <c r="AL29" s="557">
        <f t="shared" si="6"/>
        <v>145159.18742261763</v>
      </c>
      <c r="AM29" s="557">
        <f t="shared" si="7"/>
        <v>0</v>
      </c>
      <c r="AN29" s="557">
        <f t="shared" si="8"/>
        <v>0</v>
      </c>
      <c r="AO29" s="557">
        <f t="shared" si="9"/>
        <v>0</v>
      </c>
      <c r="AP29" s="557">
        <f t="shared" si="10"/>
        <v>0</v>
      </c>
      <c r="AQ29" s="557">
        <f t="shared" si="11"/>
        <v>103879.20151948225</v>
      </c>
      <c r="AR29" s="557">
        <f t="shared" si="12"/>
        <v>88082.72248570346</v>
      </c>
      <c r="AS29" s="469">
        <f t="shared" si="13"/>
        <v>475807.90944099368</v>
      </c>
      <c r="AU29" s="614"/>
      <c r="AV29" s="614"/>
    </row>
    <row r="30" spans="2:48" s="458" customFormat="1" x14ac:dyDescent="0.2">
      <c r="B30" s="464" t="str">
        <f>Est2018DistRev!B30</f>
        <v>Low voltage medium KW 1 rate (mandatory)</v>
      </c>
      <c r="C30" s="579"/>
      <c r="D30" s="478">
        <v>0</v>
      </c>
      <c r="E30" s="473">
        <v>1.129</v>
      </c>
      <c r="F30" s="473">
        <v>1.129</v>
      </c>
      <c r="G30" s="473">
        <v>1.129</v>
      </c>
      <c r="H30" s="473">
        <v>1.129</v>
      </c>
      <c r="I30" s="473">
        <v>1.129</v>
      </c>
      <c r="J30" s="473">
        <v>1.129</v>
      </c>
      <c r="K30" s="473">
        <v>1.129</v>
      </c>
      <c r="L30" s="473">
        <v>1.129</v>
      </c>
      <c r="M30" s="473">
        <v>0</v>
      </c>
      <c r="N30" s="473">
        <v>0</v>
      </c>
      <c r="O30" s="473">
        <v>3.7850000000000001</v>
      </c>
      <c r="P30" s="596">
        <v>2.5230000000000001</v>
      </c>
      <c r="R30" s="583">
        <f>Est2018DistRev!R30</f>
        <v>2579907.6975799496</v>
      </c>
      <c r="S30" s="584">
        <f>Est2018DistRev!S30</f>
        <v>0</v>
      </c>
      <c r="T30" s="584">
        <f>Est2018DistRev!T30</f>
        <v>0</v>
      </c>
      <c r="U30" s="584">
        <f>Est2018DistRev!U30</f>
        <v>257764758.85220429</v>
      </c>
      <c r="V30" s="584">
        <f>Est2018DistRev!V30</f>
        <v>0</v>
      </c>
      <c r="W30" s="584">
        <f>Est2018DistRev!W30</f>
        <v>0</v>
      </c>
      <c r="X30" s="584">
        <f>Est2018DistRev!X30</f>
        <v>383778125.53597784</v>
      </c>
      <c r="Y30" s="584">
        <f>Est2018DistRev!Y30</f>
        <v>0</v>
      </c>
      <c r="Z30" s="584">
        <f>Est2018DistRev!Z30</f>
        <v>0</v>
      </c>
      <c r="AA30" s="584">
        <f>Est2018DistRev!AA30</f>
        <v>0</v>
      </c>
      <c r="AB30" s="584">
        <f>Est2018DistRev!AB30</f>
        <v>0</v>
      </c>
      <c r="AC30" s="584">
        <f>Est2018DistRev!AC30</f>
        <v>24833141.676567871</v>
      </c>
      <c r="AD30" s="585">
        <f>Est2018DistRev!AD30</f>
        <v>46272310.338532321</v>
      </c>
      <c r="AF30" s="556">
        <f t="shared" si="0"/>
        <v>0</v>
      </c>
      <c r="AG30" s="557">
        <f t="shared" si="1"/>
        <v>0</v>
      </c>
      <c r="AH30" s="557">
        <f t="shared" si="2"/>
        <v>0</v>
      </c>
      <c r="AI30" s="557">
        <f t="shared" si="3"/>
        <v>2910164.1274413862</v>
      </c>
      <c r="AJ30" s="557">
        <f t="shared" si="4"/>
        <v>0</v>
      </c>
      <c r="AK30" s="557">
        <f t="shared" si="5"/>
        <v>0</v>
      </c>
      <c r="AL30" s="557">
        <f t="shared" si="6"/>
        <v>4332855.0373011893</v>
      </c>
      <c r="AM30" s="557">
        <f t="shared" si="7"/>
        <v>0</v>
      </c>
      <c r="AN30" s="557">
        <f t="shared" si="8"/>
        <v>0</v>
      </c>
      <c r="AO30" s="557">
        <f t="shared" si="9"/>
        <v>0</v>
      </c>
      <c r="AP30" s="557">
        <f t="shared" si="10"/>
        <v>0</v>
      </c>
      <c r="AQ30" s="557">
        <f t="shared" si="11"/>
        <v>939934.41245809395</v>
      </c>
      <c r="AR30" s="557">
        <f t="shared" si="12"/>
        <v>1167450.3898411705</v>
      </c>
      <c r="AS30" s="469">
        <f t="shared" si="13"/>
        <v>9350403.9670418408</v>
      </c>
      <c r="AU30" s="614"/>
      <c r="AV30" s="614"/>
    </row>
    <row r="31" spans="2:48" s="458" customFormat="1" x14ac:dyDescent="0.2">
      <c r="B31" s="464"/>
      <c r="C31" s="579"/>
      <c r="D31" s="580"/>
      <c r="E31" s="581"/>
      <c r="F31" s="581"/>
      <c r="G31" s="581"/>
      <c r="H31" s="581"/>
      <c r="I31" s="581"/>
      <c r="J31" s="581"/>
      <c r="K31" s="581"/>
      <c r="L31" s="581"/>
      <c r="M31" s="581"/>
      <c r="N31" s="581"/>
      <c r="O31" s="581"/>
      <c r="P31" s="582"/>
      <c r="R31" s="583"/>
      <c r="S31" s="584"/>
      <c r="T31" s="584"/>
      <c r="U31" s="584"/>
      <c r="V31" s="584"/>
      <c r="W31" s="584"/>
      <c r="X31" s="584"/>
      <c r="Y31" s="584"/>
      <c r="Z31" s="584"/>
      <c r="AA31" s="584"/>
      <c r="AB31" s="584"/>
      <c r="AC31" s="584"/>
      <c r="AD31" s="585"/>
      <c r="AF31" s="556">
        <f t="shared" si="0"/>
        <v>0</v>
      </c>
      <c r="AG31" s="557">
        <f t="shared" si="1"/>
        <v>0</v>
      </c>
      <c r="AH31" s="557">
        <f t="shared" si="2"/>
        <v>0</v>
      </c>
      <c r="AI31" s="557">
        <f t="shared" si="3"/>
        <v>0</v>
      </c>
      <c r="AJ31" s="557">
        <f t="shared" si="4"/>
        <v>0</v>
      </c>
      <c r="AK31" s="557">
        <f t="shared" si="5"/>
        <v>0</v>
      </c>
      <c r="AL31" s="557">
        <f t="shared" si="6"/>
        <v>0</v>
      </c>
      <c r="AM31" s="557">
        <f t="shared" si="7"/>
        <v>0</v>
      </c>
      <c r="AN31" s="557">
        <f t="shared" si="8"/>
        <v>0</v>
      </c>
      <c r="AO31" s="557">
        <f t="shared" si="9"/>
        <v>0</v>
      </c>
      <c r="AP31" s="557">
        <f t="shared" si="10"/>
        <v>0</v>
      </c>
      <c r="AQ31" s="557">
        <f t="shared" si="11"/>
        <v>0</v>
      </c>
      <c r="AR31" s="557">
        <f t="shared" si="12"/>
        <v>0</v>
      </c>
      <c r="AS31" s="469">
        <f t="shared" si="13"/>
        <v>0</v>
      </c>
      <c r="AU31" s="614"/>
      <c r="AV31" s="614"/>
    </row>
    <row r="32" spans="2:48" s="458" customFormat="1" x14ac:dyDescent="0.2">
      <c r="B32" s="464"/>
      <c r="C32" s="579"/>
      <c r="D32" s="580"/>
      <c r="E32" s="581"/>
      <c r="F32" s="581"/>
      <c r="G32" s="581"/>
      <c r="H32" s="581"/>
      <c r="I32" s="581"/>
      <c r="J32" s="581"/>
      <c r="K32" s="581"/>
      <c r="L32" s="581"/>
      <c r="M32" s="581"/>
      <c r="N32" s="581"/>
      <c r="O32" s="581"/>
      <c r="P32" s="582"/>
      <c r="R32" s="583"/>
      <c r="S32" s="584"/>
      <c r="T32" s="584"/>
      <c r="U32" s="584"/>
      <c r="V32" s="584"/>
      <c r="W32" s="584"/>
      <c r="X32" s="584"/>
      <c r="Y32" s="584"/>
      <c r="Z32" s="584"/>
      <c r="AA32" s="584"/>
      <c r="AB32" s="584"/>
      <c r="AC32" s="584"/>
      <c r="AD32" s="585"/>
      <c r="AF32" s="556">
        <f t="shared" si="0"/>
        <v>0</v>
      </c>
      <c r="AG32" s="557">
        <f t="shared" si="1"/>
        <v>0</v>
      </c>
      <c r="AH32" s="557">
        <f t="shared" si="2"/>
        <v>0</v>
      </c>
      <c r="AI32" s="557">
        <f t="shared" si="3"/>
        <v>0</v>
      </c>
      <c r="AJ32" s="557">
        <f t="shared" si="4"/>
        <v>0</v>
      </c>
      <c r="AK32" s="557">
        <f t="shared" si="5"/>
        <v>0</v>
      </c>
      <c r="AL32" s="557">
        <f t="shared" si="6"/>
        <v>0</v>
      </c>
      <c r="AM32" s="557">
        <f t="shared" si="7"/>
        <v>0</v>
      </c>
      <c r="AN32" s="557">
        <f t="shared" si="8"/>
        <v>0</v>
      </c>
      <c r="AO32" s="557">
        <f t="shared" si="9"/>
        <v>0</v>
      </c>
      <c r="AP32" s="557">
        <f t="shared" si="10"/>
        <v>0</v>
      </c>
      <c r="AQ32" s="557">
        <f t="shared" si="11"/>
        <v>0</v>
      </c>
      <c r="AR32" s="557">
        <f t="shared" si="12"/>
        <v>0</v>
      </c>
      <c r="AS32" s="469">
        <f t="shared" si="13"/>
        <v>0</v>
      </c>
      <c r="AU32" s="614"/>
      <c r="AV32" s="614"/>
    </row>
    <row r="33" spans="2:48" s="458" customFormat="1" x14ac:dyDescent="0.2">
      <c r="B33" s="464"/>
      <c r="C33" s="579"/>
      <c r="D33" s="580"/>
      <c r="E33" s="581"/>
      <c r="F33" s="581"/>
      <c r="G33" s="581"/>
      <c r="H33" s="581"/>
      <c r="I33" s="581"/>
      <c r="J33" s="581"/>
      <c r="K33" s="581"/>
      <c r="L33" s="581"/>
      <c r="M33" s="581"/>
      <c r="N33" s="581"/>
      <c r="O33" s="581"/>
      <c r="P33" s="582"/>
      <c r="R33" s="583"/>
      <c r="S33" s="584"/>
      <c r="T33" s="584"/>
      <c r="U33" s="584"/>
      <c r="V33" s="584"/>
      <c r="W33" s="584"/>
      <c r="X33" s="584"/>
      <c r="Y33" s="584"/>
      <c r="Z33" s="584"/>
      <c r="AA33" s="584"/>
      <c r="AB33" s="584"/>
      <c r="AC33" s="584"/>
      <c r="AD33" s="585"/>
      <c r="AF33" s="556">
        <f t="shared" si="0"/>
        <v>0</v>
      </c>
      <c r="AG33" s="557">
        <f t="shared" si="1"/>
        <v>0</v>
      </c>
      <c r="AH33" s="557">
        <f t="shared" si="2"/>
        <v>0</v>
      </c>
      <c r="AI33" s="557">
        <f t="shared" si="3"/>
        <v>0</v>
      </c>
      <c r="AJ33" s="557">
        <f t="shared" si="4"/>
        <v>0</v>
      </c>
      <c r="AK33" s="557">
        <f t="shared" si="5"/>
        <v>0</v>
      </c>
      <c r="AL33" s="557">
        <f t="shared" si="6"/>
        <v>0</v>
      </c>
      <c r="AM33" s="557">
        <f t="shared" si="7"/>
        <v>0</v>
      </c>
      <c r="AN33" s="557">
        <f t="shared" si="8"/>
        <v>0</v>
      </c>
      <c r="AO33" s="557">
        <f t="shared" si="9"/>
        <v>0</v>
      </c>
      <c r="AP33" s="557">
        <f t="shared" si="10"/>
        <v>0</v>
      </c>
      <c r="AQ33" s="557">
        <f t="shared" si="11"/>
        <v>0</v>
      </c>
      <c r="AR33" s="557">
        <f t="shared" si="12"/>
        <v>0</v>
      </c>
      <c r="AS33" s="469">
        <f t="shared" si="13"/>
        <v>0</v>
      </c>
      <c r="AU33" s="614"/>
      <c r="AV33" s="614"/>
    </row>
    <row r="34" spans="2:48" s="458" customFormat="1" x14ac:dyDescent="0.2">
      <c r="B34" s="464"/>
      <c r="C34" s="579"/>
      <c r="D34" s="580"/>
      <c r="E34" s="581"/>
      <c r="F34" s="581"/>
      <c r="G34" s="581"/>
      <c r="H34" s="581"/>
      <c r="I34" s="581"/>
      <c r="J34" s="581"/>
      <c r="K34" s="581"/>
      <c r="L34" s="581"/>
      <c r="M34" s="581"/>
      <c r="N34" s="581"/>
      <c r="O34" s="581"/>
      <c r="P34" s="582"/>
      <c r="R34" s="583"/>
      <c r="S34" s="584"/>
      <c r="T34" s="584"/>
      <c r="U34" s="584"/>
      <c r="V34" s="584"/>
      <c r="W34" s="584"/>
      <c r="X34" s="584"/>
      <c r="Y34" s="584"/>
      <c r="Z34" s="584"/>
      <c r="AA34" s="584"/>
      <c r="AB34" s="584"/>
      <c r="AC34" s="584"/>
      <c r="AD34" s="585"/>
      <c r="AF34" s="556">
        <f t="shared" si="0"/>
        <v>0</v>
      </c>
      <c r="AG34" s="557">
        <f t="shared" si="1"/>
        <v>0</v>
      </c>
      <c r="AH34" s="557">
        <f t="shared" si="2"/>
        <v>0</v>
      </c>
      <c r="AI34" s="557">
        <f t="shared" si="3"/>
        <v>0</v>
      </c>
      <c r="AJ34" s="557">
        <f t="shared" si="4"/>
        <v>0</v>
      </c>
      <c r="AK34" s="557">
        <f t="shared" si="5"/>
        <v>0</v>
      </c>
      <c r="AL34" s="557">
        <f t="shared" si="6"/>
        <v>0</v>
      </c>
      <c r="AM34" s="557">
        <f t="shared" si="7"/>
        <v>0</v>
      </c>
      <c r="AN34" s="557">
        <f t="shared" si="8"/>
        <v>0</v>
      </c>
      <c r="AO34" s="557">
        <f t="shared" si="9"/>
        <v>0</v>
      </c>
      <c r="AP34" s="557">
        <f t="shared" si="10"/>
        <v>0</v>
      </c>
      <c r="AQ34" s="557">
        <f t="shared" si="11"/>
        <v>0</v>
      </c>
      <c r="AR34" s="557">
        <f t="shared" si="12"/>
        <v>0</v>
      </c>
      <c r="AS34" s="469">
        <f t="shared" si="13"/>
        <v>0</v>
      </c>
      <c r="AU34" s="614"/>
      <c r="AV34" s="614"/>
    </row>
    <row r="35" spans="2:48" s="458" customFormat="1" x14ac:dyDescent="0.2">
      <c r="B35" s="464"/>
      <c r="C35" s="579"/>
      <c r="D35" s="580"/>
      <c r="E35" s="581"/>
      <c r="F35" s="581"/>
      <c r="G35" s="581"/>
      <c r="H35" s="581"/>
      <c r="I35" s="581"/>
      <c r="J35" s="581"/>
      <c r="K35" s="581"/>
      <c r="L35" s="581"/>
      <c r="M35" s="581"/>
      <c r="N35" s="581"/>
      <c r="O35" s="581"/>
      <c r="P35" s="582"/>
      <c r="R35" s="583"/>
      <c r="S35" s="584"/>
      <c r="T35" s="584"/>
      <c r="U35" s="584"/>
      <c r="V35" s="584"/>
      <c r="W35" s="584"/>
      <c r="X35" s="584"/>
      <c r="Y35" s="584"/>
      <c r="Z35" s="584"/>
      <c r="AA35" s="584"/>
      <c r="AB35" s="584"/>
      <c r="AC35" s="584"/>
      <c r="AD35" s="585"/>
      <c r="AF35" s="556">
        <f t="shared" si="0"/>
        <v>0</v>
      </c>
      <c r="AG35" s="557">
        <f t="shared" si="1"/>
        <v>0</v>
      </c>
      <c r="AH35" s="557">
        <f t="shared" si="2"/>
        <v>0</v>
      </c>
      <c r="AI35" s="557">
        <f t="shared" si="3"/>
        <v>0</v>
      </c>
      <c r="AJ35" s="557">
        <f t="shared" si="4"/>
        <v>0</v>
      </c>
      <c r="AK35" s="557">
        <f t="shared" si="5"/>
        <v>0</v>
      </c>
      <c r="AL35" s="557">
        <f t="shared" si="6"/>
        <v>0</v>
      </c>
      <c r="AM35" s="557">
        <f t="shared" si="7"/>
        <v>0</v>
      </c>
      <c r="AN35" s="557">
        <f t="shared" si="8"/>
        <v>0</v>
      </c>
      <c r="AO35" s="557">
        <f t="shared" si="9"/>
        <v>0</v>
      </c>
      <c r="AP35" s="557">
        <f t="shared" si="10"/>
        <v>0</v>
      </c>
      <c r="AQ35" s="557">
        <f t="shared" si="11"/>
        <v>0</v>
      </c>
      <c r="AR35" s="557">
        <f t="shared" si="12"/>
        <v>0</v>
      </c>
      <c r="AS35" s="469">
        <f t="shared" si="13"/>
        <v>0</v>
      </c>
      <c r="AU35" s="614"/>
      <c r="AV35" s="614"/>
    </row>
    <row r="36" spans="2:48" s="458" customFormat="1" x14ac:dyDescent="0.2">
      <c r="B36" s="464"/>
      <c r="C36" s="579"/>
      <c r="D36" s="580"/>
      <c r="E36" s="581"/>
      <c r="F36" s="581"/>
      <c r="G36" s="581"/>
      <c r="H36" s="581"/>
      <c r="I36" s="581"/>
      <c r="J36" s="581"/>
      <c r="K36" s="581"/>
      <c r="L36" s="581"/>
      <c r="M36" s="581"/>
      <c r="N36" s="581"/>
      <c r="O36" s="581"/>
      <c r="P36" s="582"/>
      <c r="R36" s="583"/>
      <c r="S36" s="584"/>
      <c r="T36" s="584"/>
      <c r="U36" s="584"/>
      <c r="V36" s="584"/>
      <c r="W36" s="584"/>
      <c r="X36" s="584"/>
      <c r="Y36" s="584"/>
      <c r="Z36" s="584"/>
      <c r="AA36" s="584"/>
      <c r="AB36" s="584"/>
      <c r="AC36" s="584"/>
      <c r="AD36" s="585"/>
      <c r="AF36" s="556">
        <f t="shared" si="0"/>
        <v>0</v>
      </c>
      <c r="AG36" s="557">
        <f t="shared" si="1"/>
        <v>0</v>
      </c>
      <c r="AH36" s="557">
        <f t="shared" si="2"/>
        <v>0</v>
      </c>
      <c r="AI36" s="557">
        <f t="shared" si="3"/>
        <v>0</v>
      </c>
      <c r="AJ36" s="557">
        <f t="shared" si="4"/>
        <v>0</v>
      </c>
      <c r="AK36" s="557">
        <f t="shared" si="5"/>
        <v>0</v>
      </c>
      <c r="AL36" s="557">
        <f t="shared" si="6"/>
        <v>0</v>
      </c>
      <c r="AM36" s="557">
        <f t="shared" si="7"/>
        <v>0</v>
      </c>
      <c r="AN36" s="557">
        <f t="shared" si="8"/>
        <v>0</v>
      </c>
      <c r="AO36" s="557">
        <f t="shared" si="9"/>
        <v>0</v>
      </c>
      <c r="AP36" s="557">
        <f t="shared" si="10"/>
        <v>0</v>
      </c>
      <c r="AQ36" s="557">
        <f t="shared" si="11"/>
        <v>0</v>
      </c>
      <c r="AR36" s="557">
        <f t="shared" si="12"/>
        <v>0</v>
      </c>
      <c r="AS36" s="469">
        <f t="shared" si="13"/>
        <v>0</v>
      </c>
      <c r="AU36" s="614"/>
      <c r="AV36" s="614"/>
    </row>
    <row r="37" spans="2:48" s="458" customFormat="1" x14ac:dyDescent="0.2">
      <c r="B37" s="464"/>
      <c r="C37" s="579"/>
      <c r="D37" s="580"/>
      <c r="E37" s="581"/>
      <c r="F37" s="581"/>
      <c r="G37" s="581"/>
      <c r="H37" s="581"/>
      <c r="I37" s="581"/>
      <c r="J37" s="581"/>
      <c r="K37" s="581"/>
      <c r="L37" s="581"/>
      <c r="M37" s="581"/>
      <c r="N37" s="581"/>
      <c r="O37" s="581"/>
      <c r="P37" s="582"/>
      <c r="R37" s="583"/>
      <c r="S37" s="584"/>
      <c r="T37" s="584"/>
      <c r="U37" s="584"/>
      <c r="V37" s="584"/>
      <c r="W37" s="584"/>
      <c r="X37" s="584"/>
      <c r="Y37" s="584"/>
      <c r="Z37" s="584"/>
      <c r="AA37" s="584"/>
      <c r="AB37" s="584"/>
      <c r="AC37" s="584"/>
      <c r="AD37" s="585"/>
      <c r="AF37" s="556">
        <f t="shared" si="0"/>
        <v>0</v>
      </c>
      <c r="AG37" s="557">
        <f t="shared" si="1"/>
        <v>0</v>
      </c>
      <c r="AH37" s="557">
        <f t="shared" si="2"/>
        <v>0</v>
      </c>
      <c r="AI37" s="557">
        <f t="shared" si="3"/>
        <v>0</v>
      </c>
      <c r="AJ37" s="557">
        <f t="shared" si="4"/>
        <v>0</v>
      </c>
      <c r="AK37" s="557">
        <f t="shared" si="5"/>
        <v>0</v>
      </c>
      <c r="AL37" s="557">
        <f t="shared" si="6"/>
        <v>0</v>
      </c>
      <c r="AM37" s="557">
        <f t="shared" si="7"/>
        <v>0</v>
      </c>
      <c r="AN37" s="557">
        <f t="shared" si="8"/>
        <v>0</v>
      </c>
      <c r="AO37" s="557">
        <f t="shared" si="9"/>
        <v>0</v>
      </c>
      <c r="AP37" s="557">
        <f t="shared" si="10"/>
        <v>0</v>
      </c>
      <c r="AQ37" s="557">
        <f t="shared" si="11"/>
        <v>0</v>
      </c>
      <c r="AR37" s="557">
        <f t="shared" si="12"/>
        <v>0</v>
      </c>
      <c r="AS37" s="469">
        <f t="shared" si="13"/>
        <v>0</v>
      </c>
      <c r="AU37" s="614"/>
      <c r="AV37" s="614"/>
    </row>
    <row r="38" spans="2:48" s="458" customFormat="1" x14ac:dyDescent="0.2">
      <c r="B38" s="464"/>
      <c r="C38" s="579"/>
      <c r="D38" s="580"/>
      <c r="E38" s="581"/>
      <c r="F38" s="581"/>
      <c r="G38" s="581"/>
      <c r="H38" s="581"/>
      <c r="I38" s="581"/>
      <c r="J38" s="581"/>
      <c r="K38" s="581"/>
      <c r="L38" s="581"/>
      <c r="M38" s="581"/>
      <c r="N38" s="581"/>
      <c r="O38" s="581"/>
      <c r="P38" s="582"/>
      <c r="R38" s="583"/>
      <c r="S38" s="584"/>
      <c r="T38" s="584"/>
      <c r="U38" s="584"/>
      <c r="V38" s="584"/>
      <c r="W38" s="584"/>
      <c r="X38" s="584"/>
      <c r="Y38" s="584"/>
      <c r="Z38" s="584"/>
      <c r="AA38" s="584"/>
      <c r="AB38" s="584"/>
      <c r="AC38" s="584"/>
      <c r="AD38" s="585"/>
      <c r="AF38" s="556">
        <f t="shared" si="0"/>
        <v>0</v>
      </c>
      <c r="AG38" s="557">
        <f t="shared" si="1"/>
        <v>0</v>
      </c>
      <c r="AH38" s="557">
        <f t="shared" si="2"/>
        <v>0</v>
      </c>
      <c r="AI38" s="557">
        <f t="shared" si="3"/>
        <v>0</v>
      </c>
      <c r="AJ38" s="557">
        <f t="shared" si="4"/>
        <v>0</v>
      </c>
      <c r="AK38" s="557">
        <f t="shared" si="5"/>
        <v>0</v>
      </c>
      <c r="AL38" s="557">
        <f t="shared" si="6"/>
        <v>0</v>
      </c>
      <c r="AM38" s="557">
        <f t="shared" si="7"/>
        <v>0</v>
      </c>
      <c r="AN38" s="557">
        <f t="shared" si="8"/>
        <v>0</v>
      </c>
      <c r="AO38" s="557">
        <f t="shared" si="9"/>
        <v>0</v>
      </c>
      <c r="AP38" s="557">
        <f t="shared" si="10"/>
        <v>0</v>
      </c>
      <c r="AQ38" s="557">
        <f t="shared" si="11"/>
        <v>0</v>
      </c>
      <c r="AR38" s="557">
        <f t="shared" si="12"/>
        <v>0</v>
      </c>
      <c r="AS38" s="469">
        <f t="shared" si="13"/>
        <v>0</v>
      </c>
      <c r="AU38" s="614"/>
      <c r="AV38" s="614"/>
    </row>
    <row r="39" spans="2:48" s="458" customFormat="1" x14ac:dyDescent="0.2">
      <c r="B39" s="464"/>
      <c r="C39" s="579"/>
      <c r="D39" s="580"/>
      <c r="E39" s="581"/>
      <c r="F39" s="581"/>
      <c r="G39" s="581"/>
      <c r="H39" s="581"/>
      <c r="I39" s="581"/>
      <c r="J39" s="581"/>
      <c r="K39" s="581"/>
      <c r="L39" s="581"/>
      <c r="M39" s="581"/>
      <c r="N39" s="581"/>
      <c r="O39" s="581"/>
      <c r="P39" s="582"/>
      <c r="R39" s="583"/>
      <c r="S39" s="584"/>
      <c r="T39" s="584"/>
      <c r="U39" s="584"/>
      <c r="V39" s="584"/>
      <c r="W39" s="584"/>
      <c r="X39" s="584"/>
      <c r="Y39" s="584"/>
      <c r="Z39" s="584"/>
      <c r="AA39" s="584"/>
      <c r="AB39" s="584"/>
      <c r="AC39" s="584"/>
      <c r="AD39" s="585"/>
      <c r="AF39" s="556">
        <f t="shared" si="0"/>
        <v>0</v>
      </c>
      <c r="AG39" s="557">
        <f t="shared" si="1"/>
        <v>0</v>
      </c>
      <c r="AH39" s="557">
        <f t="shared" si="2"/>
        <v>0</v>
      </c>
      <c r="AI39" s="557">
        <f t="shared" si="3"/>
        <v>0</v>
      </c>
      <c r="AJ39" s="557">
        <f t="shared" si="4"/>
        <v>0</v>
      </c>
      <c r="AK39" s="557">
        <f t="shared" si="5"/>
        <v>0</v>
      </c>
      <c r="AL39" s="557">
        <f t="shared" si="6"/>
        <v>0</v>
      </c>
      <c r="AM39" s="557">
        <f t="shared" si="7"/>
        <v>0</v>
      </c>
      <c r="AN39" s="557">
        <f t="shared" si="8"/>
        <v>0</v>
      </c>
      <c r="AO39" s="557">
        <f t="shared" si="9"/>
        <v>0</v>
      </c>
      <c r="AP39" s="557">
        <f t="shared" si="10"/>
        <v>0</v>
      </c>
      <c r="AQ39" s="557">
        <f t="shared" si="11"/>
        <v>0</v>
      </c>
      <c r="AR39" s="557">
        <f t="shared" si="12"/>
        <v>0</v>
      </c>
      <c r="AS39" s="469">
        <f t="shared" si="13"/>
        <v>0</v>
      </c>
      <c r="AU39" s="614"/>
      <c r="AV39" s="614"/>
    </row>
    <row r="40" spans="2:48" s="458" customFormat="1" x14ac:dyDescent="0.2">
      <c r="B40" s="464"/>
      <c r="C40" s="579"/>
      <c r="D40" s="580"/>
      <c r="E40" s="581"/>
      <c r="F40" s="581"/>
      <c r="G40" s="581"/>
      <c r="H40" s="581"/>
      <c r="I40" s="581"/>
      <c r="J40" s="581"/>
      <c r="K40" s="581"/>
      <c r="L40" s="581"/>
      <c r="M40" s="581"/>
      <c r="N40" s="581"/>
      <c r="O40" s="581"/>
      <c r="P40" s="582"/>
      <c r="R40" s="583"/>
      <c r="S40" s="584"/>
      <c r="T40" s="584"/>
      <c r="U40" s="584"/>
      <c r="V40" s="584"/>
      <c r="W40" s="584"/>
      <c r="X40" s="584"/>
      <c r="Y40" s="584"/>
      <c r="Z40" s="584"/>
      <c r="AA40" s="584"/>
      <c r="AB40" s="584"/>
      <c r="AC40" s="584"/>
      <c r="AD40" s="585"/>
      <c r="AF40" s="556">
        <f t="shared" si="0"/>
        <v>0</v>
      </c>
      <c r="AG40" s="557">
        <f t="shared" si="1"/>
        <v>0</v>
      </c>
      <c r="AH40" s="557">
        <f t="shared" si="2"/>
        <v>0</v>
      </c>
      <c r="AI40" s="557">
        <f t="shared" si="3"/>
        <v>0</v>
      </c>
      <c r="AJ40" s="557">
        <f t="shared" si="4"/>
        <v>0</v>
      </c>
      <c r="AK40" s="557">
        <f t="shared" si="5"/>
        <v>0</v>
      </c>
      <c r="AL40" s="557">
        <f t="shared" si="6"/>
        <v>0</v>
      </c>
      <c r="AM40" s="557">
        <f t="shared" si="7"/>
        <v>0</v>
      </c>
      <c r="AN40" s="557">
        <f t="shared" si="8"/>
        <v>0</v>
      </c>
      <c r="AO40" s="557">
        <f t="shared" si="9"/>
        <v>0</v>
      </c>
      <c r="AP40" s="557">
        <f t="shared" si="10"/>
        <v>0</v>
      </c>
      <c r="AQ40" s="557">
        <f t="shared" si="11"/>
        <v>0</v>
      </c>
      <c r="AR40" s="557">
        <f t="shared" si="12"/>
        <v>0</v>
      </c>
      <c r="AS40" s="469">
        <f t="shared" si="13"/>
        <v>0</v>
      </c>
      <c r="AU40" s="614"/>
      <c r="AV40" s="614"/>
    </row>
    <row r="41" spans="2:48" s="458" customFormat="1" x14ac:dyDescent="0.2">
      <c r="B41" s="464"/>
      <c r="C41" s="579"/>
      <c r="D41" s="580"/>
      <c r="E41" s="581"/>
      <c r="F41" s="581"/>
      <c r="G41" s="581"/>
      <c r="H41" s="581"/>
      <c r="I41" s="581"/>
      <c r="J41" s="581"/>
      <c r="K41" s="581"/>
      <c r="L41" s="581"/>
      <c r="M41" s="581"/>
      <c r="N41" s="581"/>
      <c r="O41" s="581"/>
      <c r="P41" s="582"/>
      <c r="R41" s="583"/>
      <c r="S41" s="584"/>
      <c r="T41" s="584"/>
      <c r="U41" s="584"/>
      <c r="V41" s="584"/>
      <c r="W41" s="584"/>
      <c r="X41" s="584"/>
      <c r="Y41" s="584"/>
      <c r="Z41" s="584"/>
      <c r="AA41" s="584"/>
      <c r="AB41" s="584"/>
      <c r="AC41" s="584"/>
      <c r="AD41" s="585"/>
      <c r="AF41" s="556">
        <f t="shared" si="0"/>
        <v>0</v>
      </c>
      <c r="AG41" s="557">
        <f t="shared" si="1"/>
        <v>0</v>
      </c>
      <c r="AH41" s="557">
        <f t="shared" si="2"/>
        <v>0</v>
      </c>
      <c r="AI41" s="557">
        <f t="shared" si="3"/>
        <v>0</v>
      </c>
      <c r="AJ41" s="557">
        <f t="shared" si="4"/>
        <v>0</v>
      </c>
      <c r="AK41" s="557">
        <f t="shared" si="5"/>
        <v>0</v>
      </c>
      <c r="AL41" s="557">
        <f t="shared" si="6"/>
        <v>0</v>
      </c>
      <c r="AM41" s="557">
        <f t="shared" si="7"/>
        <v>0</v>
      </c>
      <c r="AN41" s="557">
        <f t="shared" si="8"/>
        <v>0</v>
      </c>
      <c r="AO41" s="557">
        <f t="shared" si="9"/>
        <v>0</v>
      </c>
      <c r="AP41" s="557">
        <f t="shared" si="10"/>
        <v>0</v>
      </c>
      <c r="AQ41" s="557">
        <f t="shared" si="11"/>
        <v>0</v>
      </c>
      <c r="AR41" s="557">
        <f t="shared" si="12"/>
        <v>0</v>
      </c>
      <c r="AS41" s="469">
        <f t="shared" si="13"/>
        <v>0</v>
      </c>
      <c r="AU41" s="614"/>
      <c r="AV41" s="614"/>
    </row>
    <row r="42" spans="2:48" s="458" customFormat="1" x14ac:dyDescent="0.2">
      <c r="B42" s="464"/>
      <c r="C42" s="579"/>
      <c r="D42" s="580"/>
      <c r="E42" s="581"/>
      <c r="F42" s="581"/>
      <c r="G42" s="581"/>
      <c r="H42" s="581"/>
      <c r="I42" s="581"/>
      <c r="J42" s="581"/>
      <c r="K42" s="581"/>
      <c r="L42" s="581"/>
      <c r="M42" s="581"/>
      <c r="N42" s="581"/>
      <c r="O42" s="581"/>
      <c r="P42" s="582"/>
      <c r="R42" s="583"/>
      <c r="S42" s="584"/>
      <c r="T42" s="584"/>
      <c r="U42" s="584"/>
      <c r="V42" s="584"/>
      <c r="W42" s="584"/>
      <c r="X42" s="584"/>
      <c r="Y42" s="584"/>
      <c r="Z42" s="584"/>
      <c r="AA42" s="584"/>
      <c r="AB42" s="584"/>
      <c r="AC42" s="584"/>
      <c r="AD42" s="585"/>
      <c r="AF42" s="556">
        <f t="shared" si="0"/>
        <v>0</v>
      </c>
      <c r="AG42" s="557">
        <f t="shared" si="1"/>
        <v>0</v>
      </c>
      <c r="AH42" s="557">
        <f t="shared" si="2"/>
        <v>0</v>
      </c>
      <c r="AI42" s="557">
        <f t="shared" si="3"/>
        <v>0</v>
      </c>
      <c r="AJ42" s="557">
        <f t="shared" si="4"/>
        <v>0</v>
      </c>
      <c r="AK42" s="557">
        <f t="shared" si="5"/>
        <v>0</v>
      </c>
      <c r="AL42" s="557">
        <f t="shared" si="6"/>
        <v>0</v>
      </c>
      <c r="AM42" s="557">
        <f t="shared" si="7"/>
        <v>0</v>
      </c>
      <c r="AN42" s="557">
        <f t="shared" si="8"/>
        <v>0</v>
      </c>
      <c r="AO42" s="557">
        <f t="shared" si="9"/>
        <v>0</v>
      </c>
      <c r="AP42" s="557">
        <f t="shared" si="10"/>
        <v>0</v>
      </c>
      <c r="AQ42" s="557">
        <f t="shared" si="11"/>
        <v>0</v>
      </c>
      <c r="AR42" s="557">
        <f t="shared" si="12"/>
        <v>0</v>
      </c>
      <c r="AS42" s="469">
        <f t="shared" si="13"/>
        <v>0</v>
      </c>
      <c r="AU42" s="614"/>
      <c r="AV42" s="614"/>
    </row>
    <row r="43" spans="2:48" s="458" customFormat="1" x14ac:dyDescent="0.2">
      <c r="B43" s="464"/>
      <c r="C43" s="579"/>
      <c r="D43" s="580"/>
      <c r="E43" s="581"/>
      <c r="F43" s="581"/>
      <c r="G43" s="581"/>
      <c r="H43" s="581"/>
      <c r="I43" s="581"/>
      <c r="J43" s="581"/>
      <c r="K43" s="581"/>
      <c r="L43" s="581"/>
      <c r="M43" s="581"/>
      <c r="N43" s="581"/>
      <c r="O43" s="581"/>
      <c r="P43" s="582"/>
      <c r="R43" s="583"/>
      <c r="S43" s="584"/>
      <c r="T43" s="584"/>
      <c r="U43" s="584"/>
      <c r="V43" s="584"/>
      <c r="W43" s="584"/>
      <c r="X43" s="584"/>
      <c r="Y43" s="584"/>
      <c r="Z43" s="584"/>
      <c r="AA43" s="584"/>
      <c r="AB43" s="584"/>
      <c r="AC43" s="584"/>
      <c r="AD43" s="585"/>
      <c r="AF43" s="556">
        <f t="shared" si="0"/>
        <v>0</v>
      </c>
      <c r="AG43" s="557">
        <f t="shared" si="1"/>
        <v>0</v>
      </c>
      <c r="AH43" s="557">
        <f t="shared" si="2"/>
        <v>0</v>
      </c>
      <c r="AI43" s="557">
        <f t="shared" si="3"/>
        <v>0</v>
      </c>
      <c r="AJ43" s="557">
        <f t="shared" si="4"/>
        <v>0</v>
      </c>
      <c r="AK43" s="557">
        <f t="shared" si="5"/>
        <v>0</v>
      </c>
      <c r="AL43" s="557">
        <f t="shared" si="6"/>
        <v>0</v>
      </c>
      <c r="AM43" s="557">
        <f t="shared" si="7"/>
        <v>0</v>
      </c>
      <c r="AN43" s="557">
        <f t="shared" si="8"/>
        <v>0</v>
      </c>
      <c r="AO43" s="557">
        <f t="shared" si="9"/>
        <v>0</v>
      </c>
      <c r="AP43" s="557">
        <f t="shared" si="10"/>
        <v>0</v>
      </c>
      <c r="AQ43" s="557">
        <f t="shared" si="11"/>
        <v>0</v>
      </c>
      <c r="AR43" s="557">
        <f t="shared" si="12"/>
        <v>0</v>
      </c>
      <c r="AS43" s="469">
        <f t="shared" si="13"/>
        <v>0</v>
      </c>
      <c r="AU43" s="614"/>
      <c r="AV43" s="614"/>
    </row>
    <row r="44" spans="2:48" s="458" customFormat="1" x14ac:dyDescent="0.2">
      <c r="B44" s="464"/>
      <c r="C44" s="579"/>
      <c r="D44" s="580"/>
      <c r="E44" s="581"/>
      <c r="F44" s="581"/>
      <c r="G44" s="581"/>
      <c r="H44" s="581"/>
      <c r="I44" s="581"/>
      <c r="J44" s="581"/>
      <c r="K44" s="581"/>
      <c r="L44" s="581"/>
      <c r="M44" s="581"/>
      <c r="N44" s="581"/>
      <c r="O44" s="581"/>
      <c r="P44" s="582"/>
      <c r="R44" s="583"/>
      <c r="S44" s="584"/>
      <c r="T44" s="584"/>
      <c r="U44" s="584"/>
      <c r="V44" s="584"/>
      <c r="W44" s="584"/>
      <c r="X44" s="584"/>
      <c r="Y44" s="584"/>
      <c r="Z44" s="584"/>
      <c r="AA44" s="584"/>
      <c r="AB44" s="584"/>
      <c r="AC44" s="584"/>
      <c r="AD44" s="585"/>
      <c r="AF44" s="556">
        <f t="shared" si="0"/>
        <v>0</v>
      </c>
      <c r="AG44" s="557">
        <f t="shared" si="1"/>
        <v>0</v>
      </c>
      <c r="AH44" s="557">
        <f t="shared" si="2"/>
        <v>0</v>
      </c>
      <c r="AI44" s="557">
        <f t="shared" si="3"/>
        <v>0</v>
      </c>
      <c r="AJ44" s="557">
        <f t="shared" si="4"/>
        <v>0</v>
      </c>
      <c r="AK44" s="557">
        <f t="shared" si="5"/>
        <v>0</v>
      </c>
      <c r="AL44" s="557">
        <f t="shared" si="6"/>
        <v>0</v>
      </c>
      <c r="AM44" s="557">
        <f t="shared" si="7"/>
        <v>0</v>
      </c>
      <c r="AN44" s="557">
        <f t="shared" si="8"/>
        <v>0</v>
      </c>
      <c r="AO44" s="557">
        <f t="shared" si="9"/>
        <v>0</v>
      </c>
      <c r="AP44" s="557">
        <f t="shared" si="10"/>
        <v>0</v>
      </c>
      <c r="AQ44" s="557">
        <f t="shared" si="11"/>
        <v>0</v>
      </c>
      <c r="AR44" s="557">
        <f t="shared" si="12"/>
        <v>0</v>
      </c>
      <c r="AS44" s="469">
        <f t="shared" si="13"/>
        <v>0</v>
      </c>
      <c r="AU44" s="614"/>
      <c r="AV44" s="614"/>
    </row>
    <row r="45" spans="2:48" s="458" customFormat="1" x14ac:dyDescent="0.2">
      <c r="B45" s="464"/>
      <c r="C45" s="579"/>
      <c r="D45" s="580"/>
      <c r="E45" s="581"/>
      <c r="F45" s="581"/>
      <c r="G45" s="581"/>
      <c r="H45" s="581"/>
      <c r="I45" s="581"/>
      <c r="J45" s="581"/>
      <c r="K45" s="581"/>
      <c r="L45" s="581"/>
      <c r="M45" s="581"/>
      <c r="N45" s="581"/>
      <c r="O45" s="581"/>
      <c r="P45" s="582"/>
      <c r="R45" s="583"/>
      <c r="S45" s="584"/>
      <c r="T45" s="584"/>
      <c r="U45" s="584"/>
      <c r="V45" s="584"/>
      <c r="W45" s="584"/>
      <c r="X45" s="584"/>
      <c r="Y45" s="584"/>
      <c r="Z45" s="584"/>
      <c r="AA45" s="584"/>
      <c r="AB45" s="584"/>
      <c r="AC45" s="584"/>
      <c r="AD45" s="585"/>
      <c r="AF45" s="556">
        <f t="shared" si="0"/>
        <v>0</v>
      </c>
      <c r="AG45" s="557">
        <f t="shared" si="1"/>
        <v>0</v>
      </c>
      <c r="AH45" s="557">
        <f t="shared" si="2"/>
        <v>0</v>
      </c>
      <c r="AI45" s="557">
        <f t="shared" si="3"/>
        <v>0</v>
      </c>
      <c r="AJ45" s="557">
        <f t="shared" si="4"/>
        <v>0</v>
      </c>
      <c r="AK45" s="557">
        <f t="shared" si="5"/>
        <v>0</v>
      </c>
      <c r="AL45" s="557">
        <f t="shared" si="6"/>
        <v>0</v>
      </c>
      <c r="AM45" s="557">
        <f t="shared" si="7"/>
        <v>0</v>
      </c>
      <c r="AN45" s="557">
        <f t="shared" si="8"/>
        <v>0</v>
      </c>
      <c r="AO45" s="557">
        <f t="shared" si="9"/>
        <v>0</v>
      </c>
      <c r="AP45" s="557">
        <f t="shared" si="10"/>
        <v>0</v>
      </c>
      <c r="AQ45" s="557">
        <f t="shared" si="11"/>
        <v>0</v>
      </c>
      <c r="AR45" s="557">
        <f t="shared" si="12"/>
        <v>0</v>
      </c>
      <c r="AS45" s="469">
        <f t="shared" si="13"/>
        <v>0</v>
      </c>
      <c r="AU45" s="614"/>
      <c r="AV45" s="614"/>
    </row>
    <row r="46" spans="2:48" s="458" customFormat="1" x14ac:dyDescent="0.2">
      <c r="B46" s="464"/>
      <c r="C46" s="579"/>
      <c r="D46" s="580"/>
      <c r="E46" s="581"/>
      <c r="F46" s="581"/>
      <c r="G46" s="581"/>
      <c r="H46" s="581"/>
      <c r="I46" s="581"/>
      <c r="J46" s="581"/>
      <c r="K46" s="581"/>
      <c r="L46" s="581"/>
      <c r="M46" s="581"/>
      <c r="N46" s="581"/>
      <c r="O46" s="581"/>
      <c r="P46" s="582"/>
      <c r="R46" s="583"/>
      <c r="S46" s="584"/>
      <c r="T46" s="584"/>
      <c r="U46" s="584"/>
      <c r="V46" s="584"/>
      <c r="W46" s="584"/>
      <c r="X46" s="584"/>
      <c r="Y46" s="584"/>
      <c r="Z46" s="584"/>
      <c r="AA46" s="584"/>
      <c r="AB46" s="584"/>
      <c r="AC46" s="584"/>
      <c r="AD46" s="585"/>
      <c r="AF46" s="556">
        <f t="shared" si="0"/>
        <v>0</v>
      </c>
      <c r="AG46" s="557">
        <f t="shared" si="1"/>
        <v>0</v>
      </c>
      <c r="AH46" s="557">
        <f t="shared" si="2"/>
        <v>0</v>
      </c>
      <c r="AI46" s="557">
        <f t="shared" si="3"/>
        <v>0</v>
      </c>
      <c r="AJ46" s="557">
        <f t="shared" si="4"/>
        <v>0</v>
      </c>
      <c r="AK46" s="557">
        <f t="shared" si="5"/>
        <v>0</v>
      </c>
      <c r="AL46" s="557">
        <f t="shared" si="6"/>
        <v>0</v>
      </c>
      <c r="AM46" s="557">
        <f t="shared" si="7"/>
        <v>0</v>
      </c>
      <c r="AN46" s="557">
        <f t="shared" si="8"/>
        <v>0</v>
      </c>
      <c r="AO46" s="557">
        <f t="shared" si="9"/>
        <v>0</v>
      </c>
      <c r="AP46" s="557">
        <f t="shared" si="10"/>
        <v>0</v>
      </c>
      <c r="AQ46" s="557">
        <f t="shared" si="11"/>
        <v>0</v>
      </c>
      <c r="AR46" s="557">
        <f t="shared" si="12"/>
        <v>0</v>
      </c>
      <c r="AS46" s="469">
        <f t="shared" si="13"/>
        <v>0</v>
      </c>
      <c r="AU46" s="614"/>
      <c r="AV46" s="614"/>
    </row>
    <row r="47" spans="2:48" s="458" customFormat="1" x14ac:dyDescent="0.2">
      <c r="B47" s="464"/>
      <c r="C47" s="579"/>
      <c r="D47" s="586"/>
      <c r="E47" s="587"/>
      <c r="F47" s="587"/>
      <c r="G47" s="587"/>
      <c r="H47" s="587"/>
      <c r="I47" s="587"/>
      <c r="J47" s="587"/>
      <c r="K47" s="587"/>
      <c r="L47" s="587"/>
      <c r="M47" s="587"/>
      <c r="N47" s="587"/>
      <c r="O47" s="587"/>
      <c r="P47" s="588"/>
      <c r="R47" s="583"/>
      <c r="S47" s="584"/>
      <c r="T47" s="584"/>
      <c r="U47" s="584"/>
      <c r="V47" s="584"/>
      <c r="W47" s="584"/>
      <c r="X47" s="584"/>
      <c r="Y47" s="584"/>
      <c r="Z47" s="584"/>
      <c r="AA47" s="584"/>
      <c r="AB47" s="584"/>
      <c r="AC47" s="584"/>
      <c r="AD47" s="585"/>
      <c r="AF47" s="556">
        <f t="shared" si="0"/>
        <v>0</v>
      </c>
      <c r="AG47" s="557">
        <f t="shared" si="1"/>
        <v>0</v>
      </c>
      <c r="AH47" s="557">
        <f t="shared" si="2"/>
        <v>0</v>
      </c>
      <c r="AI47" s="557">
        <f t="shared" si="3"/>
        <v>0</v>
      </c>
      <c r="AJ47" s="557">
        <f t="shared" si="4"/>
        <v>0</v>
      </c>
      <c r="AK47" s="557">
        <f t="shared" si="5"/>
        <v>0</v>
      </c>
      <c r="AL47" s="557">
        <f t="shared" si="6"/>
        <v>0</v>
      </c>
      <c r="AM47" s="557">
        <f t="shared" si="7"/>
        <v>0</v>
      </c>
      <c r="AN47" s="557">
        <f t="shared" si="8"/>
        <v>0</v>
      </c>
      <c r="AO47" s="557">
        <f t="shared" si="9"/>
        <v>0</v>
      </c>
      <c r="AP47" s="557">
        <f t="shared" si="10"/>
        <v>0</v>
      </c>
      <c r="AQ47" s="557">
        <f t="shared" si="11"/>
        <v>0</v>
      </c>
      <c r="AR47" s="557">
        <f t="shared" si="12"/>
        <v>0</v>
      </c>
      <c r="AS47" s="469">
        <f t="shared" si="13"/>
        <v>0</v>
      </c>
      <c r="AU47" s="614"/>
      <c r="AV47" s="614"/>
    </row>
    <row r="48" spans="2:48" s="458" customFormat="1" x14ac:dyDescent="0.2">
      <c r="B48" s="464"/>
      <c r="C48" s="579"/>
      <c r="D48" s="586"/>
      <c r="E48" s="587"/>
      <c r="F48" s="587"/>
      <c r="G48" s="587"/>
      <c r="H48" s="587"/>
      <c r="I48" s="587"/>
      <c r="J48" s="587"/>
      <c r="K48" s="587"/>
      <c r="L48" s="587"/>
      <c r="M48" s="587"/>
      <c r="N48" s="587"/>
      <c r="O48" s="587"/>
      <c r="P48" s="588"/>
      <c r="R48" s="583"/>
      <c r="S48" s="584"/>
      <c r="T48" s="584"/>
      <c r="U48" s="584"/>
      <c r="V48" s="584"/>
      <c r="W48" s="584"/>
      <c r="X48" s="584"/>
      <c r="Y48" s="584"/>
      <c r="Z48" s="584"/>
      <c r="AA48" s="584"/>
      <c r="AB48" s="584"/>
      <c r="AC48" s="584"/>
      <c r="AD48" s="585"/>
      <c r="AF48" s="556">
        <f t="shared" si="0"/>
        <v>0</v>
      </c>
      <c r="AG48" s="557">
        <f t="shared" si="1"/>
        <v>0</v>
      </c>
      <c r="AH48" s="557">
        <f t="shared" si="2"/>
        <v>0</v>
      </c>
      <c r="AI48" s="557">
        <f t="shared" si="3"/>
        <v>0</v>
      </c>
      <c r="AJ48" s="557">
        <f t="shared" si="4"/>
        <v>0</v>
      </c>
      <c r="AK48" s="557">
        <f t="shared" si="5"/>
        <v>0</v>
      </c>
      <c r="AL48" s="557">
        <f t="shared" si="6"/>
        <v>0</v>
      </c>
      <c r="AM48" s="557">
        <f t="shared" si="7"/>
        <v>0</v>
      </c>
      <c r="AN48" s="557">
        <f t="shared" si="8"/>
        <v>0</v>
      </c>
      <c r="AO48" s="557">
        <f t="shared" si="9"/>
        <v>0</v>
      </c>
      <c r="AP48" s="557">
        <f t="shared" si="10"/>
        <v>0</v>
      </c>
      <c r="AQ48" s="557">
        <f t="shared" si="11"/>
        <v>0</v>
      </c>
      <c r="AR48" s="557">
        <f t="shared" si="12"/>
        <v>0</v>
      </c>
      <c r="AS48" s="469">
        <f t="shared" si="13"/>
        <v>0</v>
      </c>
      <c r="AU48" s="614"/>
      <c r="AV48" s="614"/>
    </row>
    <row r="49" spans="2:48" s="458" customFormat="1" x14ac:dyDescent="0.2">
      <c r="B49" s="464"/>
      <c r="C49" s="579"/>
      <c r="D49" s="586"/>
      <c r="E49" s="587"/>
      <c r="F49" s="587"/>
      <c r="G49" s="587"/>
      <c r="H49" s="587"/>
      <c r="I49" s="587"/>
      <c r="J49" s="587"/>
      <c r="K49" s="587"/>
      <c r="L49" s="587"/>
      <c r="M49" s="587"/>
      <c r="N49" s="587"/>
      <c r="O49" s="587"/>
      <c r="P49" s="588"/>
      <c r="R49" s="583"/>
      <c r="S49" s="584"/>
      <c r="T49" s="584"/>
      <c r="U49" s="584"/>
      <c r="V49" s="584"/>
      <c r="W49" s="584"/>
      <c r="X49" s="584"/>
      <c r="Y49" s="584"/>
      <c r="Z49" s="584"/>
      <c r="AA49" s="584"/>
      <c r="AB49" s="584"/>
      <c r="AC49" s="584"/>
      <c r="AD49" s="585"/>
      <c r="AF49" s="556">
        <f t="shared" si="0"/>
        <v>0</v>
      </c>
      <c r="AG49" s="557">
        <f t="shared" si="1"/>
        <v>0</v>
      </c>
      <c r="AH49" s="557">
        <f t="shared" si="2"/>
        <v>0</v>
      </c>
      <c r="AI49" s="557">
        <f t="shared" si="3"/>
        <v>0</v>
      </c>
      <c r="AJ49" s="557">
        <f t="shared" si="4"/>
        <v>0</v>
      </c>
      <c r="AK49" s="557">
        <f t="shared" si="5"/>
        <v>0</v>
      </c>
      <c r="AL49" s="557">
        <f t="shared" si="6"/>
        <v>0</v>
      </c>
      <c r="AM49" s="557">
        <f t="shared" si="7"/>
        <v>0</v>
      </c>
      <c r="AN49" s="557">
        <f t="shared" si="8"/>
        <v>0</v>
      </c>
      <c r="AO49" s="557">
        <f t="shared" si="9"/>
        <v>0</v>
      </c>
      <c r="AP49" s="557">
        <f t="shared" si="10"/>
        <v>0</v>
      </c>
      <c r="AQ49" s="557">
        <f t="shared" si="11"/>
        <v>0</v>
      </c>
      <c r="AR49" s="557">
        <f t="shared" si="12"/>
        <v>0</v>
      </c>
      <c r="AS49" s="469">
        <f t="shared" si="13"/>
        <v>0</v>
      </c>
      <c r="AU49" s="614"/>
      <c r="AV49" s="614"/>
    </row>
    <row r="50" spans="2:48" s="458" customFormat="1" x14ac:dyDescent="0.2">
      <c r="B50" s="464"/>
      <c r="C50" s="579"/>
      <c r="D50" s="586"/>
      <c r="E50" s="587"/>
      <c r="F50" s="587"/>
      <c r="G50" s="587"/>
      <c r="H50" s="587"/>
      <c r="I50" s="587"/>
      <c r="J50" s="587"/>
      <c r="K50" s="587"/>
      <c r="L50" s="587"/>
      <c r="M50" s="587"/>
      <c r="N50" s="587"/>
      <c r="O50" s="587"/>
      <c r="P50" s="588"/>
      <c r="R50" s="583"/>
      <c r="S50" s="584"/>
      <c r="T50" s="584"/>
      <c r="U50" s="584"/>
      <c r="V50" s="584"/>
      <c r="W50" s="584"/>
      <c r="X50" s="584"/>
      <c r="Y50" s="584"/>
      <c r="Z50" s="584"/>
      <c r="AA50" s="584"/>
      <c r="AB50" s="584"/>
      <c r="AC50" s="584"/>
      <c r="AD50" s="585"/>
      <c r="AF50" s="556">
        <f t="shared" si="0"/>
        <v>0</v>
      </c>
      <c r="AG50" s="557">
        <f t="shared" si="1"/>
        <v>0</v>
      </c>
      <c r="AH50" s="557">
        <f t="shared" si="2"/>
        <v>0</v>
      </c>
      <c r="AI50" s="557">
        <f t="shared" si="3"/>
        <v>0</v>
      </c>
      <c r="AJ50" s="557">
        <f t="shared" si="4"/>
        <v>0</v>
      </c>
      <c r="AK50" s="557">
        <f t="shared" si="5"/>
        <v>0</v>
      </c>
      <c r="AL50" s="557">
        <f t="shared" si="6"/>
        <v>0</v>
      </c>
      <c r="AM50" s="557">
        <f t="shared" si="7"/>
        <v>0</v>
      </c>
      <c r="AN50" s="557">
        <f t="shared" si="8"/>
        <v>0</v>
      </c>
      <c r="AO50" s="557">
        <f t="shared" si="9"/>
        <v>0</v>
      </c>
      <c r="AP50" s="557">
        <f t="shared" si="10"/>
        <v>0</v>
      </c>
      <c r="AQ50" s="557">
        <f t="shared" si="11"/>
        <v>0</v>
      </c>
      <c r="AR50" s="557">
        <f t="shared" si="12"/>
        <v>0</v>
      </c>
      <c r="AS50" s="469">
        <f t="shared" si="13"/>
        <v>0</v>
      </c>
      <c r="AU50" s="614"/>
      <c r="AV50" s="614"/>
    </row>
    <row r="51" spans="2:48" s="458" customFormat="1" x14ac:dyDescent="0.2">
      <c r="B51" s="464"/>
      <c r="C51" s="579"/>
      <c r="D51" s="586"/>
      <c r="E51" s="587"/>
      <c r="F51" s="587"/>
      <c r="G51" s="587"/>
      <c r="H51" s="587"/>
      <c r="I51" s="587"/>
      <c r="J51" s="587"/>
      <c r="K51" s="587"/>
      <c r="L51" s="587"/>
      <c r="M51" s="587"/>
      <c r="N51" s="587"/>
      <c r="O51" s="587"/>
      <c r="P51" s="588"/>
      <c r="R51" s="583"/>
      <c r="S51" s="584"/>
      <c r="T51" s="584"/>
      <c r="U51" s="584"/>
      <c r="V51" s="584"/>
      <c r="W51" s="584"/>
      <c r="X51" s="584"/>
      <c r="Y51" s="584"/>
      <c r="Z51" s="584"/>
      <c r="AA51" s="584"/>
      <c r="AB51" s="584"/>
      <c r="AC51" s="584"/>
      <c r="AD51" s="585"/>
      <c r="AF51" s="556">
        <f t="shared" si="0"/>
        <v>0</v>
      </c>
      <c r="AG51" s="557">
        <f t="shared" si="1"/>
        <v>0</v>
      </c>
      <c r="AH51" s="557">
        <f t="shared" si="2"/>
        <v>0</v>
      </c>
      <c r="AI51" s="557">
        <f t="shared" si="3"/>
        <v>0</v>
      </c>
      <c r="AJ51" s="557">
        <f t="shared" si="4"/>
        <v>0</v>
      </c>
      <c r="AK51" s="557">
        <f t="shared" si="5"/>
        <v>0</v>
      </c>
      <c r="AL51" s="557">
        <f t="shared" si="6"/>
        <v>0</v>
      </c>
      <c r="AM51" s="557">
        <f t="shared" si="7"/>
        <v>0</v>
      </c>
      <c r="AN51" s="557">
        <f t="shared" si="8"/>
        <v>0</v>
      </c>
      <c r="AO51" s="557">
        <f t="shared" si="9"/>
        <v>0</v>
      </c>
      <c r="AP51" s="557">
        <f t="shared" si="10"/>
        <v>0</v>
      </c>
      <c r="AQ51" s="557">
        <f t="shared" si="11"/>
        <v>0</v>
      </c>
      <c r="AR51" s="557">
        <f t="shared" si="12"/>
        <v>0</v>
      </c>
      <c r="AS51" s="469">
        <f t="shared" si="13"/>
        <v>0</v>
      </c>
      <c r="AU51" s="614"/>
      <c r="AV51" s="614"/>
    </row>
    <row r="52" spans="2:48" s="458" customFormat="1" x14ac:dyDescent="0.2">
      <c r="B52" s="464"/>
      <c r="C52" s="579"/>
      <c r="D52" s="586"/>
      <c r="E52" s="587"/>
      <c r="F52" s="587"/>
      <c r="G52" s="587"/>
      <c r="H52" s="587"/>
      <c r="I52" s="587"/>
      <c r="J52" s="587"/>
      <c r="K52" s="587"/>
      <c r="L52" s="587"/>
      <c r="M52" s="587"/>
      <c r="N52" s="587"/>
      <c r="O52" s="587"/>
      <c r="P52" s="588"/>
      <c r="R52" s="583"/>
      <c r="S52" s="584"/>
      <c r="T52" s="584"/>
      <c r="U52" s="584"/>
      <c r="V52" s="584"/>
      <c r="W52" s="584"/>
      <c r="X52" s="584"/>
      <c r="Y52" s="584"/>
      <c r="Z52" s="584"/>
      <c r="AA52" s="584"/>
      <c r="AB52" s="584"/>
      <c r="AC52" s="584"/>
      <c r="AD52" s="585"/>
      <c r="AF52" s="556">
        <f t="shared" si="0"/>
        <v>0</v>
      </c>
      <c r="AG52" s="557">
        <f t="shared" si="1"/>
        <v>0</v>
      </c>
      <c r="AH52" s="557">
        <f t="shared" si="2"/>
        <v>0</v>
      </c>
      <c r="AI52" s="557">
        <f t="shared" si="3"/>
        <v>0</v>
      </c>
      <c r="AJ52" s="557">
        <f t="shared" si="4"/>
        <v>0</v>
      </c>
      <c r="AK52" s="557">
        <f t="shared" si="5"/>
        <v>0</v>
      </c>
      <c r="AL52" s="557">
        <f t="shared" si="6"/>
        <v>0</v>
      </c>
      <c r="AM52" s="557">
        <f t="shared" si="7"/>
        <v>0</v>
      </c>
      <c r="AN52" s="557">
        <f t="shared" si="8"/>
        <v>0</v>
      </c>
      <c r="AO52" s="557">
        <f t="shared" si="9"/>
        <v>0</v>
      </c>
      <c r="AP52" s="557">
        <f t="shared" si="10"/>
        <v>0</v>
      </c>
      <c r="AQ52" s="557">
        <f t="shared" si="11"/>
        <v>0</v>
      </c>
      <c r="AR52" s="557">
        <f t="shared" si="12"/>
        <v>0</v>
      </c>
      <c r="AS52" s="469">
        <f t="shared" si="13"/>
        <v>0</v>
      </c>
      <c r="AU52" s="614"/>
      <c r="AV52" s="614"/>
    </row>
    <row r="53" spans="2:48" s="458" customFormat="1" x14ac:dyDescent="0.2">
      <c r="B53" s="464"/>
      <c r="C53" s="579"/>
      <c r="D53" s="586"/>
      <c r="E53" s="587"/>
      <c r="F53" s="587"/>
      <c r="G53" s="587"/>
      <c r="H53" s="587"/>
      <c r="I53" s="587"/>
      <c r="J53" s="587"/>
      <c r="K53" s="587"/>
      <c r="L53" s="587"/>
      <c r="M53" s="587"/>
      <c r="N53" s="587"/>
      <c r="O53" s="587"/>
      <c r="P53" s="588"/>
      <c r="R53" s="583"/>
      <c r="S53" s="584"/>
      <c r="T53" s="584"/>
      <c r="U53" s="584"/>
      <c r="V53" s="584"/>
      <c r="W53" s="584"/>
      <c r="X53" s="584"/>
      <c r="Y53" s="584"/>
      <c r="Z53" s="584"/>
      <c r="AA53" s="584"/>
      <c r="AB53" s="584"/>
      <c r="AC53" s="584"/>
      <c r="AD53" s="585"/>
      <c r="AF53" s="556">
        <f t="shared" si="0"/>
        <v>0</v>
      </c>
      <c r="AG53" s="557">
        <f t="shared" si="1"/>
        <v>0</v>
      </c>
      <c r="AH53" s="557">
        <f t="shared" si="2"/>
        <v>0</v>
      </c>
      <c r="AI53" s="557">
        <f t="shared" si="3"/>
        <v>0</v>
      </c>
      <c r="AJ53" s="557">
        <f t="shared" si="4"/>
        <v>0</v>
      </c>
      <c r="AK53" s="557">
        <f t="shared" si="5"/>
        <v>0</v>
      </c>
      <c r="AL53" s="557">
        <f t="shared" si="6"/>
        <v>0</v>
      </c>
      <c r="AM53" s="557">
        <f t="shared" si="7"/>
        <v>0</v>
      </c>
      <c r="AN53" s="557">
        <f t="shared" si="8"/>
        <v>0</v>
      </c>
      <c r="AO53" s="557">
        <f t="shared" si="9"/>
        <v>0</v>
      </c>
      <c r="AP53" s="557">
        <f t="shared" si="10"/>
        <v>0</v>
      </c>
      <c r="AQ53" s="557">
        <f t="shared" si="11"/>
        <v>0</v>
      </c>
      <c r="AR53" s="557">
        <f t="shared" si="12"/>
        <v>0</v>
      </c>
      <c r="AS53" s="469">
        <f t="shared" si="13"/>
        <v>0</v>
      </c>
      <c r="AU53" s="614"/>
      <c r="AV53" s="614"/>
    </row>
    <row r="54" spans="2:48" s="458" customFormat="1" x14ac:dyDescent="0.2">
      <c r="B54" s="464"/>
      <c r="C54" s="579"/>
      <c r="D54" s="586"/>
      <c r="E54" s="587"/>
      <c r="F54" s="587"/>
      <c r="G54" s="587"/>
      <c r="H54" s="587"/>
      <c r="I54" s="587"/>
      <c r="J54" s="587"/>
      <c r="K54" s="587"/>
      <c r="L54" s="587"/>
      <c r="M54" s="587"/>
      <c r="N54" s="587"/>
      <c r="O54" s="587"/>
      <c r="P54" s="588"/>
      <c r="R54" s="583"/>
      <c r="S54" s="584"/>
      <c r="T54" s="584"/>
      <c r="U54" s="584"/>
      <c r="V54" s="584"/>
      <c r="W54" s="584"/>
      <c r="X54" s="584"/>
      <c r="Y54" s="584"/>
      <c r="Z54" s="584"/>
      <c r="AA54" s="584"/>
      <c r="AB54" s="584"/>
      <c r="AC54" s="584"/>
      <c r="AD54" s="585"/>
      <c r="AF54" s="556">
        <f t="shared" si="0"/>
        <v>0</v>
      </c>
      <c r="AG54" s="557">
        <f t="shared" si="1"/>
        <v>0</v>
      </c>
      <c r="AH54" s="557">
        <f t="shared" si="2"/>
        <v>0</v>
      </c>
      <c r="AI54" s="557">
        <f t="shared" si="3"/>
        <v>0</v>
      </c>
      <c r="AJ54" s="557">
        <f t="shared" si="4"/>
        <v>0</v>
      </c>
      <c r="AK54" s="557">
        <f t="shared" si="5"/>
        <v>0</v>
      </c>
      <c r="AL54" s="557">
        <f t="shared" si="6"/>
        <v>0</v>
      </c>
      <c r="AM54" s="557">
        <f t="shared" si="7"/>
        <v>0</v>
      </c>
      <c r="AN54" s="557">
        <f t="shared" si="8"/>
        <v>0</v>
      </c>
      <c r="AO54" s="557">
        <f t="shared" si="9"/>
        <v>0</v>
      </c>
      <c r="AP54" s="557">
        <f t="shared" si="10"/>
        <v>0</v>
      </c>
      <c r="AQ54" s="557">
        <f t="shared" si="11"/>
        <v>0</v>
      </c>
      <c r="AR54" s="557">
        <f t="shared" si="12"/>
        <v>0</v>
      </c>
      <c r="AS54" s="469">
        <f t="shared" si="13"/>
        <v>0</v>
      </c>
      <c r="AU54" s="614"/>
      <c r="AV54" s="614"/>
    </row>
    <row r="55" spans="2:48" s="458" customFormat="1" x14ac:dyDescent="0.2">
      <c r="B55" s="464"/>
      <c r="C55" s="579"/>
      <c r="D55" s="586"/>
      <c r="E55" s="587"/>
      <c r="F55" s="587"/>
      <c r="G55" s="587"/>
      <c r="H55" s="587"/>
      <c r="I55" s="587"/>
      <c r="J55" s="587"/>
      <c r="K55" s="587"/>
      <c r="L55" s="587"/>
      <c r="M55" s="587"/>
      <c r="N55" s="587"/>
      <c r="O55" s="587"/>
      <c r="P55" s="588"/>
      <c r="R55" s="583"/>
      <c r="S55" s="584"/>
      <c r="T55" s="584"/>
      <c r="U55" s="584"/>
      <c r="V55" s="584"/>
      <c r="W55" s="584"/>
      <c r="X55" s="584"/>
      <c r="Y55" s="584"/>
      <c r="Z55" s="584"/>
      <c r="AA55" s="584"/>
      <c r="AB55" s="584"/>
      <c r="AC55" s="584"/>
      <c r="AD55" s="585"/>
      <c r="AF55" s="556">
        <f t="shared" si="0"/>
        <v>0</v>
      </c>
      <c r="AG55" s="557">
        <f t="shared" si="1"/>
        <v>0</v>
      </c>
      <c r="AH55" s="557">
        <f t="shared" si="2"/>
        <v>0</v>
      </c>
      <c r="AI55" s="557">
        <f t="shared" si="3"/>
        <v>0</v>
      </c>
      <c r="AJ55" s="557">
        <f t="shared" si="4"/>
        <v>0</v>
      </c>
      <c r="AK55" s="557">
        <f t="shared" si="5"/>
        <v>0</v>
      </c>
      <c r="AL55" s="557">
        <f t="shared" si="6"/>
        <v>0</v>
      </c>
      <c r="AM55" s="557">
        <f t="shared" si="7"/>
        <v>0</v>
      </c>
      <c r="AN55" s="557">
        <f t="shared" si="8"/>
        <v>0</v>
      </c>
      <c r="AO55" s="557">
        <f t="shared" si="9"/>
        <v>0</v>
      </c>
      <c r="AP55" s="557">
        <f t="shared" si="10"/>
        <v>0</v>
      </c>
      <c r="AQ55" s="557">
        <f t="shared" si="11"/>
        <v>0</v>
      </c>
      <c r="AR55" s="557">
        <f t="shared" si="12"/>
        <v>0</v>
      </c>
      <c r="AS55" s="469">
        <f t="shared" si="13"/>
        <v>0</v>
      </c>
      <c r="AU55" s="614"/>
      <c r="AV55" s="614"/>
    </row>
    <row r="56" spans="2:48" s="458" customFormat="1" x14ac:dyDescent="0.2">
      <c r="B56" s="464"/>
      <c r="C56" s="579"/>
      <c r="D56" s="586"/>
      <c r="E56" s="587"/>
      <c r="F56" s="587"/>
      <c r="G56" s="587"/>
      <c r="H56" s="587"/>
      <c r="I56" s="587"/>
      <c r="J56" s="587"/>
      <c r="K56" s="587"/>
      <c r="L56" s="587"/>
      <c r="M56" s="587"/>
      <c r="N56" s="587"/>
      <c r="O56" s="587"/>
      <c r="P56" s="588"/>
      <c r="R56" s="583"/>
      <c r="S56" s="584"/>
      <c r="T56" s="584"/>
      <c r="U56" s="584"/>
      <c r="V56" s="584"/>
      <c r="W56" s="584"/>
      <c r="X56" s="584"/>
      <c r="Y56" s="584"/>
      <c r="Z56" s="584"/>
      <c r="AA56" s="584"/>
      <c r="AB56" s="584"/>
      <c r="AC56" s="584"/>
      <c r="AD56" s="585"/>
      <c r="AF56" s="556">
        <f t="shared" si="0"/>
        <v>0</v>
      </c>
      <c r="AG56" s="557">
        <f t="shared" si="1"/>
        <v>0</v>
      </c>
      <c r="AH56" s="557">
        <f t="shared" si="2"/>
        <v>0</v>
      </c>
      <c r="AI56" s="557">
        <f t="shared" si="3"/>
        <v>0</v>
      </c>
      <c r="AJ56" s="557">
        <f t="shared" si="4"/>
        <v>0</v>
      </c>
      <c r="AK56" s="557">
        <f t="shared" si="5"/>
        <v>0</v>
      </c>
      <c r="AL56" s="557">
        <f t="shared" si="6"/>
        <v>0</v>
      </c>
      <c r="AM56" s="557">
        <f t="shared" si="7"/>
        <v>0</v>
      </c>
      <c r="AN56" s="557">
        <f t="shared" si="8"/>
        <v>0</v>
      </c>
      <c r="AO56" s="557">
        <f t="shared" si="9"/>
        <v>0</v>
      </c>
      <c r="AP56" s="557">
        <f t="shared" si="10"/>
        <v>0</v>
      </c>
      <c r="AQ56" s="557">
        <f t="shared" si="11"/>
        <v>0</v>
      </c>
      <c r="AR56" s="557">
        <f t="shared" si="12"/>
        <v>0</v>
      </c>
      <c r="AS56" s="469">
        <f t="shared" si="13"/>
        <v>0</v>
      </c>
      <c r="AU56" s="614"/>
      <c r="AV56" s="614"/>
    </row>
    <row r="57" spans="2:48" s="458" customFormat="1" x14ac:dyDescent="0.2">
      <c r="B57" s="464"/>
      <c r="C57" s="579"/>
      <c r="D57" s="586"/>
      <c r="E57" s="587"/>
      <c r="F57" s="587"/>
      <c r="G57" s="587"/>
      <c r="H57" s="587"/>
      <c r="I57" s="587"/>
      <c r="J57" s="587"/>
      <c r="K57" s="587"/>
      <c r="L57" s="587"/>
      <c r="M57" s="587"/>
      <c r="N57" s="587"/>
      <c r="O57" s="587"/>
      <c r="P57" s="588"/>
      <c r="R57" s="583"/>
      <c r="S57" s="584"/>
      <c r="T57" s="584"/>
      <c r="U57" s="584"/>
      <c r="V57" s="584"/>
      <c r="W57" s="584"/>
      <c r="X57" s="584"/>
      <c r="Y57" s="584"/>
      <c r="Z57" s="584"/>
      <c r="AA57" s="584"/>
      <c r="AB57" s="584"/>
      <c r="AC57" s="584"/>
      <c r="AD57" s="585"/>
      <c r="AF57" s="556">
        <f t="shared" si="0"/>
        <v>0</v>
      </c>
      <c r="AG57" s="557">
        <f t="shared" si="1"/>
        <v>0</v>
      </c>
      <c r="AH57" s="557">
        <f t="shared" si="2"/>
        <v>0</v>
      </c>
      <c r="AI57" s="557">
        <f t="shared" si="3"/>
        <v>0</v>
      </c>
      <c r="AJ57" s="557">
        <f t="shared" si="4"/>
        <v>0</v>
      </c>
      <c r="AK57" s="557">
        <f t="shared" si="5"/>
        <v>0</v>
      </c>
      <c r="AL57" s="557">
        <f t="shared" si="6"/>
        <v>0</v>
      </c>
      <c r="AM57" s="557">
        <f t="shared" si="7"/>
        <v>0</v>
      </c>
      <c r="AN57" s="557">
        <f t="shared" si="8"/>
        <v>0</v>
      </c>
      <c r="AO57" s="557">
        <f t="shared" si="9"/>
        <v>0</v>
      </c>
      <c r="AP57" s="557">
        <f t="shared" si="10"/>
        <v>0</v>
      </c>
      <c r="AQ57" s="557">
        <f t="shared" si="11"/>
        <v>0</v>
      </c>
      <c r="AR57" s="557">
        <f t="shared" si="12"/>
        <v>0</v>
      </c>
      <c r="AS57" s="469">
        <f t="shared" si="13"/>
        <v>0</v>
      </c>
      <c r="AU57" s="614"/>
      <c r="AV57" s="614"/>
    </row>
    <row r="58" spans="2:48" s="458" customFormat="1" x14ac:dyDescent="0.2">
      <c r="B58" s="464"/>
      <c r="C58" s="579"/>
      <c r="D58" s="586"/>
      <c r="E58" s="587"/>
      <c r="F58" s="587"/>
      <c r="G58" s="587"/>
      <c r="H58" s="587"/>
      <c r="I58" s="587"/>
      <c r="J58" s="587"/>
      <c r="K58" s="587"/>
      <c r="L58" s="587"/>
      <c r="M58" s="587"/>
      <c r="N58" s="587"/>
      <c r="O58" s="587"/>
      <c r="P58" s="588"/>
      <c r="R58" s="583"/>
      <c r="S58" s="584"/>
      <c r="T58" s="584"/>
      <c r="U58" s="584"/>
      <c r="V58" s="584"/>
      <c r="W58" s="584"/>
      <c r="X58" s="584"/>
      <c r="Y58" s="584"/>
      <c r="Z58" s="584"/>
      <c r="AA58" s="584"/>
      <c r="AB58" s="584"/>
      <c r="AC58" s="584"/>
      <c r="AD58" s="585"/>
      <c r="AF58" s="556">
        <f t="shared" si="0"/>
        <v>0</v>
      </c>
      <c r="AG58" s="557">
        <f t="shared" si="1"/>
        <v>0</v>
      </c>
      <c r="AH58" s="557">
        <f t="shared" si="2"/>
        <v>0</v>
      </c>
      <c r="AI58" s="557">
        <f t="shared" si="3"/>
        <v>0</v>
      </c>
      <c r="AJ58" s="557">
        <f t="shared" si="4"/>
        <v>0</v>
      </c>
      <c r="AK58" s="557">
        <f t="shared" si="5"/>
        <v>0</v>
      </c>
      <c r="AL58" s="557">
        <f t="shared" si="6"/>
        <v>0</v>
      </c>
      <c r="AM58" s="557">
        <f t="shared" si="7"/>
        <v>0</v>
      </c>
      <c r="AN58" s="557">
        <f t="shared" si="8"/>
        <v>0</v>
      </c>
      <c r="AO58" s="557">
        <f t="shared" si="9"/>
        <v>0</v>
      </c>
      <c r="AP58" s="557">
        <f t="shared" si="10"/>
        <v>0</v>
      </c>
      <c r="AQ58" s="557">
        <f t="shared" si="11"/>
        <v>0</v>
      </c>
      <c r="AR58" s="557">
        <f t="shared" si="12"/>
        <v>0</v>
      </c>
      <c r="AS58" s="469">
        <f t="shared" si="13"/>
        <v>0</v>
      </c>
      <c r="AU58" s="614"/>
      <c r="AV58" s="614"/>
    </row>
    <row r="59" spans="2:48" s="458" customFormat="1" x14ac:dyDescent="0.2">
      <c r="B59" s="464"/>
      <c r="C59" s="579"/>
      <c r="D59" s="586"/>
      <c r="E59" s="587"/>
      <c r="F59" s="587"/>
      <c r="G59" s="587"/>
      <c r="H59" s="587"/>
      <c r="I59" s="587"/>
      <c r="J59" s="587"/>
      <c r="K59" s="587"/>
      <c r="L59" s="587"/>
      <c r="M59" s="587"/>
      <c r="N59" s="587"/>
      <c r="O59" s="587"/>
      <c r="P59" s="588"/>
      <c r="R59" s="583"/>
      <c r="S59" s="584"/>
      <c r="T59" s="584"/>
      <c r="U59" s="584"/>
      <c r="V59" s="584"/>
      <c r="W59" s="584"/>
      <c r="X59" s="584"/>
      <c r="Y59" s="584"/>
      <c r="Z59" s="584"/>
      <c r="AA59" s="584"/>
      <c r="AB59" s="584"/>
      <c r="AC59" s="584"/>
      <c r="AD59" s="585"/>
      <c r="AF59" s="556">
        <f t="shared" si="0"/>
        <v>0</v>
      </c>
      <c r="AG59" s="557">
        <f t="shared" si="1"/>
        <v>0</v>
      </c>
      <c r="AH59" s="557">
        <f t="shared" si="2"/>
        <v>0</v>
      </c>
      <c r="AI59" s="557">
        <f t="shared" si="3"/>
        <v>0</v>
      </c>
      <c r="AJ59" s="557">
        <f t="shared" si="4"/>
        <v>0</v>
      </c>
      <c r="AK59" s="557">
        <f t="shared" si="5"/>
        <v>0</v>
      </c>
      <c r="AL59" s="557">
        <f t="shared" si="6"/>
        <v>0</v>
      </c>
      <c r="AM59" s="557">
        <f t="shared" si="7"/>
        <v>0</v>
      </c>
      <c r="AN59" s="557">
        <f t="shared" si="8"/>
        <v>0</v>
      </c>
      <c r="AO59" s="557">
        <f t="shared" si="9"/>
        <v>0</v>
      </c>
      <c r="AP59" s="557">
        <f t="shared" si="10"/>
        <v>0</v>
      </c>
      <c r="AQ59" s="557">
        <f t="shared" si="11"/>
        <v>0</v>
      </c>
      <c r="AR59" s="557">
        <f t="shared" si="12"/>
        <v>0</v>
      </c>
      <c r="AS59" s="469">
        <f t="shared" si="13"/>
        <v>0</v>
      </c>
      <c r="AU59" s="614"/>
      <c r="AV59" s="614"/>
    </row>
    <row r="60" spans="2:48" s="458" customFormat="1" x14ac:dyDescent="0.2">
      <c r="B60" s="464"/>
      <c r="C60" s="579"/>
      <c r="D60" s="586"/>
      <c r="E60" s="587"/>
      <c r="F60" s="587"/>
      <c r="G60" s="587"/>
      <c r="H60" s="587"/>
      <c r="I60" s="587"/>
      <c r="J60" s="587"/>
      <c r="K60" s="587"/>
      <c r="L60" s="587"/>
      <c r="M60" s="587"/>
      <c r="N60" s="587"/>
      <c r="O60" s="587"/>
      <c r="P60" s="588"/>
      <c r="R60" s="583"/>
      <c r="S60" s="584"/>
      <c r="T60" s="584"/>
      <c r="U60" s="584"/>
      <c r="V60" s="584"/>
      <c r="W60" s="584"/>
      <c r="X60" s="584"/>
      <c r="Y60" s="584"/>
      <c r="Z60" s="584"/>
      <c r="AA60" s="584"/>
      <c r="AB60" s="584"/>
      <c r="AC60" s="584"/>
      <c r="AD60" s="585"/>
      <c r="AF60" s="556">
        <f t="shared" si="0"/>
        <v>0</v>
      </c>
      <c r="AG60" s="557">
        <f t="shared" si="1"/>
        <v>0</v>
      </c>
      <c r="AH60" s="557">
        <f t="shared" si="2"/>
        <v>0</v>
      </c>
      <c r="AI60" s="557">
        <f t="shared" si="3"/>
        <v>0</v>
      </c>
      <c r="AJ60" s="557">
        <f t="shared" si="4"/>
        <v>0</v>
      </c>
      <c r="AK60" s="557">
        <f t="shared" si="5"/>
        <v>0</v>
      </c>
      <c r="AL60" s="557">
        <f t="shared" si="6"/>
        <v>0</v>
      </c>
      <c r="AM60" s="557">
        <f t="shared" si="7"/>
        <v>0</v>
      </c>
      <c r="AN60" s="557">
        <f t="shared" si="8"/>
        <v>0</v>
      </c>
      <c r="AO60" s="557">
        <f t="shared" si="9"/>
        <v>0</v>
      </c>
      <c r="AP60" s="557">
        <f t="shared" si="10"/>
        <v>0</v>
      </c>
      <c r="AQ60" s="557">
        <f t="shared" si="11"/>
        <v>0</v>
      </c>
      <c r="AR60" s="557">
        <f t="shared" si="12"/>
        <v>0</v>
      </c>
      <c r="AS60" s="469">
        <f t="shared" si="13"/>
        <v>0</v>
      </c>
      <c r="AU60" s="614"/>
      <c r="AV60" s="614"/>
    </row>
    <row r="61" spans="2:48" s="458" customFormat="1" x14ac:dyDescent="0.2">
      <c r="B61" s="464"/>
      <c r="C61" s="579"/>
      <c r="D61" s="586"/>
      <c r="E61" s="587"/>
      <c r="F61" s="587"/>
      <c r="G61" s="587"/>
      <c r="H61" s="587"/>
      <c r="I61" s="587"/>
      <c r="J61" s="587"/>
      <c r="K61" s="587"/>
      <c r="L61" s="587"/>
      <c r="M61" s="587"/>
      <c r="N61" s="587"/>
      <c r="O61" s="587"/>
      <c r="P61" s="588"/>
      <c r="R61" s="583"/>
      <c r="S61" s="584"/>
      <c r="T61" s="584"/>
      <c r="U61" s="584"/>
      <c r="V61" s="584"/>
      <c r="W61" s="584"/>
      <c r="X61" s="584"/>
      <c r="Y61" s="584"/>
      <c r="Z61" s="584"/>
      <c r="AA61" s="584"/>
      <c r="AB61" s="584"/>
      <c r="AC61" s="584"/>
      <c r="AD61" s="585"/>
      <c r="AF61" s="556">
        <f t="shared" si="0"/>
        <v>0</v>
      </c>
      <c r="AG61" s="557">
        <f t="shared" si="1"/>
        <v>0</v>
      </c>
      <c r="AH61" s="557">
        <f t="shared" si="2"/>
        <v>0</v>
      </c>
      <c r="AI61" s="557">
        <f t="shared" si="3"/>
        <v>0</v>
      </c>
      <c r="AJ61" s="557">
        <f t="shared" si="4"/>
        <v>0</v>
      </c>
      <c r="AK61" s="557">
        <f t="shared" si="5"/>
        <v>0</v>
      </c>
      <c r="AL61" s="557">
        <f t="shared" si="6"/>
        <v>0</v>
      </c>
      <c r="AM61" s="557">
        <f t="shared" si="7"/>
        <v>0</v>
      </c>
      <c r="AN61" s="557">
        <f t="shared" si="8"/>
        <v>0</v>
      </c>
      <c r="AO61" s="557">
        <f t="shared" si="9"/>
        <v>0</v>
      </c>
      <c r="AP61" s="557">
        <f t="shared" si="10"/>
        <v>0</v>
      </c>
      <c r="AQ61" s="557">
        <f t="shared" si="11"/>
        <v>0</v>
      </c>
      <c r="AR61" s="557">
        <f t="shared" si="12"/>
        <v>0</v>
      </c>
      <c r="AS61" s="469">
        <f t="shared" si="13"/>
        <v>0</v>
      </c>
      <c r="AU61" s="614"/>
      <c r="AV61" s="614"/>
    </row>
    <row r="62" spans="2:48" s="458" customFormat="1" x14ac:dyDescent="0.2">
      <c r="B62" s="464"/>
      <c r="C62" s="579"/>
      <c r="D62" s="586"/>
      <c r="E62" s="587"/>
      <c r="F62" s="587"/>
      <c r="G62" s="587"/>
      <c r="H62" s="587"/>
      <c r="I62" s="587"/>
      <c r="J62" s="587"/>
      <c r="K62" s="587"/>
      <c r="L62" s="587"/>
      <c r="M62" s="587"/>
      <c r="N62" s="587"/>
      <c r="O62" s="587"/>
      <c r="P62" s="588"/>
      <c r="R62" s="583"/>
      <c r="S62" s="584"/>
      <c r="T62" s="584"/>
      <c r="U62" s="584"/>
      <c r="V62" s="584"/>
      <c r="W62" s="584"/>
      <c r="X62" s="584"/>
      <c r="Y62" s="584"/>
      <c r="Z62" s="584"/>
      <c r="AA62" s="584"/>
      <c r="AB62" s="584"/>
      <c r="AC62" s="584"/>
      <c r="AD62" s="585"/>
      <c r="AF62" s="556">
        <f t="shared" si="0"/>
        <v>0</v>
      </c>
      <c r="AG62" s="557">
        <f t="shared" si="1"/>
        <v>0</v>
      </c>
      <c r="AH62" s="557">
        <f t="shared" si="2"/>
        <v>0</v>
      </c>
      <c r="AI62" s="557">
        <f t="shared" si="3"/>
        <v>0</v>
      </c>
      <c r="AJ62" s="557">
        <f t="shared" si="4"/>
        <v>0</v>
      </c>
      <c r="AK62" s="557">
        <f t="shared" si="5"/>
        <v>0</v>
      </c>
      <c r="AL62" s="557">
        <f t="shared" si="6"/>
        <v>0</v>
      </c>
      <c r="AM62" s="557">
        <f t="shared" si="7"/>
        <v>0</v>
      </c>
      <c r="AN62" s="557">
        <f t="shared" si="8"/>
        <v>0</v>
      </c>
      <c r="AO62" s="557">
        <f t="shared" si="9"/>
        <v>0</v>
      </c>
      <c r="AP62" s="557">
        <f t="shared" si="10"/>
        <v>0</v>
      </c>
      <c r="AQ62" s="557">
        <f t="shared" si="11"/>
        <v>0</v>
      </c>
      <c r="AR62" s="557">
        <f t="shared" si="12"/>
        <v>0</v>
      </c>
      <c r="AS62" s="469">
        <f t="shared" si="13"/>
        <v>0</v>
      </c>
      <c r="AU62" s="614"/>
      <c r="AV62" s="614"/>
    </row>
    <row r="63" spans="2:48" s="458" customFormat="1" x14ac:dyDescent="0.2">
      <c r="B63" s="464"/>
      <c r="C63" s="579"/>
      <c r="D63" s="586"/>
      <c r="E63" s="587"/>
      <c r="F63" s="587"/>
      <c r="G63" s="587"/>
      <c r="H63" s="587"/>
      <c r="I63" s="587"/>
      <c r="J63" s="587"/>
      <c r="K63" s="587"/>
      <c r="L63" s="587"/>
      <c r="M63" s="587"/>
      <c r="N63" s="587"/>
      <c r="O63" s="587"/>
      <c r="P63" s="588"/>
      <c r="R63" s="583"/>
      <c r="S63" s="584"/>
      <c r="T63" s="584"/>
      <c r="U63" s="584"/>
      <c r="V63" s="584"/>
      <c r="W63" s="584"/>
      <c r="X63" s="584"/>
      <c r="Y63" s="584"/>
      <c r="Z63" s="584"/>
      <c r="AA63" s="584"/>
      <c r="AB63" s="584"/>
      <c r="AC63" s="584"/>
      <c r="AD63" s="585"/>
      <c r="AF63" s="556">
        <f t="shared" si="0"/>
        <v>0</v>
      </c>
      <c r="AG63" s="557">
        <f t="shared" si="1"/>
        <v>0</v>
      </c>
      <c r="AH63" s="557">
        <f t="shared" si="2"/>
        <v>0</v>
      </c>
      <c r="AI63" s="557">
        <f t="shared" si="3"/>
        <v>0</v>
      </c>
      <c r="AJ63" s="557">
        <f t="shared" si="4"/>
        <v>0</v>
      </c>
      <c r="AK63" s="557">
        <f t="shared" si="5"/>
        <v>0</v>
      </c>
      <c r="AL63" s="557">
        <f t="shared" si="6"/>
        <v>0</v>
      </c>
      <c r="AM63" s="557">
        <f t="shared" si="7"/>
        <v>0</v>
      </c>
      <c r="AN63" s="557">
        <f t="shared" si="8"/>
        <v>0</v>
      </c>
      <c r="AO63" s="557">
        <f t="shared" si="9"/>
        <v>0</v>
      </c>
      <c r="AP63" s="557">
        <f t="shared" si="10"/>
        <v>0</v>
      </c>
      <c r="AQ63" s="557">
        <f t="shared" si="11"/>
        <v>0</v>
      </c>
      <c r="AR63" s="557">
        <f t="shared" si="12"/>
        <v>0</v>
      </c>
      <c r="AS63" s="469">
        <f t="shared" si="13"/>
        <v>0</v>
      </c>
      <c r="AU63" s="614"/>
      <c r="AV63" s="614"/>
    </row>
    <row r="64" spans="2:48" s="458" customFormat="1" x14ac:dyDescent="0.2">
      <c r="B64" s="464"/>
      <c r="C64" s="579"/>
      <c r="D64" s="586"/>
      <c r="E64" s="587"/>
      <c r="F64" s="587"/>
      <c r="G64" s="587"/>
      <c r="H64" s="587"/>
      <c r="I64" s="587"/>
      <c r="J64" s="587"/>
      <c r="K64" s="587"/>
      <c r="L64" s="587"/>
      <c r="M64" s="587"/>
      <c r="N64" s="587"/>
      <c r="O64" s="587"/>
      <c r="P64" s="588"/>
      <c r="R64" s="583"/>
      <c r="S64" s="584"/>
      <c r="T64" s="584"/>
      <c r="U64" s="584"/>
      <c r="V64" s="584"/>
      <c r="W64" s="584"/>
      <c r="X64" s="584"/>
      <c r="Y64" s="584"/>
      <c r="Z64" s="584"/>
      <c r="AA64" s="584"/>
      <c r="AB64" s="584"/>
      <c r="AC64" s="584"/>
      <c r="AD64" s="585"/>
      <c r="AF64" s="556">
        <f t="shared" si="0"/>
        <v>0</v>
      </c>
      <c r="AG64" s="557">
        <f t="shared" si="1"/>
        <v>0</v>
      </c>
      <c r="AH64" s="557">
        <f t="shared" si="2"/>
        <v>0</v>
      </c>
      <c r="AI64" s="557">
        <f t="shared" si="3"/>
        <v>0</v>
      </c>
      <c r="AJ64" s="557">
        <f t="shared" si="4"/>
        <v>0</v>
      </c>
      <c r="AK64" s="557">
        <f t="shared" si="5"/>
        <v>0</v>
      </c>
      <c r="AL64" s="557">
        <f t="shared" si="6"/>
        <v>0</v>
      </c>
      <c r="AM64" s="557">
        <f t="shared" si="7"/>
        <v>0</v>
      </c>
      <c r="AN64" s="557">
        <f t="shared" si="8"/>
        <v>0</v>
      </c>
      <c r="AO64" s="557">
        <f t="shared" si="9"/>
        <v>0</v>
      </c>
      <c r="AP64" s="557">
        <f t="shared" si="10"/>
        <v>0</v>
      </c>
      <c r="AQ64" s="557">
        <f t="shared" si="11"/>
        <v>0</v>
      </c>
      <c r="AR64" s="557">
        <f t="shared" si="12"/>
        <v>0</v>
      </c>
      <c r="AS64" s="469">
        <f t="shared" si="13"/>
        <v>0</v>
      </c>
      <c r="AU64" s="614"/>
      <c r="AV64" s="614"/>
    </row>
    <row r="65" spans="2:48" s="458" customFormat="1" ht="13.5" thickBot="1" x14ac:dyDescent="0.25">
      <c r="B65" s="486"/>
      <c r="C65" s="589"/>
      <c r="D65" s="590"/>
      <c r="E65" s="591"/>
      <c r="F65" s="591"/>
      <c r="G65" s="591"/>
      <c r="H65" s="591"/>
      <c r="I65" s="591"/>
      <c r="J65" s="591"/>
      <c r="K65" s="591"/>
      <c r="L65" s="591"/>
      <c r="M65" s="591"/>
      <c r="N65" s="591"/>
      <c r="O65" s="591"/>
      <c r="P65" s="592"/>
      <c r="R65" s="593"/>
      <c r="S65" s="594"/>
      <c r="T65" s="594"/>
      <c r="U65" s="594"/>
      <c r="V65" s="594"/>
      <c r="W65" s="594"/>
      <c r="X65" s="594"/>
      <c r="Y65" s="594"/>
      <c r="Z65" s="594"/>
      <c r="AA65" s="594"/>
      <c r="AB65" s="594"/>
      <c r="AC65" s="594"/>
      <c r="AD65" s="595"/>
      <c r="AF65" s="565">
        <f t="shared" si="0"/>
        <v>0</v>
      </c>
      <c r="AG65" s="566">
        <f t="shared" si="1"/>
        <v>0</v>
      </c>
      <c r="AH65" s="566">
        <f t="shared" si="2"/>
        <v>0</v>
      </c>
      <c r="AI65" s="566">
        <f t="shared" si="3"/>
        <v>0</v>
      </c>
      <c r="AJ65" s="566">
        <f t="shared" si="4"/>
        <v>0</v>
      </c>
      <c r="AK65" s="566">
        <f t="shared" si="5"/>
        <v>0</v>
      </c>
      <c r="AL65" s="566">
        <f t="shared" si="6"/>
        <v>0</v>
      </c>
      <c r="AM65" s="566">
        <f t="shared" si="7"/>
        <v>0</v>
      </c>
      <c r="AN65" s="566">
        <f t="shared" si="8"/>
        <v>0</v>
      </c>
      <c r="AO65" s="566">
        <f t="shared" si="9"/>
        <v>0</v>
      </c>
      <c r="AP65" s="566">
        <f t="shared" si="10"/>
        <v>0</v>
      </c>
      <c r="AQ65" s="566">
        <f t="shared" si="11"/>
        <v>0</v>
      </c>
      <c r="AR65" s="566">
        <f t="shared" si="12"/>
        <v>0</v>
      </c>
      <c r="AS65" s="500">
        <f t="shared" si="13"/>
        <v>0</v>
      </c>
      <c r="AU65" s="614"/>
      <c r="AV65" s="614"/>
    </row>
    <row r="66" spans="2:48" ht="13.5" thickBot="1" x14ac:dyDescent="0.25">
      <c r="B66" s="260"/>
      <c r="C66" s="167"/>
      <c r="R66" s="261">
        <f t="shared" ref="R66:AD66" si="14">SUM(R6:R65)</f>
        <v>244214082.89277267</v>
      </c>
      <c r="S66" s="261">
        <f t="shared" si="14"/>
        <v>1092439564.4925797</v>
      </c>
      <c r="T66" s="261">
        <f t="shared" si="14"/>
        <v>15191028.084096724</v>
      </c>
      <c r="U66" s="261">
        <f t="shared" si="14"/>
        <v>1042196298.5085648</v>
      </c>
      <c r="V66" s="261">
        <f t="shared" si="14"/>
        <v>1749612852.7432227</v>
      </c>
      <c r="W66" s="261">
        <f t="shared" si="14"/>
        <v>0</v>
      </c>
      <c r="X66" s="261">
        <f t="shared" si="14"/>
        <v>1556088448.25896</v>
      </c>
      <c r="Y66" s="261">
        <f t="shared" si="14"/>
        <v>2342352608.6600008</v>
      </c>
      <c r="Z66" s="261">
        <f t="shared" si="14"/>
        <v>28219001.301101014</v>
      </c>
      <c r="AA66" s="261">
        <f t="shared" si="14"/>
        <v>430762858.51673532</v>
      </c>
      <c r="AB66" s="261">
        <f t="shared" si="14"/>
        <v>130360473.14090756</v>
      </c>
      <c r="AC66" s="261">
        <f t="shared" si="14"/>
        <v>26512398.739499968</v>
      </c>
      <c r="AD66" s="261">
        <f t="shared" si="14"/>
        <v>48409379.528254531</v>
      </c>
      <c r="AF66" s="261">
        <f t="shared" ref="AF66:AL66" si="15">SUM(AF6:AF65)</f>
        <v>0</v>
      </c>
      <c r="AG66" s="261">
        <f t="shared" si="15"/>
        <v>19676785.733574428</v>
      </c>
      <c r="AH66" s="261">
        <f t="shared" si="15"/>
        <v>357729.60678225115</v>
      </c>
      <c r="AI66" s="261">
        <f t="shared" si="15"/>
        <v>11087134.323393187</v>
      </c>
      <c r="AJ66" s="261">
        <f t="shared" si="15"/>
        <v>26108923.7609827</v>
      </c>
      <c r="AK66" s="261">
        <f t="shared" si="15"/>
        <v>0</v>
      </c>
      <c r="AL66" s="261">
        <f t="shared" si="15"/>
        <v>14496394.926840998</v>
      </c>
      <c r="AM66" s="261">
        <f t="shared" ref="AM66:AS66" si="16">SUM(AM6:AM65)</f>
        <v>0</v>
      </c>
      <c r="AN66" s="261">
        <f t="shared" si="16"/>
        <v>594252.85736906133</v>
      </c>
      <c r="AO66" s="261">
        <f t="shared" si="16"/>
        <v>16376132.438610721</v>
      </c>
      <c r="AP66" s="261">
        <f t="shared" si="16"/>
        <v>6360086.2968435017</v>
      </c>
      <c r="AQ66" s="261">
        <f t="shared" si="16"/>
        <v>1043957.7431581989</v>
      </c>
      <c r="AR66" s="261">
        <f t="shared" si="16"/>
        <v>1255687.5070422313</v>
      </c>
      <c r="AS66" s="261">
        <f t="shared" si="16"/>
        <v>97357085.194597289</v>
      </c>
      <c r="AU66" s="614"/>
      <c r="AV66" s="614"/>
    </row>
    <row r="67" spans="2:48" ht="13.5" thickTop="1" x14ac:dyDescent="0.2">
      <c r="B67" s="260"/>
      <c r="C67" s="167"/>
    </row>
    <row r="68" spans="2:48" x14ac:dyDescent="0.2">
      <c r="B68" s="260"/>
      <c r="C68" s="167"/>
      <c r="Z68" s="263"/>
      <c r="AS68" s="263"/>
    </row>
    <row r="69" spans="2:48" x14ac:dyDescent="0.2">
      <c r="B69" s="260"/>
      <c r="C69" s="167"/>
      <c r="AS69" s="263"/>
    </row>
    <row r="70" spans="2:48" x14ac:dyDescent="0.2">
      <c r="B70" s="260"/>
      <c r="C70" s="167"/>
    </row>
    <row r="71" spans="2:48" x14ac:dyDescent="0.2">
      <c r="B71" s="260"/>
      <c r="C71" s="167"/>
    </row>
    <row r="72" spans="2:48" x14ac:dyDescent="0.2">
      <c r="B72" s="260"/>
      <c r="C72" s="167"/>
    </row>
    <row r="73" spans="2:48" x14ac:dyDescent="0.2">
      <c r="B73" s="260"/>
      <c r="C73" s="167"/>
    </row>
    <row r="74" spans="2:48" x14ac:dyDescent="0.2">
      <c r="B74" s="260"/>
      <c r="C74" s="167"/>
    </row>
    <row r="75" spans="2:48" x14ac:dyDescent="0.2">
      <c r="B75" s="260"/>
      <c r="C75" s="167"/>
    </row>
    <row r="76" spans="2:48" x14ac:dyDescent="0.2">
      <c r="B76" s="260"/>
      <c r="C76" s="167"/>
    </row>
    <row r="77" spans="2:48" x14ac:dyDescent="0.2">
      <c r="B77" s="260"/>
      <c r="C77" s="167"/>
    </row>
    <row r="78" spans="2:48" x14ac:dyDescent="0.2">
      <c r="B78" s="260"/>
      <c r="C78" s="167"/>
    </row>
    <row r="79" spans="2:48" x14ac:dyDescent="0.2">
      <c r="B79" s="260"/>
      <c r="C79" s="167"/>
    </row>
    <row r="80" spans="2:48" x14ac:dyDescent="0.2">
      <c r="B80" s="260"/>
      <c r="C80" s="167"/>
    </row>
    <row r="81" spans="2:3" x14ac:dyDescent="0.2">
      <c r="B81" s="260"/>
      <c r="C81" s="167"/>
    </row>
    <row r="82" spans="2:3" x14ac:dyDescent="0.2">
      <c r="B82" s="260"/>
      <c r="C82" s="167"/>
    </row>
    <row r="83" spans="2:3" x14ac:dyDescent="0.2">
      <c r="B83" s="260"/>
      <c r="C83" s="167"/>
    </row>
    <row r="84" spans="2:3" x14ac:dyDescent="0.2">
      <c r="B84" s="260"/>
      <c r="C84" s="167"/>
    </row>
    <row r="85" spans="2:3" x14ac:dyDescent="0.2">
      <c r="B85" s="260"/>
      <c r="C85" s="167"/>
    </row>
    <row r="86" spans="2:3" x14ac:dyDescent="0.2">
      <c r="B86" s="260"/>
      <c r="C86" s="167"/>
    </row>
    <row r="87" spans="2:3" x14ac:dyDescent="0.2">
      <c r="B87" s="260"/>
      <c r="C87" s="167"/>
    </row>
    <row r="88" spans="2:3" x14ac:dyDescent="0.2">
      <c r="B88" s="260"/>
      <c r="C88" s="167"/>
    </row>
    <row r="89" spans="2:3" x14ac:dyDescent="0.2">
      <c r="B89" s="260"/>
      <c r="C89" s="167"/>
    </row>
    <row r="90" spans="2:3" x14ac:dyDescent="0.2">
      <c r="B90" s="260"/>
      <c r="C90" s="167"/>
    </row>
    <row r="91" spans="2:3" x14ac:dyDescent="0.2">
      <c r="B91" s="260"/>
      <c r="C91" s="167"/>
    </row>
    <row r="92" spans="2:3" x14ac:dyDescent="0.2">
      <c r="B92" s="260"/>
      <c r="C92" s="167"/>
    </row>
    <row r="93" spans="2:3" x14ac:dyDescent="0.2">
      <c r="B93" s="260"/>
      <c r="C93" s="167"/>
    </row>
    <row r="94" spans="2:3" x14ac:dyDescent="0.2">
      <c r="B94" s="260"/>
      <c r="C94" s="167"/>
    </row>
    <row r="95" spans="2:3" x14ac:dyDescent="0.2">
      <c r="B95" s="260"/>
      <c r="C95" s="167"/>
    </row>
    <row r="96" spans="2:3" x14ac:dyDescent="0.2">
      <c r="B96" s="260"/>
      <c r="C96" s="167"/>
    </row>
    <row r="97" spans="2:3" x14ac:dyDescent="0.2">
      <c r="B97" s="260"/>
      <c r="C97" s="167"/>
    </row>
    <row r="98" spans="2:3" x14ac:dyDescent="0.2">
      <c r="B98" s="260"/>
      <c r="C98" s="167"/>
    </row>
    <row r="99" spans="2:3" x14ac:dyDescent="0.2">
      <c r="B99" s="260"/>
      <c r="C99" s="167"/>
    </row>
    <row r="100" spans="2:3" x14ac:dyDescent="0.2">
      <c r="B100" s="260"/>
      <c r="C100" s="167"/>
    </row>
    <row r="101" spans="2:3" x14ac:dyDescent="0.2">
      <c r="B101" s="260"/>
      <c r="C101" s="167"/>
    </row>
    <row r="102" spans="2:3" x14ac:dyDescent="0.2">
      <c r="B102" s="260"/>
      <c r="C102" s="167"/>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4" max="65" man="1"/>
  </col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2:X66"/>
  <sheetViews>
    <sheetView zoomScale="80" zoomScaleNormal="80" workbookViewId="0"/>
  </sheetViews>
  <sheetFormatPr defaultRowHeight="14.25" x14ac:dyDescent="0.2"/>
  <cols>
    <col min="1" max="1" width="5.42578125" style="32" customWidth="1"/>
    <col min="2" max="2" width="78.42578125" style="33" customWidth="1"/>
    <col min="3" max="3" width="18.5703125" style="34" customWidth="1"/>
    <col min="4" max="4" width="18.5703125" style="35" customWidth="1"/>
    <col min="5" max="5" width="18.42578125" style="35" customWidth="1"/>
    <col min="6" max="6" width="9" style="35" customWidth="1"/>
    <col min="7" max="7" width="10.140625" style="35" customWidth="1"/>
    <col min="8" max="8" width="9" style="35" customWidth="1"/>
    <col min="9" max="10" width="9" style="36" customWidth="1"/>
    <col min="11" max="18" width="9" style="35" customWidth="1"/>
    <col min="19"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x14ac:dyDescent="0.25">
      <c r="B2" s="63" t="str">
        <f>"Tariff Approval - "&amp;'Model update'!$C$3</f>
        <v>Tariff Approval - United Energy</v>
      </c>
      <c r="D2" s="38"/>
      <c r="G2" s="161"/>
      <c r="M2" s="77"/>
      <c r="N2" s="77"/>
      <c r="O2" s="77"/>
      <c r="P2" s="77"/>
      <c r="Q2" s="77"/>
      <c r="R2" s="77"/>
    </row>
    <row r="3" spans="1:24" ht="15" x14ac:dyDescent="0.25">
      <c r="B3" s="155"/>
      <c r="D3" s="38"/>
      <c r="M3" s="77"/>
      <c r="N3" s="77"/>
      <c r="O3" s="77"/>
      <c r="P3" s="77"/>
      <c r="Q3" s="77"/>
      <c r="R3" s="77"/>
    </row>
    <row r="4" spans="1:24" ht="18.75" x14ac:dyDescent="0.3">
      <c r="B4" s="156" t="s">
        <v>301</v>
      </c>
      <c r="C4" s="157"/>
      <c r="D4" s="38"/>
      <c r="M4" s="77"/>
      <c r="N4" s="77"/>
      <c r="O4" s="77"/>
      <c r="P4" s="77"/>
      <c r="Q4" s="77"/>
      <c r="R4" s="77"/>
    </row>
    <row r="5" spans="1:24" ht="15" x14ac:dyDescent="0.25">
      <c r="B5" s="39"/>
      <c r="D5" s="38"/>
      <c r="M5" s="77"/>
      <c r="N5" s="77"/>
      <c r="O5" s="77"/>
      <c r="P5" s="77"/>
      <c r="Q5" s="77"/>
      <c r="R5" s="77"/>
    </row>
    <row r="6" spans="1:24" ht="15" x14ac:dyDescent="0.25">
      <c r="B6" s="73" t="s">
        <v>267</v>
      </c>
      <c r="C6" s="108">
        <f>'Model update'!C5</f>
        <v>2019</v>
      </c>
      <c r="D6" s="38"/>
      <c r="M6" s="77"/>
      <c r="N6" s="77"/>
      <c r="O6" s="77"/>
      <c r="P6" s="77"/>
      <c r="Q6" s="77"/>
      <c r="R6" s="77"/>
    </row>
    <row r="7" spans="1:24" ht="15" x14ac:dyDescent="0.25">
      <c r="B7" s="37"/>
      <c r="C7" s="41"/>
      <c r="D7" s="38"/>
      <c r="E7" s="32"/>
      <c r="F7" s="32"/>
      <c r="G7" s="32"/>
      <c r="H7" s="32"/>
      <c r="I7" s="42"/>
      <c r="J7" s="42"/>
      <c r="K7" s="32"/>
      <c r="L7" s="32"/>
      <c r="M7" s="83"/>
      <c r="N7" s="83"/>
      <c r="O7" s="83"/>
      <c r="P7" s="83"/>
      <c r="Q7" s="83"/>
      <c r="R7" s="83"/>
      <c r="S7" s="32"/>
    </row>
    <row r="8" spans="1:24" ht="18" customHeight="1" x14ac:dyDescent="0.2">
      <c r="A8" s="43"/>
      <c r="B8" s="44" t="s">
        <v>315</v>
      </c>
      <c r="C8" s="46"/>
      <c r="D8" s="47"/>
      <c r="E8" s="47"/>
      <c r="M8" s="77"/>
      <c r="N8" s="77"/>
      <c r="O8" s="77"/>
      <c r="P8" s="77"/>
      <c r="Q8" s="77"/>
      <c r="R8" s="77"/>
    </row>
    <row r="9" spans="1:24" ht="18" customHeight="1" x14ac:dyDescent="0.2">
      <c r="A9" s="43"/>
      <c r="B9" s="48" t="s">
        <v>314</v>
      </c>
      <c r="C9" s="72">
        <f>Prop2019TransTar!AS66</f>
        <v>102065514.17659236</v>
      </c>
      <c r="D9" s="47"/>
      <c r="E9" s="36"/>
      <c r="I9" s="35"/>
      <c r="J9" s="35"/>
      <c r="M9" s="77"/>
      <c r="N9" s="77"/>
      <c r="O9" s="77"/>
      <c r="P9" s="77"/>
      <c r="Q9" s="77"/>
      <c r="R9" s="77"/>
    </row>
    <row r="10" spans="1:24" ht="18" customHeight="1" x14ac:dyDescent="0.2">
      <c r="A10" s="43"/>
      <c r="B10" s="84" t="s">
        <v>312</v>
      </c>
      <c r="C10" s="85">
        <f>C17</f>
        <v>102067604.79664528</v>
      </c>
      <c r="D10" s="49"/>
      <c r="E10" s="161"/>
      <c r="I10" s="35"/>
      <c r="J10" s="35"/>
      <c r="M10" s="77"/>
      <c r="N10" s="77"/>
      <c r="O10" s="77"/>
      <c r="P10" s="77"/>
      <c r="Q10" s="77"/>
      <c r="R10" s="77"/>
    </row>
    <row r="11" spans="1:24" ht="18" customHeight="1" x14ac:dyDescent="0.25">
      <c r="A11" s="43"/>
      <c r="B11" s="86"/>
      <c r="C11" s="88" t="str">
        <f>IF(C9="","",IF(C10&gt;=C9,"DPPC REVENUE FORMULA COMPLIANT","DPPC REVENUE FORMULA BREACHED"))</f>
        <v>DPPC REVENUE FORMULA COMPLIANT</v>
      </c>
      <c r="D11" s="50"/>
      <c r="E11" s="74"/>
      <c r="F11" s="75"/>
      <c r="G11" s="75"/>
      <c r="H11" s="75"/>
      <c r="I11" s="75"/>
      <c r="J11" s="75"/>
      <c r="K11" s="75"/>
      <c r="L11" s="75"/>
      <c r="M11" s="77"/>
      <c r="N11" s="77"/>
      <c r="O11" s="77"/>
      <c r="P11" s="77"/>
      <c r="Q11" s="77"/>
      <c r="R11" s="77"/>
      <c r="V11" s="51"/>
      <c r="W11" s="51"/>
      <c r="X11" s="51"/>
    </row>
    <row r="12" spans="1:24" ht="18" customHeight="1" x14ac:dyDescent="0.25">
      <c r="A12" s="43"/>
      <c r="B12" s="50"/>
      <c r="C12" s="50"/>
      <c r="D12" s="50"/>
      <c r="E12" s="74"/>
      <c r="F12" s="75"/>
      <c r="G12" s="75"/>
      <c r="H12" s="75"/>
      <c r="I12" s="75"/>
      <c r="J12" s="75"/>
      <c r="K12" s="75"/>
      <c r="L12" s="75"/>
      <c r="M12" s="77"/>
      <c r="N12" s="77"/>
      <c r="O12" s="77"/>
      <c r="P12" s="77"/>
      <c r="Q12" s="77"/>
      <c r="R12" s="77"/>
      <c r="V12" s="51"/>
      <c r="W12" s="51"/>
      <c r="X12" s="51"/>
    </row>
    <row r="13" spans="1:24" ht="18" customHeight="1" x14ac:dyDescent="0.25">
      <c r="A13" s="43"/>
      <c r="B13" s="44" t="s">
        <v>298</v>
      </c>
      <c r="C13" s="50"/>
      <c r="D13" s="50"/>
      <c r="E13" s="74"/>
      <c r="F13" s="75"/>
      <c r="G13" s="75"/>
      <c r="H13" s="75"/>
      <c r="I13" s="75"/>
      <c r="J13" s="75"/>
      <c r="K13" s="75"/>
      <c r="L13" s="75"/>
      <c r="M13" s="77"/>
      <c r="N13" s="77"/>
      <c r="O13" s="77"/>
      <c r="P13" s="77"/>
      <c r="Q13" s="77"/>
      <c r="R13" s="77"/>
      <c r="V13" s="51"/>
      <c r="W13" s="51"/>
      <c r="X13" s="51"/>
    </row>
    <row r="14" spans="1:24" ht="18" customHeight="1" x14ac:dyDescent="0.25">
      <c r="A14" s="43"/>
      <c r="B14" s="53" t="s">
        <v>299</v>
      </c>
      <c r="C14" s="64">
        <f>C24</f>
        <v>106828611.88596171</v>
      </c>
      <c r="D14" s="50"/>
      <c r="E14" s="74"/>
      <c r="F14" s="75"/>
      <c r="G14" s="75"/>
      <c r="H14" s="75"/>
      <c r="I14" s="75"/>
      <c r="J14" s="75"/>
      <c r="K14" s="75"/>
      <c r="L14" s="75"/>
      <c r="M14" s="77"/>
      <c r="N14" s="77"/>
      <c r="O14" s="77"/>
      <c r="P14" s="77"/>
      <c r="Q14" s="77"/>
      <c r="R14" s="77"/>
      <c r="V14" s="51"/>
      <c r="W14" s="51"/>
      <c r="X14" s="51"/>
    </row>
    <row r="15" spans="1:24" ht="18" customHeight="1" x14ac:dyDescent="0.25">
      <c r="A15" s="43"/>
      <c r="B15" s="54" t="s">
        <v>300</v>
      </c>
      <c r="C15" s="830">
        <f>-E60*(1+E58)^0.5</f>
        <v>-4761007.0893164203</v>
      </c>
      <c r="D15" s="50"/>
      <c r="E15" s="74"/>
      <c r="F15" s="75"/>
      <c r="G15" s="75"/>
      <c r="H15" s="75"/>
      <c r="I15" s="75"/>
      <c r="J15" s="75"/>
      <c r="K15" s="75"/>
      <c r="L15" s="75"/>
      <c r="M15" s="77"/>
      <c r="N15" s="77"/>
      <c r="O15" s="77"/>
      <c r="P15" s="77"/>
      <c r="Q15" s="77"/>
      <c r="R15" s="77"/>
      <c r="V15" s="51"/>
      <c r="W15" s="51"/>
      <c r="X15" s="51"/>
    </row>
    <row r="16" spans="1:24" ht="18" customHeight="1" x14ac:dyDescent="0.25">
      <c r="A16" s="43"/>
      <c r="B16" s="54" t="s">
        <v>297</v>
      </c>
      <c r="C16" s="767"/>
      <c r="D16" s="50"/>
      <c r="E16" s="74"/>
      <c r="F16" s="75"/>
      <c r="G16" s="75"/>
      <c r="H16" s="75"/>
      <c r="I16" s="75"/>
      <c r="J16" s="75"/>
      <c r="K16" s="75"/>
      <c r="L16" s="75"/>
      <c r="M16" s="77"/>
      <c r="N16" s="77"/>
      <c r="O16" s="77"/>
      <c r="P16" s="77"/>
      <c r="Q16" s="77"/>
      <c r="R16" s="77"/>
      <c r="V16" s="51"/>
      <c r="W16" s="51"/>
      <c r="X16" s="51"/>
    </row>
    <row r="17" spans="1:24" ht="18" customHeight="1" x14ac:dyDescent="0.25">
      <c r="A17" s="43"/>
      <c r="B17" s="48" t="s">
        <v>312</v>
      </c>
      <c r="C17" s="65">
        <f>SUM(C14:C16)</f>
        <v>102067604.79664528</v>
      </c>
      <c r="D17" s="50"/>
      <c r="E17" s="74"/>
      <c r="F17" s="75"/>
      <c r="G17" s="75"/>
      <c r="H17" s="75"/>
      <c r="I17" s="75"/>
      <c r="J17" s="75"/>
      <c r="K17" s="75"/>
      <c r="L17" s="75"/>
      <c r="M17" s="77"/>
      <c r="N17" s="77"/>
      <c r="O17" s="77"/>
      <c r="P17" s="77"/>
      <c r="Q17" s="77"/>
      <c r="R17" s="77"/>
      <c r="V17" s="51"/>
      <c r="W17" s="51"/>
      <c r="X17" s="51"/>
    </row>
    <row r="18" spans="1:24" ht="18" customHeight="1" x14ac:dyDescent="0.25">
      <c r="A18" s="43"/>
      <c r="B18" s="56"/>
      <c r="C18" s="106"/>
      <c r="D18" s="50"/>
      <c r="E18" s="74"/>
      <c r="F18" s="75"/>
      <c r="G18" s="75"/>
      <c r="H18" s="75"/>
      <c r="I18" s="75"/>
      <c r="J18" s="75"/>
      <c r="K18" s="75"/>
      <c r="L18" s="75"/>
      <c r="M18" s="77"/>
      <c r="N18" s="77"/>
      <c r="O18" s="77"/>
      <c r="P18" s="77"/>
      <c r="Q18" s="77"/>
      <c r="R18" s="77"/>
      <c r="V18" s="51"/>
      <c r="W18" s="51"/>
      <c r="X18" s="51"/>
    </row>
    <row r="19" spans="1:24" ht="18" customHeight="1" x14ac:dyDescent="0.25">
      <c r="A19" s="43"/>
      <c r="B19" s="44" t="s">
        <v>296</v>
      </c>
      <c r="C19" s="50"/>
      <c r="D19" s="50"/>
      <c r="E19" s="74"/>
      <c r="F19" s="75"/>
      <c r="G19" s="75"/>
      <c r="H19" s="75"/>
      <c r="I19" s="75"/>
      <c r="J19" s="75"/>
      <c r="K19" s="75"/>
      <c r="L19" s="75"/>
      <c r="M19" s="77"/>
      <c r="N19" s="77"/>
      <c r="O19" s="77"/>
      <c r="P19" s="77"/>
      <c r="Q19" s="77"/>
      <c r="R19" s="77"/>
      <c r="V19" s="51"/>
      <c r="W19" s="51"/>
      <c r="X19" s="51"/>
    </row>
    <row r="20" spans="1:24" ht="18" customHeight="1" x14ac:dyDescent="0.25">
      <c r="A20" s="43"/>
      <c r="B20" s="53" t="s">
        <v>293</v>
      </c>
      <c r="C20" s="717">
        <v>95105981.684398785</v>
      </c>
      <c r="D20" s="50"/>
      <c r="E20" s="74"/>
      <c r="F20" s="75"/>
      <c r="G20" s="75"/>
      <c r="H20" s="75"/>
      <c r="I20" s="75"/>
      <c r="J20" s="75"/>
      <c r="K20" s="75"/>
      <c r="L20" s="75"/>
      <c r="M20" s="77"/>
      <c r="N20" s="77"/>
      <c r="O20" s="77"/>
      <c r="P20" s="77"/>
      <c r="Q20" s="77"/>
      <c r="R20" s="77"/>
      <c r="V20" s="51"/>
      <c r="W20" s="51"/>
      <c r="X20" s="51"/>
    </row>
    <row r="21" spans="1:24" ht="18" customHeight="1" x14ac:dyDescent="0.25">
      <c r="A21" s="43"/>
      <c r="B21" s="54" t="s">
        <v>744</v>
      </c>
      <c r="C21" s="717">
        <v>10113996.726420002</v>
      </c>
      <c r="D21" s="50"/>
      <c r="E21" s="74"/>
      <c r="F21" s="75"/>
      <c r="G21" s="75"/>
      <c r="H21" s="75"/>
      <c r="I21" s="75"/>
      <c r="J21" s="75"/>
      <c r="K21" s="75"/>
      <c r="L21" s="75"/>
      <c r="M21" s="77"/>
      <c r="N21" s="77"/>
      <c r="O21" s="77"/>
      <c r="P21" s="77"/>
      <c r="Q21" s="77"/>
      <c r="R21" s="77"/>
      <c r="V21" s="51"/>
      <c r="W21" s="51"/>
      <c r="X21" s="51"/>
    </row>
    <row r="22" spans="1:24" ht="18" customHeight="1" x14ac:dyDescent="0.25">
      <c r="A22" s="43"/>
      <c r="B22" s="54" t="s">
        <v>294</v>
      </c>
      <c r="C22" s="717">
        <v>186551.18640000001</v>
      </c>
      <c r="D22" s="50"/>
      <c r="E22" s="74"/>
      <c r="F22" s="75"/>
      <c r="G22" s="75"/>
      <c r="H22" s="75"/>
      <c r="I22" s="75"/>
      <c r="J22" s="75"/>
      <c r="K22" s="75"/>
      <c r="L22" s="75"/>
      <c r="M22" s="77"/>
      <c r="N22" s="77"/>
      <c r="O22" s="77"/>
      <c r="P22" s="77"/>
      <c r="Q22" s="77"/>
      <c r="R22" s="77"/>
      <c r="V22" s="51"/>
      <c r="W22" s="51"/>
      <c r="X22" s="51"/>
    </row>
    <row r="23" spans="1:24" ht="18" customHeight="1" x14ac:dyDescent="0.25">
      <c r="A23" s="43"/>
      <c r="B23" s="54" t="s">
        <v>295</v>
      </c>
      <c r="C23" s="717">
        <v>-1422082.2887429304</v>
      </c>
      <c r="D23" s="50"/>
      <c r="E23" s="74"/>
      <c r="F23" s="75"/>
      <c r="G23" s="75"/>
      <c r="H23" s="75"/>
      <c r="I23" s="75"/>
      <c r="J23" s="75"/>
      <c r="K23" s="75"/>
      <c r="L23" s="75"/>
      <c r="M23" s="77"/>
      <c r="N23" s="77"/>
      <c r="O23" s="77"/>
      <c r="P23" s="77"/>
      <c r="Q23" s="77"/>
      <c r="R23" s="77"/>
      <c r="V23" s="51"/>
      <c r="W23" s="51"/>
      <c r="X23" s="51"/>
    </row>
    <row r="24" spans="1:24" ht="18" customHeight="1" x14ac:dyDescent="0.25">
      <c r="A24" s="43"/>
      <c r="B24" s="48" t="s">
        <v>291</v>
      </c>
      <c r="C24" s="65">
        <f>C20+C21+C22-C23</f>
        <v>106828611.88596171</v>
      </c>
      <c r="D24" s="50"/>
      <c r="E24" s="74"/>
      <c r="F24" s="75"/>
      <c r="G24" s="75"/>
      <c r="H24" s="75"/>
      <c r="I24" s="75"/>
      <c r="J24" s="75"/>
      <c r="K24" s="75"/>
      <c r="L24" s="75"/>
      <c r="M24" s="77"/>
      <c r="N24" s="77"/>
      <c r="O24" s="77"/>
      <c r="P24" s="77"/>
      <c r="Q24" s="77"/>
      <c r="R24" s="77"/>
      <c r="V24" s="51"/>
      <c r="W24" s="51"/>
      <c r="X24" s="51"/>
    </row>
    <row r="25" spans="1:24" ht="18" customHeight="1" x14ac:dyDescent="0.25">
      <c r="A25" s="43"/>
      <c r="B25" s="57"/>
      <c r="C25" s="68"/>
      <c r="D25" s="50"/>
      <c r="E25" s="74"/>
      <c r="F25" s="75"/>
      <c r="G25" s="75"/>
      <c r="H25" s="75"/>
      <c r="I25" s="75"/>
      <c r="J25" s="75"/>
      <c r="K25" s="75"/>
      <c r="L25" s="75"/>
      <c r="M25" s="77"/>
      <c r="N25" s="77"/>
      <c r="O25" s="77"/>
      <c r="P25" s="77"/>
      <c r="Q25" s="77"/>
      <c r="R25" s="77"/>
      <c r="V25" s="51"/>
      <c r="W25" s="51"/>
      <c r="X25" s="51"/>
    </row>
    <row r="29" spans="1:24" ht="15.75" x14ac:dyDescent="0.25">
      <c r="B29" s="121" t="s">
        <v>304</v>
      </c>
    </row>
    <row r="30" spans="1:24" ht="15" x14ac:dyDescent="0.25">
      <c r="B30" s="113"/>
      <c r="C30" s="126" t="s">
        <v>266</v>
      </c>
      <c r="D30" s="126" t="s">
        <v>575</v>
      </c>
      <c r="E30" s="126" t="s">
        <v>35</v>
      </c>
    </row>
    <row r="31" spans="1:24" ht="15" x14ac:dyDescent="0.25">
      <c r="B31" s="114"/>
      <c r="C31" s="127" t="s">
        <v>34</v>
      </c>
      <c r="D31" s="127" t="s">
        <v>484</v>
      </c>
      <c r="E31" s="127" t="s">
        <v>36</v>
      </c>
    </row>
    <row r="32" spans="1:24" ht="15" x14ac:dyDescent="0.25">
      <c r="B32" s="114"/>
      <c r="C32" s="128">
        <f>D32-1</f>
        <v>2017</v>
      </c>
      <c r="D32" s="128">
        <f>E32-1</f>
        <v>2018</v>
      </c>
      <c r="E32" s="128">
        <f>C$6</f>
        <v>2019</v>
      </c>
    </row>
    <row r="33" spans="2:8" x14ac:dyDescent="0.2">
      <c r="B33" s="288"/>
      <c r="C33" s="112"/>
      <c r="D33" s="112"/>
      <c r="E33" s="124"/>
    </row>
    <row r="34" spans="2:8" ht="15" x14ac:dyDescent="0.25">
      <c r="B34" s="659" t="s">
        <v>313</v>
      </c>
      <c r="C34" s="651">
        <v>115290472.4815871</v>
      </c>
      <c r="D34" s="651">
        <f>Est2018TransRev!AS66</f>
        <v>97357085.194597289</v>
      </c>
      <c r="E34" s="110">
        <f>C9</f>
        <v>102065514.17659236</v>
      </c>
      <c r="G34" s="36"/>
      <c r="H34" s="36"/>
    </row>
    <row r="35" spans="2:8" x14ac:dyDescent="0.2">
      <c r="B35" s="115"/>
      <c r="C35" s="112"/>
      <c r="D35" s="112"/>
      <c r="E35" s="123"/>
    </row>
    <row r="36" spans="2:8" x14ac:dyDescent="0.2">
      <c r="B36" s="115"/>
      <c r="C36" s="112"/>
      <c r="D36" s="112"/>
      <c r="E36" s="123"/>
    </row>
    <row r="37" spans="2:8" ht="15" x14ac:dyDescent="0.25">
      <c r="B37" s="116" t="s">
        <v>303</v>
      </c>
      <c r="C37" s="110">
        <f>SUM(C39:C41)</f>
        <v>108563214.23058911</v>
      </c>
      <c r="D37" s="110">
        <f>SUM(D39:D41)</f>
        <v>106186871.25323579</v>
      </c>
      <c r="E37" s="110">
        <f>SUM(E39:E41)</f>
        <v>106828611.88596171</v>
      </c>
    </row>
    <row r="38" spans="2:8" ht="15" x14ac:dyDescent="0.25">
      <c r="B38" s="116"/>
      <c r="C38" s="110"/>
      <c r="D38" s="110"/>
      <c r="E38" s="110"/>
    </row>
    <row r="39" spans="2:8" x14ac:dyDescent="0.2">
      <c r="B39" s="117" t="s">
        <v>306</v>
      </c>
      <c r="C39" s="761">
        <v>-86801.769410898632</v>
      </c>
      <c r="D39" s="785"/>
      <c r="E39" s="775"/>
    </row>
    <row r="40" spans="2:8" x14ac:dyDescent="0.2">
      <c r="B40" s="117"/>
      <c r="C40" s="774"/>
      <c r="D40" s="160"/>
      <c r="E40" s="664"/>
    </row>
    <row r="41" spans="2:8" x14ac:dyDescent="0.2">
      <c r="B41" s="117" t="s">
        <v>307</v>
      </c>
      <c r="C41" s="109">
        <f>C42+C43+C44-C45</f>
        <v>108650016</v>
      </c>
      <c r="D41" s="109">
        <f>D42+D43+D44-D45</f>
        <v>106186871.25323579</v>
      </c>
      <c r="E41" s="109">
        <f>E42+E43+E44-E45</f>
        <v>106828611.88596171</v>
      </c>
    </row>
    <row r="42" spans="2:8" x14ac:dyDescent="0.2">
      <c r="B42" s="118" t="s">
        <v>308</v>
      </c>
      <c r="C42" s="160">
        <f>'TUoS cost audit template'!F7</f>
        <v>97069630</v>
      </c>
      <c r="D42" s="715">
        <v>94725946.679938808</v>
      </c>
      <c r="E42" s="158">
        <f>C20</f>
        <v>95105981.684398785</v>
      </c>
    </row>
    <row r="43" spans="2:8" x14ac:dyDescent="0.2">
      <c r="B43" s="118" t="s">
        <v>309</v>
      </c>
      <c r="C43" s="160">
        <f>'TUoS cost audit template'!F14</f>
        <v>10089960</v>
      </c>
      <c r="D43" s="715">
        <v>9883832.9309999999</v>
      </c>
      <c r="E43" s="123">
        <f>C21</f>
        <v>10113996.726420002</v>
      </c>
    </row>
    <row r="44" spans="2:8" x14ac:dyDescent="0.2">
      <c r="B44" s="118" t="s">
        <v>310</v>
      </c>
      <c r="C44" s="160">
        <f>'TUoS cost audit template'!F42</f>
        <v>11279</v>
      </c>
      <c r="D44" s="715">
        <v>182893.32</v>
      </c>
      <c r="E44" s="123">
        <f>C22</f>
        <v>186551.18640000001</v>
      </c>
    </row>
    <row r="45" spans="2:8" x14ac:dyDescent="0.2">
      <c r="B45" s="118" t="s">
        <v>311</v>
      </c>
      <c r="C45" s="774">
        <f>'TUoS cost audit template'!F24</f>
        <v>-1479147</v>
      </c>
      <c r="D45" s="716">
        <v>-1394198.3222969905</v>
      </c>
      <c r="E45" s="134">
        <f>C23</f>
        <v>-1422082.2887429304</v>
      </c>
    </row>
    <row r="46" spans="2:8" ht="15" x14ac:dyDescent="0.25">
      <c r="B46" s="119"/>
      <c r="C46" s="112"/>
      <c r="D46" s="112"/>
      <c r="E46" s="123"/>
    </row>
    <row r="47" spans="2:8" x14ac:dyDescent="0.2">
      <c r="B47" s="117"/>
      <c r="C47" s="160"/>
      <c r="D47" s="160"/>
      <c r="E47" s="125"/>
    </row>
    <row r="48" spans="2:8" x14ac:dyDescent="0.2">
      <c r="B48" s="120"/>
      <c r="C48" s="112"/>
      <c r="D48" s="112"/>
      <c r="E48" s="123"/>
    </row>
    <row r="49" spans="2:7" ht="15" x14ac:dyDescent="0.25">
      <c r="B49" s="660" t="s">
        <v>45</v>
      </c>
      <c r="C49" s="110">
        <f>C34-C37</f>
        <v>6727258.2509979904</v>
      </c>
      <c r="D49" s="110">
        <f>D34-D37</f>
        <v>-8829786.0586384982</v>
      </c>
      <c r="E49" s="110">
        <f>E34-E37</f>
        <v>-4763097.7093693465</v>
      </c>
    </row>
    <row r="50" spans="2:7" x14ac:dyDescent="0.2">
      <c r="B50" s="40"/>
      <c r="D50" s="34"/>
    </row>
    <row r="51" spans="2:7" x14ac:dyDescent="0.2">
      <c r="B51" s="40"/>
      <c r="D51" s="34"/>
    </row>
    <row r="52" spans="2:7" x14ac:dyDescent="0.2">
      <c r="B52" s="40"/>
      <c r="D52" s="34"/>
    </row>
    <row r="53" spans="2:7" ht="15.75" x14ac:dyDescent="0.25">
      <c r="B53" s="121" t="s">
        <v>305</v>
      </c>
      <c r="D53" s="34"/>
    </row>
    <row r="54" spans="2:7" ht="15" x14ac:dyDescent="0.25">
      <c r="B54" s="661"/>
      <c r="C54" s="126" t="s">
        <v>266</v>
      </c>
      <c r="D54" s="126" t="s">
        <v>575</v>
      </c>
      <c r="E54" s="126" t="s">
        <v>35</v>
      </c>
    </row>
    <row r="55" spans="2:7" ht="15" x14ac:dyDescent="0.25">
      <c r="B55" s="120"/>
      <c r="C55" s="127" t="s">
        <v>34</v>
      </c>
      <c r="D55" s="127" t="s">
        <v>484</v>
      </c>
      <c r="E55" s="127" t="s">
        <v>36</v>
      </c>
    </row>
    <row r="56" spans="2:7" ht="15" x14ac:dyDescent="0.25">
      <c r="B56" s="662" t="s">
        <v>268</v>
      </c>
      <c r="C56" s="128">
        <f>D56-1</f>
        <v>2017</v>
      </c>
      <c r="D56" s="128">
        <f>E56-1</f>
        <v>2018</v>
      </c>
      <c r="E56" s="128">
        <f>C$6</f>
        <v>2019</v>
      </c>
    </row>
    <row r="57" spans="2:7" x14ac:dyDescent="0.2">
      <c r="B57" s="120"/>
      <c r="C57" s="122"/>
      <c r="D57" s="122"/>
      <c r="E57" s="124"/>
    </row>
    <row r="58" spans="2:7" x14ac:dyDescent="0.2">
      <c r="B58" s="120" t="s">
        <v>576</v>
      </c>
      <c r="C58" s="652">
        <f>(1+'Model update'!$B$47)*(1+'Model update'!$C$28)-1</f>
        <v>4.9323538988905291E-2</v>
      </c>
      <c r="D58" s="122">
        <f>(1+'Model update'!$B$45)*(1+'Model update'!$C$29)-1</f>
        <v>5.8198039573977622E-2</v>
      </c>
      <c r="E58" s="653">
        <f>(1+'Model update'!$B$43)*(1+'Model update'!$C$30)-1</f>
        <v>5.90724924111663E-2</v>
      </c>
    </row>
    <row r="59" spans="2:7" x14ac:dyDescent="0.2">
      <c r="B59" s="120"/>
      <c r="C59" s="112"/>
      <c r="D59" s="112"/>
      <c r="E59" s="124"/>
    </row>
    <row r="60" spans="2:7" x14ac:dyDescent="0.2">
      <c r="B60" s="120" t="s">
        <v>47</v>
      </c>
      <c r="C60" s="761">
        <v>5779214.5261131171</v>
      </c>
      <c r="D60" s="123">
        <f>C64</f>
        <v>12955433.36229231</v>
      </c>
      <c r="E60" s="123">
        <f>D64</f>
        <v>4626323.3524176581</v>
      </c>
    </row>
    <row r="61" spans="2:7" x14ac:dyDescent="0.2">
      <c r="B61" s="120" t="s">
        <v>577</v>
      </c>
      <c r="C61" s="160">
        <f>C60*C58</f>
        <v>285051.31300398812</v>
      </c>
      <c r="D61" s="160">
        <f>D60*D58</f>
        <v>753980.82351671788</v>
      </c>
      <c r="E61" s="160">
        <f>E60*E58</f>
        <v>273288.45112729352</v>
      </c>
    </row>
    <row r="62" spans="2:7" x14ac:dyDescent="0.2">
      <c r="B62" s="120" t="s">
        <v>48</v>
      </c>
      <c r="C62" s="123">
        <f>C49</f>
        <v>6727258.2509979904</v>
      </c>
      <c r="D62" s="123">
        <f>D49</f>
        <v>-8829786.0586384982</v>
      </c>
      <c r="E62" s="123">
        <f>E49</f>
        <v>-4763097.7093693465</v>
      </c>
    </row>
    <row r="63" spans="2:7" x14ac:dyDescent="0.2">
      <c r="B63" s="120" t="s">
        <v>501</v>
      </c>
      <c r="C63" s="160">
        <f>C62*((1+C58)^0.5-1)</f>
        <v>163909.27217721468</v>
      </c>
      <c r="D63" s="160">
        <f>D62*((1+D58)^0.5-1)</f>
        <v>-253304.7747528711</v>
      </c>
      <c r="E63" s="160">
        <f>E62*((1+E58)^0.5-1)</f>
        <v>-138665.57735886564</v>
      </c>
    </row>
    <row r="64" spans="2:7" ht="15" x14ac:dyDescent="0.25">
      <c r="B64" s="660" t="s">
        <v>398</v>
      </c>
      <c r="C64" s="110">
        <f>SUM(C60:C63)</f>
        <v>12955433.36229231</v>
      </c>
      <c r="D64" s="110">
        <f t="shared" ref="D64:E64" si="0">SUM(D60:D63)</f>
        <v>4626323.3524176581</v>
      </c>
      <c r="E64" s="110">
        <f t="shared" si="0"/>
        <v>-2151.4831832605414</v>
      </c>
      <c r="G64" s="786"/>
    </row>
    <row r="66" spans="2:2" x14ac:dyDescent="0.2">
      <c r="B66" s="726" t="s">
        <v>589</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1"/>
    <pageSetUpPr fitToPage="1"/>
  </sheetPr>
  <dimension ref="A1:AO176"/>
  <sheetViews>
    <sheetView showGridLines="0" zoomScale="90" zoomScaleNormal="90" workbookViewId="0"/>
  </sheetViews>
  <sheetFormatPr defaultColWidth="9.140625" defaultRowHeight="12.75" x14ac:dyDescent="0.2"/>
  <cols>
    <col min="1" max="1" width="4.7109375" style="210" customWidth="1"/>
    <col min="2" max="2" width="35.140625" style="249" bestFit="1" customWidth="1"/>
    <col min="3" max="3" width="13" style="249" customWidth="1"/>
    <col min="4" max="4" width="16" style="249" customWidth="1"/>
    <col min="5" max="5" width="13" style="249" customWidth="1"/>
    <col min="6" max="6" width="15.140625" style="249" customWidth="1"/>
    <col min="7" max="7" width="10.5703125" style="210" customWidth="1"/>
    <col min="8" max="8" width="14.85546875" style="210" customWidth="1"/>
    <col min="9" max="9" width="14.5703125" style="210" customWidth="1"/>
    <col min="10" max="13" width="10.5703125" style="210" customWidth="1"/>
    <col min="14" max="14" width="10.5703125" style="249" customWidth="1"/>
    <col min="15" max="16384" width="9.140625" style="249"/>
  </cols>
  <sheetData>
    <row r="1" spans="1:41" s="210" customFormat="1" ht="15.75" thickBot="1" x14ac:dyDescent="0.3">
      <c r="A1" s="89"/>
      <c r="B1" s="166" t="str">
        <f>"Tariff Approval - "&amp;'Model update'!C3</f>
        <v>Tariff Approval - United Energy</v>
      </c>
    </row>
    <row r="2" spans="1:41" x14ac:dyDescent="0.2">
      <c r="B2" s="868" t="s">
        <v>271</v>
      </c>
      <c r="C2" s="869"/>
      <c r="D2" s="869"/>
      <c r="E2" s="602"/>
      <c r="F2" s="135" t="s">
        <v>272</v>
      </c>
      <c r="G2" s="514"/>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row>
    <row r="3" spans="1:41" x14ac:dyDescent="0.2">
      <c r="B3" s="863"/>
      <c r="C3" s="867"/>
      <c r="D3" s="867"/>
      <c r="E3" s="605"/>
      <c r="F3" s="136"/>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row>
    <row r="4" spans="1:41" x14ac:dyDescent="0.2">
      <c r="B4" s="863" t="s">
        <v>705</v>
      </c>
      <c r="C4" s="867"/>
      <c r="D4" s="867"/>
      <c r="E4" s="605"/>
      <c r="F4" s="136">
        <v>21691128</v>
      </c>
      <c r="N4" s="210"/>
      <c r="O4" s="210"/>
      <c r="P4" s="210"/>
      <c r="Q4" s="210"/>
      <c r="R4" s="210"/>
      <c r="S4" s="210"/>
      <c r="T4" s="210"/>
      <c r="U4" s="210"/>
      <c r="V4" s="210"/>
      <c r="W4" s="210"/>
      <c r="X4" s="210"/>
      <c r="Y4" s="210"/>
      <c r="Z4" s="210"/>
      <c r="AA4" s="210"/>
      <c r="AB4" s="210"/>
      <c r="AC4" s="210"/>
      <c r="AD4" s="210"/>
      <c r="AE4" s="210"/>
      <c r="AF4" s="210"/>
      <c r="AG4" s="210"/>
      <c r="AH4" s="210"/>
      <c r="AI4" s="210"/>
      <c r="AJ4" s="210"/>
      <c r="AK4" s="210"/>
      <c r="AL4" s="210"/>
      <c r="AM4" s="210"/>
      <c r="AN4" s="210"/>
      <c r="AO4" s="210"/>
    </row>
    <row r="5" spans="1:41" x14ac:dyDescent="0.2">
      <c r="B5" s="863" t="s">
        <v>706</v>
      </c>
      <c r="C5" s="867"/>
      <c r="D5" s="867"/>
      <c r="E5" s="605"/>
      <c r="F5" s="136">
        <v>72806702</v>
      </c>
      <c r="N5" s="210"/>
      <c r="O5" s="210"/>
      <c r="P5" s="210"/>
      <c r="Q5" s="210"/>
      <c r="R5" s="210"/>
      <c r="S5" s="210"/>
      <c r="T5" s="210"/>
      <c r="U5" s="210"/>
      <c r="V5" s="210"/>
      <c r="W5" s="210"/>
      <c r="X5" s="210"/>
      <c r="Y5" s="210"/>
      <c r="Z5" s="210"/>
      <c r="AA5" s="210"/>
      <c r="AB5" s="210"/>
      <c r="AC5" s="210"/>
      <c r="AD5" s="210"/>
      <c r="AE5" s="210"/>
      <c r="AF5" s="210"/>
      <c r="AG5" s="210"/>
      <c r="AH5" s="210"/>
      <c r="AI5" s="210"/>
      <c r="AJ5" s="210"/>
      <c r="AK5" s="210"/>
      <c r="AL5" s="210"/>
      <c r="AM5" s="210"/>
      <c r="AN5" s="210"/>
      <c r="AO5" s="210"/>
    </row>
    <row r="6" spans="1:41" x14ac:dyDescent="0.2">
      <c r="B6" s="863" t="s">
        <v>707</v>
      </c>
      <c r="C6" s="867"/>
      <c r="D6" s="867"/>
      <c r="E6" s="605"/>
      <c r="F6" s="136">
        <v>2571800</v>
      </c>
      <c r="N6" s="210"/>
      <c r="O6" s="210"/>
      <c r="P6" s="210"/>
      <c r="Q6" s="210"/>
      <c r="R6" s="210"/>
      <c r="S6" s="210"/>
      <c r="T6" s="210"/>
      <c r="U6" s="210"/>
      <c r="V6" s="210"/>
      <c r="W6" s="210"/>
      <c r="X6" s="210"/>
      <c r="Y6" s="210"/>
      <c r="Z6" s="210"/>
      <c r="AA6" s="210"/>
      <c r="AB6" s="210"/>
      <c r="AC6" s="210"/>
      <c r="AD6" s="210"/>
      <c r="AE6" s="210"/>
      <c r="AF6" s="210"/>
      <c r="AG6" s="210"/>
      <c r="AH6" s="210"/>
      <c r="AI6" s="210"/>
      <c r="AJ6" s="210"/>
      <c r="AK6" s="210"/>
      <c r="AL6" s="210"/>
      <c r="AM6" s="210"/>
      <c r="AN6" s="210"/>
      <c r="AO6" s="210"/>
    </row>
    <row r="7" spans="1:41" ht="13.5" thickBot="1" x14ac:dyDescent="0.25">
      <c r="B7" s="870"/>
      <c r="C7" s="857"/>
      <c r="D7" s="857"/>
      <c r="E7" s="137" t="s">
        <v>122</v>
      </c>
      <c r="F7" s="138">
        <f>SUM(F3:F6)</f>
        <v>97069630</v>
      </c>
      <c r="N7" s="210"/>
      <c r="O7" s="210"/>
      <c r="P7" s="210"/>
      <c r="Q7" s="210"/>
      <c r="R7" s="210"/>
      <c r="S7" s="210"/>
      <c r="T7" s="210"/>
      <c r="U7" s="210"/>
      <c r="V7" s="210"/>
      <c r="W7" s="210"/>
      <c r="X7" s="210"/>
      <c r="Y7" s="210"/>
      <c r="Z7" s="210"/>
      <c r="AA7" s="210"/>
      <c r="AB7" s="210"/>
      <c r="AC7" s="210"/>
      <c r="AD7" s="210"/>
      <c r="AE7" s="210"/>
      <c r="AF7" s="210"/>
      <c r="AG7" s="210"/>
      <c r="AH7" s="210"/>
      <c r="AI7" s="210"/>
      <c r="AJ7" s="210"/>
      <c r="AK7" s="210"/>
      <c r="AL7" s="210"/>
      <c r="AM7" s="210"/>
      <c r="AN7" s="210"/>
      <c r="AO7" s="210"/>
    </row>
    <row r="8" spans="1:41" ht="13.5" thickBot="1" x14ac:dyDescent="0.25">
      <c r="B8" s="608"/>
      <c r="C8" s="608"/>
      <c r="D8" s="608"/>
      <c r="E8" s="608"/>
      <c r="F8" s="608"/>
      <c r="N8" s="210"/>
      <c r="O8" s="210"/>
      <c r="P8" s="210"/>
      <c r="Q8" s="210"/>
      <c r="R8" s="210"/>
      <c r="S8" s="210"/>
      <c r="T8" s="210"/>
      <c r="U8" s="210"/>
      <c r="V8" s="210"/>
      <c r="W8" s="210"/>
      <c r="X8" s="210"/>
      <c r="Y8" s="210"/>
      <c r="Z8" s="210"/>
      <c r="AA8" s="210"/>
      <c r="AB8" s="210"/>
      <c r="AC8" s="210"/>
      <c r="AD8" s="210"/>
      <c r="AE8" s="210"/>
      <c r="AF8" s="210"/>
      <c r="AG8" s="210"/>
      <c r="AH8" s="210"/>
      <c r="AI8" s="210"/>
      <c r="AJ8" s="210"/>
      <c r="AK8" s="210"/>
      <c r="AL8" s="210"/>
      <c r="AM8" s="210"/>
      <c r="AN8" s="210"/>
      <c r="AO8" s="210"/>
    </row>
    <row r="9" spans="1:41" x14ac:dyDescent="0.2">
      <c r="B9" s="868" t="s">
        <v>273</v>
      </c>
      <c r="C9" s="869"/>
      <c r="D9" s="869"/>
      <c r="E9" s="602"/>
      <c r="F9" s="135" t="s">
        <v>272</v>
      </c>
      <c r="N9" s="210"/>
      <c r="O9" s="210"/>
      <c r="P9" s="210"/>
      <c r="Q9" s="210"/>
      <c r="R9" s="210"/>
      <c r="S9" s="210"/>
      <c r="T9" s="210"/>
      <c r="U9" s="210"/>
      <c r="V9" s="210"/>
      <c r="W9" s="210"/>
      <c r="X9" s="210"/>
      <c r="Y9" s="210"/>
      <c r="Z9" s="210"/>
      <c r="AA9" s="210"/>
      <c r="AB9" s="210"/>
      <c r="AC9" s="210"/>
      <c r="AD9" s="210"/>
      <c r="AE9" s="210"/>
      <c r="AF9" s="210"/>
      <c r="AG9" s="210"/>
      <c r="AH9" s="210"/>
      <c r="AI9" s="210"/>
      <c r="AJ9" s="210"/>
      <c r="AK9" s="210"/>
      <c r="AL9" s="210"/>
      <c r="AM9" s="210"/>
      <c r="AN9" s="210"/>
      <c r="AO9" s="210"/>
    </row>
    <row r="10" spans="1:41" x14ac:dyDescent="0.2">
      <c r="B10" s="863"/>
      <c r="C10" s="867"/>
      <c r="D10" s="867"/>
      <c r="E10" s="605"/>
      <c r="F10" s="136"/>
      <c r="N10" s="210"/>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c r="AM10" s="210"/>
      <c r="AN10" s="210"/>
      <c r="AO10" s="210"/>
    </row>
    <row r="11" spans="1:41" x14ac:dyDescent="0.2">
      <c r="B11" s="863" t="s">
        <v>708</v>
      </c>
      <c r="C11" s="867"/>
      <c r="D11" s="867"/>
      <c r="E11" s="605"/>
      <c r="F11" s="136">
        <v>8653641</v>
      </c>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row>
    <row r="12" spans="1:41" x14ac:dyDescent="0.2">
      <c r="B12" s="863" t="s">
        <v>709</v>
      </c>
      <c r="C12" s="867"/>
      <c r="D12" s="867"/>
      <c r="E12" s="605"/>
      <c r="F12" s="136">
        <v>1436319</v>
      </c>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row>
    <row r="13" spans="1:41" x14ac:dyDescent="0.2">
      <c r="B13" s="863"/>
      <c r="C13" s="867"/>
      <c r="D13" s="867"/>
      <c r="E13" s="605"/>
      <c r="F13" s="136"/>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row>
    <row r="14" spans="1:41" ht="13.5" thickBot="1" x14ac:dyDescent="0.25">
      <c r="B14" s="870"/>
      <c r="C14" s="857"/>
      <c r="D14" s="857"/>
      <c r="E14" s="137" t="s">
        <v>122</v>
      </c>
      <c r="F14" s="138">
        <f>SUM(F10:F13)</f>
        <v>10089960</v>
      </c>
      <c r="N14" s="210"/>
      <c r="O14" s="210"/>
      <c r="P14" s="210"/>
      <c r="Q14" s="210"/>
      <c r="R14" s="210"/>
      <c r="S14" s="210"/>
      <c r="T14" s="210"/>
      <c r="U14" s="210"/>
      <c r="V14" s="210"/>
      <c r="W14" s="210"/>
      <c r="X14" s="210"/>
      <c r="Y14" s="210"/>
      <c r="Z14" s="210"/>
      <c r="AA14" s="210"/>
      <c r="AB14" s="210"/>
      <c r="AC14" s="210"/>
      <c r="AD14" s="210"/>
      <c r="AE14" s="210"/>
      <c r="AF14" s="210"/>
      <c r="AG14" s="210"/>
      <c r="AH14" s="210"/>
      <c r="AI14" s="210"/>
      <c r="AJ14" s="210"/>
      <c r="AK14" s="210"/>
      <c r="AL14" s="210"/>
      <c r="AM14" s="210"/>
      <c r="AN14" s="210"/>
      <c r="AO14" s="210"/>
    </row>
    <row r="15" spans="1:41" ht="13.5" thickBot="1" x14ac:dyDescent="0.25">
      <c r="B15" s="608"/>
      <c r="C15" s="608"/>
      <c r="D15" s="608"/>
      <c r="E15" s="608"/>
      <c r="F15" s="608"/>
      <c r="N15" s="210"/>
      <c r="O15" s="210"/>
      <c r="P15" s="210"/>
      <c r="Q15" s="210"/>
      <c r="R15" s="210"/>
      <c r="S15" s="210"/>
      <c r="T15" s="210"/>
      <c r="U15" s="210"/>
      <c r="V15" s="210"/>
      <c r="W15" s="210"/>
      <c r="X15" s="210"/>
      <c r="Y15" s="210"/>
      <c r="Z15" s="210"/>
      <c r="AA15" s="210"/>
      <c r="AB15" s="210"/>
      <c r="AC15" s="210"/>
      <c r="AD15" s="210"/>
      <c r="AE15" s="210"/>
      <c r="AF15" s="210"/>
      <c r="AG15" s="210"/>
      <c r="AH15" s="210"/>
      <c r="AI15" s="210"/>
      <c r="AJ15" s="210"/>
      <c r="AK15" s="210"/>
      <c r="AL15" s="210"/>
      <c r="AM15" s="210"/>
      <c r="AN15" s="210"/>
      <c r="AO15" s="210"/>
    </row>
    <row r="16" spans="1:41" x14ac:dyDescent="0.2">
      <c r="B16" s="139" t="s">
        <v>274</v>
      </c>
      <c r="C16" s="140"/>
      <c r="D16" s="140"/>
      <c r="E16" s="140"/>
      <c r="F16" s="141" t="s">
        <v>272</v>
      </c>
      <c r="N16" s="210"/>
      <c r="O16" s="210"/>
      <c r="P16" s="210"/>
      <c r="Q16" s="210"/>
      <c r="R16" s="210"/>
      <c r="S16" s="210"/>
      <c r="T16" s="210"/>
      <c r="U16" s="210"/>
      <c r="V16" s="210"/>
      <c r="W16" s="210"/>
      <c r="X16" s="210"/>
      <c r="Y16" s="210"/>
      <c r="Z16" s="210"/>
      <c r="AA16" s="210"/>
      <c r="AB16" s="210"/>
      <c r="AC16" s="210"/>
      <c r="AD16" s="210"/>
      <c r="AE16" s="210"/>
      <c r="AF16" s="210"/>
      <c r="AG16" s="210"/>
      <c r="AH16" s="210"/>
      <c r="AI16" s="210"/>
      <c r="AJ16" s="210"/>
      <c r="AK16" s="210"/>
      <c r="AL16" s="210"/>
      <c r="AM16" s="210"/>
      <c r="AN16" s="210"/>
      <c r="AO16" s="210"/>
    </row>
    <row r="17" spans="1:41" x14ac:dyDescent="0.2">
      <c r="A17" s="762"/>
      <c r="B17" s="871" t="s">
        <v>275</v>
      </c>
      <c r="C17" s="873" t="s">
        <v>276</v>
      </c>
      <c r="D17" s="873"/>
      <c r="E17" s="873"/>
      <c r="F17" s="874"/>
      <c r="N17" s="210"/>
      <c r="O17" s="210"/>
      <c r="P17" s="210"/>
      <c r="Q17" s="210"/>
      <c r="R17" s="210"/>
      <c r="S17" s="210"/>
      <c r="T17" s="210"/>
      <c r="U17" s="210"/>
      <c r="V17" s="210"/>
      <c r="W17" s="210"/>
      <c r="X17" s="210"/>
      <c r="Y17" s="210"/>
      <c r="Z17" s="210"/>
      <c r="AA17" s="210"/>
      <c r="AB17" s="210"/>
      <c r="AC17" s="210"/>
      <c r="AD17" s="210"/>
      <c r="AE17" s="210"/>
      <c r="AF17" s="210"/>
      <c r="AG17" s="210"/>
      <c r="AH17" s="210"/>
      <c r="AI17" s="210"/>
      <c r="AJ17" s="210"/>
      <c r="AK17" s="210"/>
      <c r="AL17" s="210"/>
      <c r="AM17" s="210"/>
      <c r="AN17" s="210"/>
      <c r="AO17" s="210"/>
    </row>
    <row r="18" spans="1:41" ht="25.5" x14ac:dyDescent="0.2">
      <c r="A18" s="762"/>
      <c r="B18" s="872"/>
      <c r="C18" s="142" t="s">
        <v>277</v>
      </c>
      <c r="D18" s="142" t="s">
        <v>278</v>
      </c>
      <c r="E18" s="142" t="s">
        <v>279</v>
      </c>
      <c r="F18" s="143" t="s">
        <v>122</v>
      </c>
      <c r="N18" s="210"/>
      <c r="O18" s="210"/>
      <c r="P18" s="210"/>
      <c r="Q18" s="210"/>
      <c r="R18" s="210"/>
      <c r="S18" s="210"/>
      <c r="T18" s="210"/>
      <c r="U18" s="210"/>
      <c r="V18" s="210"/>
      <c r="W18" s="210"/>
      <c r="X18" s="210"/>
      <c r="Y18" s="210"/>
      <c r="Z18" s="210"/>
      <c r="AA18" s="210"/>
      <c r="AB18" s="210"/>
      <c r="AC18" s="210"/>
      <c r="AD18" s="210"/>
      <c r="AE18" s="210"/>
      <c r="AF18" s="210"/>
      <c r="AG18" s="210"/>
      <c r="AH18" s="210"/>
      <c r="AI18" s="210"/>
      <c r="AJ18" s="210"/>
      <c r="AK18" s="210"/>
      <c r="AL18" s="210"/>
      <c r="AM18" s="210"/>
      <c r="AN18" s="210"/>
      <c r="AO18" s="210"/>
    </row>
    <row r="19" spans="1:41" x14ac:dyDescent="0.2">
      <c r="A19" s="762"/>
      <c r="B19" s="603"/>
      <c r="C19" s="144"/>
      <c r="D19" s="145"/>
      <c r="E19" s="146"/>
      <c r="F19" s="147"/>
      <c r="N19" s="210"/>
      <c r="O19" s="210"/>
      <c r="P19" s="210"/>
      <c r="Q19" s="210"/>
      <c r="R19" s="210"/>
      <c r="S19" s="210"/>
      <c r="T19" s="210"/>
      <c r="U19" s="210"/>
      <c r="V19" s="210"/>
      <c r="W19" s="210"/>
      <c r="X19" s="210"/>
      <c r="Y19" s="210"/>
      <c r="Z19" s="210"/>
      <c r="AA19" s="210"/>
      <c r="AB19" s="210"/>
      <c r="AC19" s="210"/>
      <c r="AD19" s="210"/>
      <c r="AE19" s="210"/>
      <c r="AF19" s="210"/>
      <c r="AG19" s="210"/>
      <c r="AH19" s="210"/>
      <c r="AI19" s="210"/>
      <c r="AJ19" s="210"/>
      <c r="AK19" s="210"/>
      <c r="AL19" s="210"/>
      <c r="AM19" s="210"/>
      <c r="AN19" s="210"/>
      <c r="AO19" s="210"/>
    </row>
    <row r="20" spans="1:41" x14ac:dyDescent="0.2">
      <c r="A20" s="762"/>
      <c r="B20" s="603" t="s">
        <v>710</v>
      </c>
      <c r="C20" s="144">
        <v>0</v>
      </c>
      <c r="D20" s="144">
        <v>0</v>
      </c>
      <c r="E20" s="148">
        <v>0</v>
      </c>
      <c r="F20" s="776">
        <f>SUM(C20:E20)</f>
        <v>0</v>
      </c>
      <c r="N20" s="210"/>
      <c r="O20" s="210"/>
      <c r="P20" s="210"/>
      <c r="Q20" s="210"/>
      <c r="R20" s="210"/>
      <c r="S20" s="210"/>
      <c r="T20" s="210"/>
      <c r="U20" s="210"/>
      <c r="V20" s="210"/>
      <c r="W20" s="210"/>
      <c r="X20" s="210"/>
      <c r="Y20" s="210"/>
      <c r="Z20" s="210"/>
      <c r="AA20" s="210"/>
      <c r="AB20" s="210"/>
      <c r="AC20" s="210"/>
      <c r="AD20" s="210"/>
      <c r="AE20" s="210"/>
      <c r="AF20" s="210"/>
      <c r="AG20" s="210"/>
      <c r="AH20" s="210"/>
      <c r="AI20" s="210"/>
      <c r="AJ20" s="210"/>
      <c r="AK20" s="210"/>
      <c r="AL20" s="210"/>
      <c r="AM20" s="210"/>
      <c r="AN20" s="210"/>
      <c r="AO20" s="210"/>
    </row>
    <row r="21" spans="1:41" x14ac:dyDescent="0.2">
      <c r="A21" s="762"/>
      <c r="B21" s="603" t="s">
        <v>711</v>
      </c>
      <c r="C21" s="144">
        <v>0</v>
      </c>
      <c r="D21" s="144">
        <v>0</v>
      </c>
      <c r="E21" s="148">
        <v>-1479147</v>
      </c>
      <c r="F21" s="776">
        <f>SUM(C21:E21)</f>
        <v>-1479147</v>
      </c>
      <c r="N21" s="210"/>
      <c r="O21" s="210"/>
      <c r="P21" s="210"/>
      <c r="Q21" s="210"/>
      <c r="R21" s="210"/>
      <c r="S21" s="210"/>
      <c r="T21" s="210"/>
      <c r="U21" s="210"/>
      <c r="V21" s="210"/>
      <c r="W21" s="210"/>
      <c r="X21" s="210"/>
      <c r="Y21" s="210"/>
      <c r="Z21" s="210"/>
      <c r="AA21" s="210"/>
      <c r="AB21" s="210"/>
      <c r="AC21" s="210"/>
      <c r="AD21" s="210"/>
      <c r="AE21" s="210"/>
      <c r="AF21" s="210"/>
      <c r="AG21" s="210"/>
      <c r="AH21" s="210"/>
      <c r="AI21" s="210"/>
      <c r="AJ21" s="210"/>
      <c r="AK21" s="210"/>
      <c r="AL21" s="210"/>
      <c r="AM21" s="210"/>
      <c r="AN21" s="210"/>
      <c r="AO21" s="210"/>
    </row>
    <row r="22" spans="1:41" x14ac:dyDescent="0.2">
      <c r="A22" s="762"/>
      <c r="B22" s="603"/>
      <c r="C22" s="144"/>
      <c r="D22" s="144"/>
      <c r="E22" s="148"/>
      <c r="F22" s="615"/>
      <c r="N22" s="210"/>
      <c r="O22" s="210"/>
      <c r="P22" s="210"/>
      <c r="Q22" s="210"/>
      <c r="R22" s="210"/>
      <c r="S22" s="210"/>
      <c r="T22" s="210"/>
      <c r="U22" s="210"/>
      <c r="V22" s="210"/>
      <c r="W22" s="210"/>
      <c r="X22" s="210"/>
      <c r="Y22" s="210"/>
      <c r="Z22" s="210"/>
      <c r="AA22" s="210"/>
      <c r="AB22" s="210"/>
      <c r="AC22" s="210"/>
      <c r="AD22" s="210"/>
      <c r="AE22" s="210"/>
      <c r="AF22" s="210"/>
      <c r="AG22" s="210"/>
      <c r="AH22" s="210"/>
      <c r="AI22" s="210"/>
      <c r="AJ22" s="210"/>
      <c r="AK22" s="210"/>
      <c r="AL22" s="210"/>
      <c r="AM22" s="210"/>
      <c r="AN22" s="210"/>
      <c r="AO22" s="210"/>
    </row>
    <row r="23" spans="1:41" x14ac:dyDescent="0.2">
      <c r="A23" s="762"/>
      <c r="B23" s="603"/>
      <c r="C23" s="144"/>
      <c r="D23" s="144"/>
      <c r="E23" s="148"/>
      <c r="F23" s="615"/>
      <c r="N23" s="210"/>
      <c r="O23" s="210"/>
      <c r="P23" s="210"/>
      <c r="Q23" s="210"/>
      <c r="R23" s="210"/>
      <c r="S23" s="210"/>
      <c r="T23" s="210"/>
      <c r="U23" s="210"/>
      <c r="V23" s="210"/>
      <c r="W23" s="210"/>
      <c r="X23" s="210"/>
      <c r="Y23" s="210"/>
      <c r="Z23" s="210"/>
      <c r="AA23" s="210"/>
      <c r="AB23" s="210"/>
      <c r="AC23" s="210"/>
      <c r="AD23" s="210"/>
      <c r="AE23" s="210"/>
      <c r="AF23" s="210"/>
      <c r="AG23" s="210"/>
      <c r="AH23" s="210"/>
      <c r="AI23" s="210"/>
      <c r="AJ23" s="210"/>
      <c r="AK23" s="210"/>
      <c r="AL23" s="210"/>
      <c r="AM23" s="210"/>
      <c r="AN23" s="210"/>
      <c r="AO23" s="210"/>
    </row>
    <row r="24" spans="1:41" ht="13.5" thickBot="1" x14ac:dyDescent="0.25">
      <c r="A24" s="762"/>
      <c r="B24" s="149" t="s">
        <v>122</v>
      </c>
      <c r="C24" s="150"/>
      <c r="D24" s="150"/>
      <c r="E24" s="151"/>
      <c r="F24" s="138">
        <f>SUM(F19:F23)</f>
        <v>-1479147</v>
      </c>
      <c r="N24" s="210"/>
      <c r="O24" s="210"/>
      <c r="P24" s="210"/>
      <c r="Q24" s="210"/>
      <c r="R24" s="210"/>
      <c r="S24" s="210"/>
      <c r="T24" s="210"/>
      <c r="U24" s="210"/>
      <c r="V24" s="210"/>
      <c r="W24" s="210"/>
      <c r="X24" s="210"/>
      <c r="Y24" s="210"/>
      <c r="Z24" s="210"/>
      <c r="AA24" s="210"/>
      <c r="AB24" s="210"/>
      <c r="AC24" s="210"/>
      <c r="AD24" s="210"/>
      <c r="AE24" s="210"/>
      <c r="AF24" s="210"/>
      <c r="AG24" s="210"/>
      <c r="AH24" s="210"/>
      <c r="AI24" s="210"/>
      <c r="AJ24" s="210"/>
      <c r="AK24" s="210"/>
      <c r="AL24" s="210"/>
      <c r="AM24" s="210"/>
      <c r="AN24" s="210"/>
      <c r="AO24" s="210"/>
    </row>
    <row r="25" spans="1:41" ht="13.5" thickBot="1" x14ac:dyDescent="0.25">
      <c r="A25" s="762"/>
      <c r="B25" s="210"/>
      <c r="C25" s="210"/>
      <c r="D25" s="210"/>
      <c r="E25" s="210"/>
      <c r="F25" s="210"/>
      <c r="N25" s="210"/>
      <c r="O25" s="210"/>
      <c r="P25" s="210"/>
      <c r="Q25" s="210"/>
      <c r="R25" s="210"/>
      <c r="S25" s="210"/>
      <c r="T25" s="210"/>
      <c r="U25" s="210"/>
      <c r="V25" s="210"/>
      <c r="W25" s="210"/>
      <c r="X25" s="210"/>
      <c r="Y25" s="210"/>
      <c r="Z25" s="210"/>
      <c r="AA25" s="210"/>
      <c r="AB25" s="210"/>
      <c r="AC25" s="210"/>
      <c r="AD25" s="210"/>
      <c r="AE25" s="210"/>
      <c r="AF25" s="210"/>
      <c r="AG25" s="210"/>
      <c r="AH25" s="210"/>
      <c r="AI25" s="210"/>
      <c r="AJ25" s="210"/>
      <c r="AK25" s="210"/>
      <c r="AL25" s="210"/>
      <c r="AM25" s="210"/>
      <c r="AN25" s="210"/>
      <c r="AO25" s="210"/>
    </row>
    <row r="26" spans="1:41" x14ac:dyDescent="0.2">
      <c r="A26" s="762"/>
      <c r="B26" s="868" t="s">
        <v>280</v>
      </c>
      <c r="C26" s="869"/>
      <c r="D26" s="869"/>
      <c r="E26" s="602"/>
      <c r="F26" s="135" t="s">
        <v>272</v>
      </c>
      <c r="N26" s="210"/>
      <c r="O26" s="210"/>
      <c r="P26" s="210"/>
      <c r="Q26" s="210"/>
      <c r="R26" s="210"/>
      <c r="S26" s="210"/>
      <c r="T26" s="210"/>
      <c r="U26" s="210"/>
      <c r="V26" s="210"/>
      <c r="W26" s="210"/>
      <c r="X26" s="210"/>
      <c r="Y26" s="210"/>
      <c r="Z26" s="210"/>
      <c r="AA26" s="210"/>
      <c r="AB26" s="210"/>
      <c r="AC26" s="210"/>
      <c r="AD26" s="210"/>
      <c r="AE26" s="210"/>
      <c r="AF26" s="210"/>
      <c r="AG26" s="210"/>
      <c r="AH26" s="210"/>
      <c r="AI26" s="210"/>
      <c r="AJ26" s="210"/>
      <c r="AK26" s="210"/>
      <c r="AL26" s="210"/>
      <c r="AM26" s="210"/>
      <c r="AN26" s="210"/>
      <c r="AO26" s="210"/>
    </row>
    <row r="27" spans="1:41" x14ac:dyDescent="0.2">
      <c r="A27" s="762"/>
      <c r="B27" s="862" t="s">
        <v>281</v>
      </c>
      <c r="C27" s="861"/>
      <c r="D27" s="861"/>
      <c r="E27" s="604"/>
      <c r="F27" s="152"/>
      <c r="N27" s="210"/>
      <c r="O27" s="210"/>
      <c r="P27" s="210"/>
      <c r="Q27" s="210"/>
      <c r="R27" s="210"/>
      <c r="S27" s="210"/>
      <c r="T27" s="210"/>
      <c r="U27" s="210"/>
      <c r="V27" s="210"/>
      <c r="W27" s="210"/>
      <c r="X27" s="210"/>
      <c r="Y27" s="210"/>
      <c r="Z27" s="210"/>
      <c r="AA27" s="210"/>
      <c r="AB27" s="210"/>
      <c r="AC27" s="210"/>
      <c r="AD27" s="210"/>
      <c r="AE27" s="210"/>
      <c r="AF27" s="210"/>
      <c r="AG27" s="210"/>
      <c r="AH27" s="210"/>
      <c r="AI27" s="210"/>
      <c r="AJ27" s="210"/>
      <c r="AK27" s="210"/>
      <c r="AL27" s="210"/>
      <c r="AM27" s="210"/>
      <c r="AN27" s="210"/>
      <c r="AO27" s="210"/>
    </row>
    <row r="28" spans="1:41" x14ac:dyDescent="0.2">
      <c r="A28" s="762"/>
      <c r="B28" s="863"/>
      <c r="C28" s="864"/>
      <c r="D28" s="864"/>
      <c r="E28" s="605"/>
      <c r="F28" s="136"/>
      <c r="N28" s="210"/>
      <c r="O28" s="210"/>
      <c r="P28" s="210"/>
      <c r="Q28" s="210"/>
      <c r="R28" s="210"/>
      <c r="S28" s="210"/>
      <c r="T28" s="210"/>
      <c r="U28" s="210"/>
      <c r="V28" s="210"/>
      <c r="W28" s="210"/>
      <c r="X28" s="210"/>
      <c r="Y28" s="210"/>
      <c r="Z28" s="210"/>
      <c r="AA28" s="210"/>
      <c r="AB28" s="210"/>
      <c r="AC28" s="210"/>
      <c r="AD28" s="210"/>
      <c r="AE28" s="210"/>
      <c r="AF28" s="210"/>
      <c r="AG28" s="210"/>
      <c r="AH28" s="210"/>
      <c r="AI28" s="210"/>
      <c r="AJ28" s="210"/>
      <c r="AK28" s="210"/>
      <c r="AL28" s="210"/>
      <c r="AM28" s="210"/>
      <c r="AN28" s="210"/>
      <c r="AO28" s="210"/>
    </row>
    <row r="29" spans="1:41" x14ac:dyDescent="0.2">
      <c r="A29" s="762"/>
      <c r="B29" s="603"/>
      <c r="C29" s="605"/>
      <c r="D29" s="605"/>
      <c r="E29" s="605"/>
      <c r="F29" s="136"/>
      <c r="N29" s="210"/>
      <c r="O29" s="210"/>
      <c r="P29" s="210"/>
      <c r="Q29" s="210"/>
      <c r="R29" s="210"/>
      <c r="S29" s="210"/>
      <c r="T29" s="210"/>
      <c r="U29" s="210"/>
      <c r="V29" s="210"/>
      <c r="W29" s="210"/>
      <c r="X29" s="210"/>
      <c r="Y29" s="210"/>
      <c r="Z29" s="210"/>
      <c r="AA29" s="210"/>
      <c r="AB29" s="210"/>
      <c r="AC29" s="210"/>
      <c r="AD29" s="210"/>
      <c r="AE29" s="210"/>
      <c r="AF29" s="210"/>
      <c r="AG29" s="210"/>
      <c r="AH29" s="210"/>
      <c r="AI29" s="210"/>
      <c r="AJ29" s="210"/>
      <c r="AK29" s="210"/>
      <c r="AL29" s="210"/>
      <c r="AM29" s="210"/>
      <c r="AN29" s="210"/>
      <c r="AO29" s="210"/>
    </row>
    <row r="30" spans="1:41" x14ac:dyDescent="0.2">
      <c r="A30" s="762"/>
      <c r="B30" s="603" t="s">
        <v>712</v>
      </c>
      <c r="C30" s="605"/>
      <c r="D30" s="605"/>
      <c r="E30" s="605"/>
      <c r="F30" s="136">
        <v>11279</v>
      </c>
      <c r="N30" s="210"/>
      <c r="O30" s="210"/>
      <c r="P30" s="210"/>
      <c r="Q30" s="210"/>
      <c r="R30" s="210"/>
      <c r="S30" s="210"/>
      <c r="T30" s="210"/>
      <c r="U30" s="210"/>
      <c r="V30" s="210"/>
      <c r="W30" s="210"/>
      <c r="X30" s="210"/>
      <c r="Y30" s="210"/>
      <c r="Z30" s="210"/>
      <c r="AA30" s="210"/>
      <c r="AB30" s="210"/>
      <c r="AC30" s="210"/>
      <c r="AD30" s="210"/>
      <c r="AE30" s="210"/>
      <c r="AF30" s="210"/>
      <c r="AG30" s="210"/>
      <c r="AH30" s="210"/>
      <c r="AI30" s="210"/>
      <c r="AJ30" s="210"/>
      <c r="AK30" s="210"/>
      <c r="AL30" s="210"/>
      <c r="AM30" s="210"/>
      <c r="AN30" s="210"/>
      <c r="AO30" s="210"/>
    </row>
    <row r="31" spans="1:41" x14ac:dyDescent="0.2">
      <c r="A31" s="762"/>
      <c r="B31" s="603"/>
      <c r="C31" s="605"/>
      <c r="D31" s="605"/>
      <c r="E31" s="605"/>
      <c r="F31" s="136"/>
      <c r="N31" s="210"/>
      <c r="O31" s="210"/>
      <c r="P31" s="210"/>
      <c r="Q31" s="210"/>
      <c r="R31" s="210"/>
      <c r="S31" s="210"/>
      <c r="T31" s="210"/>
      <c r="U31" s="210"/>
      <c r="V31" s="210"/>
      <c r="W31" s="210"/>
      <c r="X31" s="210"/>
      <c r="Y31" s="210"/>
      <c r="Z31" s="210"/>
      <c r="AA31" s="210"/>
      <c r="AB31" s="210"/>
      <c r="AC31" s="210"/>
      <c r="AD31" s="210"/>
      <c r="AE31" s="210"/>
      <c r="AF31" s="210"/>
      <c r="AG31" s="210"/>
      <c r="AH31" s="210"/>
      <c r="AI31" s="210"/>
      <c r="AJ31" s="210"/>
      <c r="AK31" s="210"/>
      <c r="AL31" s="210"/>
      <c r="AM31" s="210"/>
      <c r="AN31" s="210"/>
      <c r="AO31" s="210"/>
    </row>
    <row r="32" spans="1:41" x14ac:dyDescent="0.2">
      <c r="A32" s="762"/>
      <c r="B32" s="863"/>
      <c r="C32" s="867"/>
      <c r="D32" s="867"/>
      <c r="E32" s="605"/>
      <c r="F32" s="153"/>
      <c r="N32" s="210"/>
      <c r="O32" s="210"/>
      <c r="P32" s="210"/>
      <c r="Q32" s="210"/>
      <c r="R32" s="210"/>
      <c r="S32" s="210"/>
      <c r="T32" s="210"/>
      <c r="U32" s="210"/>
      <c r="V32" s="210"/>
      <c r="W32" s="210"/>
      <c r="X32" s="210"/>
      <c r="Y32" s="210"/>
      <c r="Z32" s="210"/>
      <c r="AA32" s="210"/>
      <c r="AB32" s="210"/>
      <c r="AC32" s="210"/>
      <c r="AD32" s="210"/>
      <c r="AE32" s="210"/>
      <c r="AF32" s="210"/>
      <c r="AG32" s="210"/>
      <c r="AH32" s="210"/>
      <c r="AI32" s="210"/>
      <c r="AJ32" s="210"/>
      <c r="AK32" s="210"/>
      <c r="AL32" s="210"/>
      <c r="AM32" s="210"/>
      <c r="AN32" s="210"/>
      <c r="AO32" s="210"/>
    </row>
    <row r="33" spans="1:41" x14ac:dyDescent="0.2">
      <c r="B33" s="858" t="s">
        <v>122</v>
      </c>
      <c r="C33" s="859"/>
      <c r="D33" s="859"/>
      <c r="E33" s="859"/>
      <c r="F33" s="154">
        <f>SUM(F28:F32)</f>
        <v>11279</v>
      </c>
      <c r="N33" s="210"/>
      <c r="O33" s="210"/>
      <c r="P33" s="210"/>
      <c r="Q33" s="210"/>
      <c r="R33" s="210"/>
      <c r="S33" s="210"/>
      <c r="T33" s="210"/>
      <c r="U33" s="210"/>
      <c r="V33" s="210"/>
      <c r="W33" s="210"/>
      <c r="X33" s="210"/>
      <c r="Y33" s="210"/>
      <c r="Z33" s="210"/>
      <c r="AA33" s="210"/>
      <c r="AB33" s="210"/>
      <c r="AC33" s="210"/>
      <c r="AD33" s="210"/>
      <c r="AE33" s="210"/>
      <c r="AF33" s="210"/>
      <c r="AG33" s="210"/>
      <c r="AH33" s="210"/>
      <c r="AI33" s="210"/>
      <c r="AJ33" s="210"/>
      <c r="AK33" s="210"/>
      <c r="AL33" s="210"/>
      <c r="AM33" s="210"/>
      <c r="AN33" s="210"/>
      <c r="AO33" s="210"/>
    </row>
    <row r="34" spans="1:41" x14ac:dyDescent="0.2">
      <c r="B34" s="860"/>
      <c r="C34" s="861"/>
      <c r="D34" s="861"/>
      <c r="E34" s="604"/>
      <c r="F34" s="154"/>
      <c r="N34" s="210"/>
      <c r="O34" s="210"/>
      <c r="P34" s="210"/>
      <c r="Q34" s="210"/>
      <c r="R34" s="210"/>
      <c r="S34" s="210"/>
      <c r="T34" s="210"/>
      <c r="U34" s="210"/>
      <c r="V34" s="210"/>
      <c r="W34" s="210"/>
      <c r="X34" s="210"/>
      <c r="Y34" s="210"/>
      <c r="Z34" s="210"/>
      <c r="AA34" s="210"/>
      <c r="AB34" s="210"/>
      <c r="AC34" s="210"/>
      <c r="AD34" s="210"/>
      <c r="AE34" s="210"/>
      <c r="AF34" s="210"/>
      <c r="AG34" s="210"/>
      <c r="AH34" s="210"/>
      <c r="AI34" s="210"/>
      <c r="AJ34" s="210"/>
      <c r="AK34" s="210"/>
      <c r="AL34" s="210"/>
      <c r="AM34" s="210"/>
      <c r="AN34" s="210"/>
      <c r="AO34" s="210"/>
    </row>
    <row r="35" spans="1:41" x14ac:dyDescent="0.2">
      <c r="B35" s="862" t="s">
        <v>282</v>
      </c>
      <c r="C35" s="861"/>
      <c r="D35" s="861"/>
      <c r="E35" s="604"/>
      <c r="F35" s="154"/>
      <c r="N35" s="210"/>
      <c r="O35" s="210"/>
      <c r="P35" s="210"/>
      <c r="Q35" s="210"/>
      <c r="R35" s="210"/>
      <c r="S35" s="210"/>
      <c r="T35" s="210"/>
      <c r="U35" s="210"/>
      <c r="V35" s="210"/>
      <c r="W35" s="210"/>
      <c r="X35" s="210"/>
      <c r="Y35" s="210"/>
      <c r="Z35" s="210"/>
      <c r="AA35" s="210"/>
      <c r="AB35" s="210"/>
      <c r="AC35" s="210"/>
      <c r="AD35" s="210"/>
      <c r="AE35" s="210"/>
      <c r="AF35" s="210"/>
      <c r="AG35" s="210"/>
      <c r="AH35" s="210"/>
      <c r="AI35" s="210"/>
      <c r="AJ35" s="210"/>
      <c r="AK35" s="210"/>
      <c r="AL35" s="210"/>
      <c r="AM35" s="210"/>
      <c r="AN35" s="210"/>
      <c r="AO35" s="210"/>
    </row>
    <row r="36" spans="1:41" x14ac:dyDescent="0.2">
      <c r="B36" s="863"/>
      <c r="C36" s="864"/>
      <c r="D36" s="864"/>
      <c r="E36" s="605"/>
      <c r="F36" s="136"/>
      <c r="N36" s="210"/>
      <c r="O36" s="210"/>
      <c r="P36" s="210"/>
      <c r="Q36" s="210"/>
      <c r="R36" s="210"/>
      <c r="S36" s="210"/>
      <c r="T36" s="210"/>
      <c r="U36" s="210"/>
      <c r="V36" s="210"/>
      <c r="W36" s="210"/>
      <c r="X36" s="210"/>
      <c r="Y36" s="210"/>
      <c r="Z36" s="210"/>
      <c r="AA36" s="210"/>
      <c r="AB36" s="210"/>
      <c r="AC36" s="210"/>
      <c r="AD36" s="210"/>
      <c r="AE36" s="210"/>
      <c r="AF36" s="210"/>
      <c r="AG36" s="210"/>
      <c r="AH36" s="210"/>
      <c r="AI36" s="210"/>
      <c r="AJ36" s="210"/>
      <c r="AK36" s="210"/>
      <c r="AL36" s="210"/>
      <c r="AM36" s="210"/>
      <c r="AN36" s="210"/>
      <c r="AO36" s="210"/>
    </row>
    <row r="37" spans="1:41" x14ac:dyDescent="0.2">
      <c r="B37" s="603"/>
      <c r="C37" s="605"/>
      <c r="D37" s="605"/>
      <c r="E37" s="605"/>
      <c r="F37" s="136"/>
      <c r="N37" s="210"/>
      <c r="O37" s="210"/>
      <c r="P37" s="210"/>
      <c r="Q37" s="210"/>
      <c r="R37" s="210"/>
      <c r="S37" s="210"/>
      <c r="T37" s="210"/>
      <c r="U37" s="210"/>
      <c r="V37" s="210"/>
      <c r="W37" s="210"/>
      <c r="X37" s="210"/>
      <c r="Y37" s="210"/>
      <c r="Z37" s="210"/>
      <c r="AA37" s="210"/>
      <c r="AB37" s="210"/>
      <c r="AC37" s="210"/>
      <c r="AD37" s="210"/>
      <c r="AE37" s="210"/>
      <c r="AF37" s="210"/>
      <c r="AG37" s="210"/>
      <c r="AH37" s="210"/>
      <c r="AI37" s="210"/>
      <c r="AJ37" s="210"/>
      <c r="AK37" s="210"/>
      <c r="AL37" s="210"/>
      <c r="AM37" s="210"/>
      <c r="AN37" s="210"/>
      <c r="AO37" s="210"/>
    </row>
    <row r="38" spans="1:41" x14ac:dyDescent="0.2">
      <c r="B38" s="603"/>
      <c r="C38" s="605"/>
      <c r="D38" s="605"/>
      <c r="E38" s="605"/>
      <c r="F38" s="136"/>
      <c r="N38" s="210"/>
      <c r="O38" s="210"/>
      <c r="P38" s="210"/>
      <c r="Q38" s="210"/>
      <c r="R38" s="210"/>
      <c r="S38" s="210"/>
      <c r="T38" s="210"/>
      <c r="U38" s="210"/>
      <c r="V38" s="210"/>
      <c r="W38" s="210"/>
      <c r="X38" s="210"/>
      <c r="Y38" s="210"/>
      <c r="Z38" s="210"/>
      <c r="AA38" s="210"/>
      <c r="AB38" s="210"/>
      <c r="AC38" s="210"/>
      <c r="AD38" s="210"/>
      <c r="AE38" s="210"/>
      <c r="AF38" s="210"/>
      <c r="AG38" s="210"/>
      <c r="AH38" s="210"/>
      <c r="AI38" s="210"/>
      <c r="AJ38" s="210"/>
      <c r="AK38" s="210"/>
      <c r="AL38" s="210"/>
      <c r="AM38" s="210"/>
      <c r="AN38" s="210"/>
      <c r="AO38" s="210"/>
    </row>
    <row r="39" spans="1:41" x14ac:dyDescent="0.2">
      <c r="B39" s="603"/>
      <c r="C39" s="605"/>
      <c r="D39" s="605"/>
      <c r="E39" s="605"/>
      <c r="F39" s="136"/>
      <c r="N39" s="210"/>
      <c r="O39" s="210"/>
      <c r="P39" s="210"/>
      <c r="Q39" s="210"/>
      <c r="R39" s="210"/>
      <c r="S39" s="210"/>
      <c r="T39" s="210"/>
      <c r="U39" s="210"/>
      <c r="V39" s="210"/>
      <c r="W39" s="210"/>
      <c r="X39" s="210"/>
      <c r="Y39" s="210"/>
      <c r="Z39" s="210"/>
      <c r="AA39" s="210"/>
      <c r="AB39" s="210"/>
      <c r="AC39" s="210"/>
      <c r="AD39" s="210"/>
      <c r="AE39" s="210"/>
      <c r="AF39" s="210"/>
      <c r="AG39" s="210"/>
      <c r="AH39" s="210"/>
      <c r="AI39" s="210"/>
      <c r="AJ39" s="210"/>
      <c r="AK39" s="210"/>
      <c r="AL39" s="210"/>
      <c r="AM39" s="210"/>
      <c r="AN39" s="210"/>
      <c r="AO39" s="210"/>
    </row>
    <row r="40" spans="1:41" x14ac:dyDescent="0.2">
      <c r="B40" s="863"/>
      <c r="C40" s="864"/>
      <c r="D40" s="864"/>
      <c r="E40" s="605"/>
      <c r="F40" s="153"/>
      <c r="N40" s="210"/>
      <c r="O40" s="210"/>
      <c r="P40" s="210"/>
      <c r="Q40" s="210"/>
      <c r="R40" s="210"/>
      <c r="S40" s="210"/>
      <c r="T40" s="210"/>
      <c r="U40" s="210"/>
      <c r="V40" s="210"/>
      <c r="W40" s="210"/>
      <c r="X40" s="210"/>
      <c r="Y40" s="210"/>
      <c r="Z40" s="210"/>
      <c r="AA40" s="210"/>
      <c r="AB40" s="210"/>
      <c r="AC40" s="210"/>
      <c r="AD40" s="210"/>
      <c r="AE40" s="210"/>
      <c r="AF40" s="210"/>
      <c r="AG40" s="210"/>
      <c r="AH40" s="210"/>
      <c r="AI40" s="210"/>
      <c r="AJ40" s="210"/>
      <c r="AK40" s="210"/>
      <c r="AL40" s="210"/>
      <c r="AM40" s="210"/>
      <c r="AN40" s="210"/>
      <c r="AO40" s="210"/>
    </row>
    <row r="41" spans="1:41" x14ac:dyDescent="0.2">
      <c r="B41" s="865" t="s">
        <v>122</v>
      </c>
      <c r="C41" s="866"/>
      <c r="D41" s="866"/>
      <c r="E41" s="866"/>
      <c r="F41" s="154">
        <f>SUM(F36:F40)</f>
        <v>0</v>
      </c>
      <c r="N41" s="210"/>
      <c r="O41" s="210"/>
      <c r="P41" s="210"/>
      <c r="Q41" s="210"/>
      <c r="R41" s="210"/>
      <c r="S41" s="210"/>
      <c r="T41" s="210"/>
      <c r="U41" s="210"/>
      <c r="V41" s="210"/>
      <c r="W41" s="210"/>
      <c r="X41" s="210"/>
      <c r="Y41" s="210"/>
      <c r="Z41" s="210"/>
      <c r="AA41" s="210"/>
      <c r="AB41" s="210"/>
      <c r="AC41" s="210"/>
      <c r="AD41" s="210"/>
      <c r="AE41" s="210"/>
      <c r="AF41" s="210"/>
      <c r="AG41" s="210"/>
      <c r="AH41" s="210"/>
      <c r="AI41" s="210"/>
      <c r="AJ41" s="210"/>
      <c r="AK41" s="210"/>
      <c r="AL41" s="210"/>
      <c r="AM41" s="210"/>
      <c r="AN41" s="210"/>
      <c r="AO41" s="210"/>
    </row>
    <row r="42" spans="1:41" ht="13.5" thickBot="1" x14ac:dyDescent="0.25">
      <c r="B42" s="856" t="s">
        <v>283</v>
      </c>
      <c r="C42" s="857"/>
      <c r="D42" s="857"/>
      <c r="E42" s="601"/>
      <c r="F42" s="138">
        <f>F41+F33</f>
        <v>11279</v>
      </c>
      <c r="N42" s="210"/>
      <c r="O42" s="210"/>
      <c r="P42" s="210"/>
      <c r="Q42" s="210"/>
      <c r="R42" s="210"/>
      <c r="S42" s="210"/>
      <c r="T42" s="210"/>
      <c r="U42" s="210"/>
      <c r="V42" s="210"/>
      <c r="W42" s="210"/>
      <c r="X42" s="210"/>
      <c r="Y42" s="210"/>
      <c r="Z42" s="210"/>
      <c r="AA42" s="210"/>
      <c r="AB42" s="210"/>
      <c r="AC42" s="210"/>
      <c r="AD42" s="210"/>
      <c r="AE42" s="210"/>
      <c r="AF42" s="210"/>
      <c r="AG42" s="210"/>
      <c r="AH42" s="210"/>
      <c r="AI42" s="210"/>
      <c r="AJ42" s="210"/>
      <c r="AK42" s="210"/>
      <c r="AL42" s="210"/>
      <c r="AM42" s="210"/>
      <c r="AN42" s="210"/>
      <c r="AO42" s="210"/>
    </row>
    <row r="43" spans="1:41" x14ac:dyDescent="0.2">
      <c r="B43" s="210"/>
      <c r="C43" s="210"/>
      <c r="D43" s="210"/>
      <c r="E43" s="210"/>
      <c r="F43" s="210"/>
      <c r="N43" s="210"/>
      <c r="O43" s="210"/>
      <c r="P43" s="210"/>
      <c r="Q43" s="210"/>
      <c r="R43" s="210"/>
      <c r="S43" s="210"/>
      <c r="T43" s="210"/>
      <c r="U43" s="210"/>
      <c r="V43" s="210"/>
      <c r="W43" s="210"/>
      <c r="X43" s="210"/>
      <c r="Y43" s="210"/>
      <c r="Z43" s="210"/>
      <c r="AA43" s="210"/>
      <c r="AB43" s="210"/>
      <c r="AC43" s="210"/>
      <c r="AD43" s="210"/>
      <c r="AE43" s="210"/>
      <c r="AF43" s="210"/>
      <c r="AG43" s="210"/>
      <c r="AH43" s="210"/>
      <c r="AI43" s="210"/>
      <c r="AJ43" s="210"/>
      <c r="AK43" s="210"/>
      <c r="AL43" s="210"/>
      <c r="AM43" s="210"/>
      <c r="AN43" s="210"/>
      <c r="AO43" s="210"/>
    </row>
    <row r="44" spans="1:41" x14ac:dyDescent="0.2">
      <c r="B44" s="250" t="s">
        <v>284</v>
      </c>
      <c r="C44" s="210"/>
      <c r="D44" s="210"/>
      <c r="E44" s="210"/>
      <c r="F44" s="210"/>
      <c r="N44" s="210"/>
      <c r="O44" s="210"/>
      <c r="P44" s="210"/>
      <c r="Q44" s="210"/>
      <c r="R44" s="210"/>
      <c r="S44" s="210"/>
      <c r="T44" s="210"/>
      <c r="U44" s="210"/>
      <c r="V44" s="210"/>
      <c r="W44" s="210"/>
      <c r="X44" s="210"/>
      <c r="Y44" s="210"/>
      <c r="Z44" s="210"/>
      <c r="AA44" s="210"/>
      <c r="AB44" s="210"/>
      <c r="AC44" s="210"/>
      <c r="AD44" s="210"/>
      <c r="AE44" s="210"/>
      <c r="AF44" s="210"/>
      <c r="AG44" s="210"/>
      <c r="AH44" s="210"/>
      <c r="AI44" s="210"/>
      <c r="AJ44" s="210"/>
      <c r="AK44" s="210"/>
      <c r="AL44" s="210"/>
      <c r="AM44" s="210"/>
      <c r="AN44" s="210"/>
      <c r="AO44" s="210"/>
    </row>
    <row r="45" spans="1:41" s="251" customFormat="1" x14ac:dyDescent="0.2">
      <c r="A45" s="210"/>
      <c r="B45" s="210" t="s">
        <v>285</v>
      </c>
      <c r="C45" s="210" t="s">
        <v>286</v>
      </c>
      <c r="D45" s="210"/>
      <c r="E45" s="210"/>
      <c r="F45" s="210"/>
      <c r="G45" s="210"/>
      <c r="H45" s="210"/>
      <c r="I45" s="210"/>
      <c r="J45" s="210"/>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210"/>
      <c r="AI45" s="210"/>
      <c r="AJ45" s="210"/>
      <c r="AK45" s="210"/>
      <c r="AL45" s="210"/>
      <c r="AM45" s="210"/>
      <c r="AN45" s="210"/>
      <c r="AO45" s="210"/>
    </row>
    <row r="46" spans="1:41" s="251" customFormat="1" x14ac:dyDescent="0.2">
      <c r="A46" s="210"/>
      <c r="B46" s="210" t="s">
        <v>287</v>
      </c>
      <c r="C46" s="210" t="s">
        <v>288</v>
      </c>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row>
    <row r="47" spans="1:41" s="251" customFormat="1" x14ac:dyDescent="0.2">
      <c r="A47" s="210"/>
      <c r="B47" s="210" t="s">
        <v>289</v>
      </c>
      <c r="C47" s="210" t="s">
        <v>290</v>
      </c>
      <c r="D47" s="210"/>
      <c r="E47" s="210"/>
      <c r="F47" s="210"/>
      <c r="G47" s="210"/>
      <c r="H47" s="210"/>
      <c r="I47" s="210"/>
      <c r="J47" s="210"/>
      <c r="K47" s="210"/>
      <c r="L47" s="210"/>
      <c r="M47" s="210"/>
      <c r="N47" s="210"/>
      <c r="O47" s="210"/>
      <c r="P47" s="210"/>
      <c r="Q47" s="210"/>
      <c r="R47" s="210"/>
      <c r="S47" s="210"/>
      <c r="T47" s="210"/>
      <c r="U47" s="210"/>
      <c r="V47" s="210"/>
      <c r="W47" s="210"/>
      <c r="X47" s="210"/>
      <c r="Y47" s="210"/>
      <c r="Z47" s="210"/>
      <c r="AA47" s="210"/>
      <c r="AB47" s="210"/>
      <c r="AC47" s="210"/>
      <c r="AD47" s="210"/>
      <c r="AE47" s="210"/>
      <c r="AF47" s="210"/>
      <c r="AG47" s="210"/>
      <c r="AH47" s="210"/>
      <c r="AI47" s="210"/>
      <c r="AJ47" s="210"/>
      <c r="AK47" s="210"/>
      <c r="AL47" s="210"/>
      <c r="AM47" s="210"/>
      <c r="AN47" s="210"/>
      <c r="AO47" s="210"/>
    </row>
    <row r="48" spans="1:41" x14ac:dyDescent="0.2">
      <c r="B48" s="210"/>
      <c r="C48" s="210"/>
      <c r="D48" s="210"/>
      <c r="E48" s="210"/>
      <c r="F48" s="210"/>
      <c r="N48" s="210"/>
      <c r="O48" s="210"/>
      <c r="P48" s="210"/>
      <c r="Q48" s="210"/>
      <c r="R48" s="210"/>
      <c r="S48" s="210"/>
      <c r="T48" s="210"/>
      <c r="U48" s="210"/>
      <c r="V48" s="210"/>
      <c r="W48" s="210"/>
      <c r="X48" s="210"/>
      <c r="Y48" s="210"/>
      <c r="Z48" s="210"/>
      <c r="AA48" s="210"/>
      <c r="AB48" s="210"/>
      <c r="AC48" s="210"/>
      <c r="AD48" s="210"/>
      <c r="AE48" s="210"/>
      <c r="AF48" s="210"/>
      <c r="AG48" s="210"/>
      <c r="AH48" s="210"/>
      <c r="AI48" s="210"/>
      <c r="AJ48" s="210"/>
      <c r="AK48" s="210"/>
      <c r="AL48" s="210"/>
      <c r="AM48" s="210"/>
      <c r="AN48" s="210"/>
      <c r="AO48" s="210"/>
    </row>
    <row r="49" spans="2:41" s="249" customFormat="1" x14ac:dyDescent="0.2">
      <c r="B49" s="210"/>
      <c r="C49" s="210"/>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row>
    <row r="50" spans="2:41" s="249" customFormat="1" x14ac:dyDescent="0.2">
      <c r="B50" s="210"/>
      <c r="C50" s="210"/>
      <c r="D50" s="210"/>
      <c r="E50" s="210"/>
      <c r="F50" s="210"/>
      <c r="G50" s="210"/>
      <c r="H50" s="210"/>
      <c r="I50" s="210"/>
      <c r="J50" s="210"/>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210"/>
      <c r="AI50" s="210"/>
      <c r="AJ50" s="210"/>
      <c r="AK50" s="210"/>
      <c r="AL50" s="210"/>
      <c r="AM50" s="210"/>
      <c r="AN50" s="210"/>
      <c r="AO50" s="210"/>
    </row>
    <row r="51" spans="2:41" s="249" customFormat="1" x14ac:dyDescent="0.2">
      <c r="B51" s="210"/>
      <c r="C51" s="210"/>
      <c r="D51" s="210"/>
      <c r="E51" s="210"/>
      <c r="F51" s="210"/>
      <c r="G51" s="210"/>
      <c r="H51" s="210"/>
      <c r="I51" s="210"/>
      <c r="J51" s="210"/>
      <c r="K51" s="210"/>
      <c r="L51" s="210"/>
      <c r="M51" s="210"/>
      <c r="N51" s="210"/>
      <c r="O51" s="210"/>
      <c r="P51" s="210"/>
      <c r="Q51" s="210"/>
      <c r="R51" s="210"/>
      <c r="S51" s="210"/>
      <c r="T51" s="210"/>
      <c r="U51" s="210"/>
      <c r="V51" s="210"/>
      <c r="W51" s="210"/>
      <c r="X51" s="210"/>
      <c r="Y51" s="210"/>
      <c r="Z51" s="210"/>
      <c r="AA51" s="210"/>
      <c r="AB51" s="210"/>
      <c r="AC51" s="210"/>
      <c r="AD51" s="210"/>
      <c r="AE51" s="210"/>
      <c r="AF51" s="210"/>
      <c r="AG51" s="210"/>
      <c r="AH51" s="210"/>
      <c r="AI51" s="210"/>
      <c r="AJ51" s="210"/>
      <c r="AK51" s="210"/>
      <c r="AL51" s="210"/>
      <c r="AM51" s="210"/>
      <c r="AN51" s="210"/>
      <c r="AO51" s="210"/>
    </row>
    <row r="52" spans="2:41" s="249" customFormat="1" x14ac:dyDescent="0.2">
      <c r="B52" s="210"/>
      <c r="C52" s="210"/>
      <c r="D52" s="210"/>
      <c r="E52" s="210"/>
      <c r="F52" s="210"/>
      <c r="G52" s="210"/>
      <c r="H52" s="210"/>
      <c r="I52" s="210"/>
      <c r="J52" s="210"/>
      <c r="K52" s="210"/>
      <c r="L52" s="210"/>
      <c r="M52" s="210"/>
      <c r="N52" s="210"/>
      <c r="O52" s="210"/>
      <c r="P52" s="210"/>
      <c r="Q52" s="210"/>
      <c r="R52" s="210"/>
      <c r="S52" s="210"/>
      <c r="T52" s="210"/>
      <c r="U52" s="210"/>
      <c r="V52" s="210"/>
      <c r="W52" s="210"/>
      <c r="X52" s="210"/>
      <c r="Y52" s="210"/>
      <c r="Z52" s="210"/>
      <c r="AA52" s="210"/>
      <c r="AB52" s="210"/>
      <c r="AC52" s="210"/>
      <c r="AD52" s="210"/>
      <c r="AE52" s="210"/>
      <c r="AF52" s="210"/>
      <c r="AG52" s="210"/>
      <c r="AH52" s="210"/>
      <c r="AI52" s="210"/>
      <c r="AJ52" s="210"/>
      <c r="AK52" s="210"/>
      <c r="AL52" s="210"/>
      <c r="AM52" s="210"/>
      <c r="AN52" s="210"/>
      <c r="AO52" s="210"/>
    </row>
    <row r="53" spans="2:41" s="249" customFormat="1" x14ac:dyDescent="0.2">
      <c r="B53" s="210"/>
      <c r="C53" s="210"/>
      <c r="D53" s="210"/>
      <c r="E53" s="210"/>
      <c r="F53" s="210"/>
      <c r="G53" s="210"/>
      <c r="H53" s="210"/>
      <c r="I53" s="210"/>
      <c r="J53" s="210"/>
      <c r="K53" s="210"/>
      <c r="L53" s="210"/>
      <c r="M53" s="210"/>
      <c r="N53" s="210"/>
      <c r="O53" s="210"/>
      <c r="P53" s="210"/>
      <c r="Q53" s="210"/>
      <c r="R53" s="210"/>
      <c r="S53" s="210"/>
      <c r="T53" s="210"/>
      <c r="U53" s="210"/>
      <c r="V53" s="210"/>
      <c r="W53" s="210"/>
      <c r="X53" s="210"/>
      <c r="Y53" s="210"/>
      <c r="Z53" s="210"/>
      <c r="AA53" s="210"/>
      <c r="AB53" s="210"/>
      <c r="AC53" s="210"/>
      <c r="AD53" s="210"/>
      <c r="AE53" s="210"/>
      <c r="AF53" s="210"/>
      <c r="AG53" s="210"/>
      <c r="AH53" s="210"/>
      <c r="AI53" s="210"/>
      <c r="AJ53" s="210"/>
      <c r="AK53" s="210"/>
      <c r="AL53" s="210"/>
      <c r="AM53" s="210"/>
      <c r="AN53" s="210"/>
      <c r="AO53" s="210"/>
    </row>
    <row r="54" spans="2:41" s="249" customFormat="1" x14ac:dyDescent="0.2">
      <c r="B54" s="210"/>
      <c r="C54" s="210"/>
      <c r="D54" s="210"/>
      <c r="E54" s="210"/>
      <c r="F54" s="210"/>
      <c r="G54" s="210"/>
      <c r="H54" s="210"/>
      <c r="I54" s="210"/>
      <c r="J54" s="210"/>
      <c r="K54" s="210"/>
      <c r="L54" s="210"/>
      <c r="M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c r="AL54" s="210"/>
      <c r="AM54" s="210"/>
      <c r="AN54" s="210"/>
      <c r="AO54" s="210"/>
    </row>
    <row r="55" spans="2:41" s="249" customFormat="1" x14ac:dyDescent="0.2">
      <c r="B55" s="210"/>
      <c r="C55" s="210"/>
      <c r="D55" s="210"/>
      <c r="E55" s="210"/>
      <c r="F55" s="210"/>
      <c r="G55" s="210"/>
      <c r="H55" s="210"/>
      <c r="I55" s="210"/>
      <c r="J55" s="210"/>
      <c r="K55" s="210"/>
      <c r="L55" s="210"/>
      <c r="M55" s="210"/>
      <c r="N55" s="210"/>
      <c r="O55" s="210"/>
      <c r="P55" s="210"/>
      <c r="Q55" s="210"/>
      <c r="R55" s="210"/>
      <c r="S55" s="210"/>
      <c r="T55" s="210"/>
      <c r="U55" s="210"/>
      <c r="V55" s="210"/>
      <c r="W55" s="210"/>
      <c r="X55" s="210"/>
      <c r="Y55" s="210"/>
      <c r="Z55" s="210"/>
      <c r="AA55" s="210"/>
      <c r="AB55" s="210"/>
      <c r="AC55" s="210"/>
      <c r="AD55" s="210"/>
      <c r="AE55" s="210"/>
      <c r="AF55" s="210"/>
      <c r="AG55" s="210"/>
      <c r="AH55" s="210"/>
      <c r="AI55" s="210"/>
      <c r="AJ55" s="210"/>
      <c r="AK55" s="210"/>
      <c r="AL55" s="210"/>
      <c r="AM55" s="210"/>
      <c r="AN55" s="210"/>
      <c r="AO55" s="210"/>
    </row>
    <row r="56" spans="2:41" s="249" customFormat="1" x14ac:dyDescent="0.2">
      <c r="B56" s="210"/>
      <c r="C56" s="210"/>
      <c r="D56" s="210"/>
      <c r="E56" s="210"/>
      <c r="F56" s="210"/>
      <c r="G56" s="210"/>
      <c r="H56" s="210"/>
      <c r="I56" s="210"/>
      <c r="J56" s="210"/>
      <c r="K56" s="210"/>
      <c r="L56" s="210"/>
      <c r="M56" s="210"/>
      <c r="N56" s="210"/>
      <c r="O56" s="210"/>
      <c r="P56" s="210"/>
      <c r="Q56" s="210"/>
      <c r="R56" s="210"/>
      <c r="S56" s="210"/>
      <c r="T56" s="210"/>
      <c r="U56" s="210"/>
      <c r="V56" s="210"/>
      <c r="W56" s="210"/>
      <c r="X56" s="210"/>
      <c r="Y56" s="210"/>
      <c r="Z56" s="210"/>
      <c r="AA56" s="210"/>
      <c r="AB56" s="210"/>
      <c r="AC56" s="210"/>
      <c r="AD56" s="210"/>
      <c r="AE56" s="210"/>
      <c r="AF56" s="210"/>
      <c r="AG56" s="210"/>
      <c r="AH56" s="210"/>
      <c r="AI56" s="210"/>
      <c r="AJ56" s="210"/>
      <c r="AK56" s="210"/>
      <c r="AL56" s="210"/>
      <c r="AM56" s="210"/>
      <c r="AN56" s="210"/>
      <c r="AO56" s="210"/>
    </row>
    <row r="57" spans="2:41" s="249" customFormat="1" x14ac:dyDescent="0.2">
      <c r="B57" s="210"/>
      <c r="C57" s="210"/>
      <c r="D57" s="210"/>
      <c r="E57" s="210"/>
      <c r="F57" s="210"/>
      <c r="G57" s="210"/>
      <c r="H57" s="210"/>
      <c r="I57" s="210"/>
      <c r="J57" s="210"/>
      <c r="K57" s="210"/>
      <c r="L57" s="210"/>
      <c r="M57" s="210"/>
      <c r="N57" s="210"/>
      <c r="O57" s="210"/>
      <c r="P57" s="210"/>
      <c r="Q57" s="210"/>
      <c r="R57" s="210"/>
      <c r="S57" s="210"/>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row>
    <row r="58" spans="2:41" s="249" customFormat="1" x14ac:dyDescent="0.2">
      <c r="B58" s="210"/>
      <c r="C58" s="210"/>
      <c r="D58" s="210"/>
      <c r="E58" s="210"/>
      <c r="F58" s="210"/>
      <c r="G58" s="210"/>
      <c r="H58" s="210"/>
      <c r="I58" s="210"/>
      <c r="J58" s="210"/>
      <c r="K58" s="210"/>
      <c r="L58" s="210"/>
      <c r="M58" s="210"/>
      <c r="N58" s="210"/>
      <c r="O58" s="210"/>
      <c r="P58" s="210"/>
      <c r="Q58" s="210"/>
      <c r="R58" s="210"/>
      <c r="S58" s="210"/>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row>
    <row r="59" spans="2:41" s="249" customFormat="1" x14ac:dyDescent="0.2">
      <c r="B59" s="210"/>
      <c r="C59" s="210"/>
      <c r="D59" s="210"/>
      <c r="E59" s="210"/>
      <c r="F59" s="210"/>
      <c r="G59" s="210"/>
      <c r="H59" s="210"/>
      <c r="I59" s="210"/>
      <c r="J59" s="210"/>
      <c r="K59" s="210"/>
      <c r="L59" s="210"/>
      <c r="M59" s="210"/>
      <c r="N59" s="210"/>
      <c r="O59" s="210"/>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row>
    <row r="60" spans="2:41" s="249" customFormat="1" x14ac:dyDescent="0.2">
      <c r="B60" s="210"/>
      <c r="C60" s="210"/>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210"/>
      <c r="AB60" s="210"/>
      <c r="AC60" s="210"/>
      <c r="AD60" s="210"/>
      <c r="AE60" s="210"/>
      <c r="AF60" s="210"/>
      <c r="AG60" s="210"/>
      <c r="AH60" s="210"/>
      <c r="AI60" s="210"/>
      <c r="AJ60" s="210"/>
      <c r="AK60" s="210"/>
      <c r="AL60" s="210"/>
      <c r="AM60" s="210"/>
      <c r="AN60" s="210"/>
      <c r="AO60" s="210"/>
    </row>
    <row r="61" spans="2:41" s="249" customFormat="1" x14ac:dyDescent="0.2">
      <c r="B61" s="210"/>
      <c r="C61" s="210"/>
      <c r="D61" s="210"/>
      <c r="E61" s="210"/>
      <c r="F61" s="210"/>
      <c r="G61" s="210"/>
      <c r="H61" s="210"/>
      <c r="I61" s="210"/>
      <c r="J61" s="210"/>
      <c r="K61" s="210"/>
      <c r="L61" s="210"/>
      <c r="M61" s="210"/>
      <c r="N61" s="210"/>
      <c r="O61" s="210"/>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row>
    <row r="62" spans="2:41" s="249" customFormat="1" x14ac:dyDescent="0.2">
      <c r="B62" s="210"/>
      <c r="C62" s="210"/>
      <c r="D62" s="210"/>
      <c r="E62" s="210"/>
      <c r="F62" s="210"/>
      <c r="G62" s="210"/>
      <c r="H62" s="210"/>
      <c r="I62" s="210"/>
      <c r="J62" s="210"/>
      <c r="K62" s="210"/>
      <c r="L62" s="210"/>
      <c r="M62" s="210"/>
      <c r="N62" s="210"/>
      <c r="O62" s="210"/>
      <c r="P62" s="210"/>
      <c r="Q62" s="210"/>
      <c r="R62" s="210"/>
      <c r="S62" s="210"/>
      <c r="T62" s="210"/>
      <c r="U62" s="210"/>
      <c r="V62" s="210"/>
      <c r="W62" s="210"/>
      <c r="X62" s="210"/>
      <c r="Y62" s="210"/>
      <c r="Z62" s="210"/>
      <c r="AA62" s="210"/>
      <c r="AB62" s="210"/>
      <c r="AC62" s="210"/>
      <c r="AD62" s="210"/>
      <c r="AE62" s="210"/>
      <c r="AF62" s="210"/>
      <c r="AG62" s="210"/>
      <c r="AH62" s="210"/>
      <c r="AI62" s="210"/>
      <c r="AJ62" s="210"/>
      <c r="AK62" s="210"/>
      <c r="AL62" s="210"/>
      <c r="AM62" s="210"/>
      <c r="AN62" s="210"/>
      <c r="AO62" s="210"/>
    </row>
    <row r="63" spans="2:41" s="249" customFormat="1" x14ac:dyDescent="0.2">
      <c r="B63" s="210"/>
      <c r="C63" s="210"/>
      <c r="D63" s="210"/>
      <c r="E63" s="210"/>
      <c r="F63" s="210"/>
      <c r="G63" s="210"/>
      <c r="H63" s="210"/>
      <c r="I63" s="210"/>
      <c r="J63" s="210"/>
      <c r="K63" s="210"/>
      <c r="L63" s="210"/>
      <c r="M63" s="210"/>
      <c r="N63" s="210"/>
      <c r="O63" s="210"/>
      <c r="P63" s="210"/>
      <c r="Q63" s="210"/>
      <c r="R63" s="210"/>
      <c r="S63" s="210"/>
      <c r="T63" s="210"/>
      <c r="U63" s="210"/>
      <c r="V63" s="210"/>
      <c r="W63" s="210"/>
      <c r="X63" s="210"/>
      <c r="Y63" s="210"/>
      <c r="Z63" s="210"/>
      <c r="AA63" s="210"/>
      <c r="AB63" s="210"/>
      <c r="AC63" s="210"/>
      <c r="AD63" s="210"/>
      <c r="AE63" s="210"/>
      <c r="AF63" s="210"/>
      <c r="AG63" s="210"/>
      <c r="AH63" s="210"/>
      <c r="AI63" s="210"/>
      <c r="AJ63" s="210"/>
      <c r="AK63" s="210"/>
      <c r="AL63" s="210"/>
      <c r="AM63" s="210"/>
      <c r="AN63" s="210"/>
      <c r="AO63" s="210"/>
    </row>
    <row r="64" spans="2:41" s="249" customFormat="1" x14ac:dyDescent="0.2">
      <c r="B64" s="210"/>
      <c r="C64" s="210"/>
      <c r="D64" s="210"/>
      <c r="E64" s="210"/>
      <c r="F64" s="210"/>
      <c r="G64" s="210"/>
      <c r="H64" s="210"/>
      <c r="I64" s="210"/>
      <c r="J64" s="210"/>
      <c r="K64" s="210"/>
      <c r="L64" s="210"/>
      <c r="M64" s="210"/>
      <c r="N64" s="210"/>
      <c r="O64" s="210"/>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row>
    <row r="65" spans="2:41" s="249" customFormat="1" x14ac:dyDescent="0.2">
      <c r="B65" s="210"/>
      <c r="C65" s="210"/>
      <c r="D65" s="210"/>
      <c r="E65" s="210"/>
      <c r="F65" s="210"/>
      <c r="G65" s="210"/>
      <c r="H65" s="210"/>
      <c r="I65" s="210"/>
      <c r="J65" s="210"/>
      <c r="K65" s="210"/>
      <c r="L65" s="210"/>
      <c r="M65" s="210"/>
      <c r="N65" s="210"/>
      <c r="O65" s="210"/>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row>
    <row r="66" spans="2:41" s="249" customFormat="1" x14ac:dyDescent="0.2">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row>
    <row r="67" spans="2:41" s="249" customFormat="1" x14ac:dyDescent="0.2">
      <c r="B67" s="210"/>
      <c r="C67" s="210"/>
      <c r="D67" s="210"/>
      <c r="E67" s="210"/>
      <c r="F67" s="210"/>
      <c r="G67" s="210"/>
      <c r="H67" s="210"/>
      <c r="I67" s="210"/>
      <c r="J67" s="210"/>
      <c r="K67" s="210"/>
      <c r="L67" s="210"/>
      <c r="M67" s="210"/>
      <c r="N67" s="210"/>
      <c r="O67" s="210"/>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row>
    <row r="68" spans="2:41" s="249" customFormat="1" x14ac:dyDescent="0.2">
      <c r="B68" s="210"/>
      <c r="C68" s="210"/>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0"/>
      <c r="AE68" s="210"/>
      <c r="AF68" s="210"/>
      <c r="AG68" s="210"/>
      <c r="AH68" s="210"/>
      <c r="AI68" s="210"/>
      <c r="AJ68" s="210"/>
      <c r="AK68" s="210"/>
      <c r="AL68" s="210"/>
      <c r="AM68" s="210"/>
      <c r="AN68" s="210"/>
      <c r="AO68" s="210"/>
    </row>
    <row r="69" spans="2:41" s="249" customFormat="1" x14ac:dyDescent="0.2">
      <c r="B69" s="210"/>
      <c r="C69" s="210"/>
      <c r="D69" s="210"/>
      <c r="E69" s="210"/>
      <c r="F69" s="210"/>
      <c r="G69" s="210"/>
      <c r="H69" s="210"/>
      <c r="I69" s="210"/>
      <c r="J69" s="210"/>
      <c r="K69" s="210"/>
      <c r="L69" s="210"/>
      <c r="M69" s="210"/>
      <c r="N69" s="210"/>
      <c r="O69" s="210"/>
      <c r="P69" s="210"/>
      <c r="Q69" s="210"/>
      <c r="R69" s="210"/>
      <c r="S69" s="210"/>
      <c r="T69" s="210"/>
      <c r="U69" s="210"/>
      <c r="V69" s="210"/>
      <c r="W69" s="210"/>
      <c r="X69" s="210"/>
      <c r="Y69" s="210"/>
      <c r="Z69" s="210"/>
      <c r="AA69" s="210"/>
      <c r="AB69" s="210"/>
      <c r="AC69" s="210"/>
      <c r="AD69" s="210"/>
      <c r="AE69" s="210"/>
      <c r="AF69" s="210"/>
      <c r="AG69" s="210"/>
      <c r="AH69" s="210"/>
      <c r="AI69" s="210"/>
      <c r="AJ69" s="210"/>
      <c r="AK69" s="210"/>
      <c r="AL69" s="210"/>
      <c r="AM69" s="210"/>
      <c r="AN69" s="210"/>
      <c r="AO69" s="210"/>
    </row>
    <row r="70" spans="2:41" s="249" customFormat="1" x14ac:dyDescent="0.2">
      <c r="B70" s="210"/>
      <c r="C70" s="210"/>
      <c r="D70" s="210"/>
      <c r="E70" s="210"/>
      <c r="F70" s="210"/>
      <c r="G70" s="210"/>
      <c r="H70" s="210"/>
      <c r="I70" s="210"/>
      <c r="J70" s="210"/>
      <c r="K70" s="210"/>
      <c r="L70" s="210"/>
      <c r="M70" s="210"/>
      <c r="N70" s="210"/>
      <c r="O70" s="210"/>
      <c r="P70" s="210"/>
      <c r="Q70" s="210"/>
      <c r="R70" s="210"/>
      <c r="S70" s="210"/>
      <c r="T70" s="210"/>
      <c r="U70" s="210"/>
      <c r="V70" s="210"/>
      <c r="W70" s="210"/>
      <c r="X70" s="210"/>
      <c r="Y70" s="210"/>
      <c r="Z70" s="210"/>
      <c r="AA70" s="210"/>
      <c r="AB70" s="210"/>
      <c r="AC70" s="210"/>
      <c r="AD70" s="210"/>
      <c r="AE70" s="210"/>
      <c r="AF70" s="210"/>
      <c r="AG70" s="210"/>
      <c r="AH70" s="210"/>
      <c r="AI70" s="210"/>
      <c r="AJ70" s="210"/>
      <c r="AK70" s="210"/>
      <c r="AL70" s="210"/>
      <c r="AM70" s="210"/>
      <c r="AN70" s="210"/>
      <c r="AO70" s="210"/>
    </row>
    <row r="71" spans="2:41" s="249" customFormat="1" x14ac:dyDescent="0.2">
      <c r="B71" s="210"/>
      <c r="C71" s="210"/>
      <c r="D71" s="210"/>
      <c r="E71" s="210"/>
      <c r="F71" s="210"/>
      <c r="G71" s="210"/>
      <c r="H71" s="210"/>
      <c r="I71" s="210"/>
      <c r="J71" s="210"/>
      <c r="K71" s="210"/>
      <c r="L71" s="210"/>
      <c r="M71" s="210"/>
      <c r="N71" s="210"/>
      <c r="O71" s="210"/>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row>
    <row r="72" spans="2:41" s="249" customFormat="1" x14ac:dyDescent="0.2">
      <c r="B72" s="210"/>
      <c r="C72" s="210"/>
      <c r="D72" s="210"/>
      <c r="E72" s="210"/>
      <c r="F72" s="210"/>
      <c r="G72" s="210"/>
      <c r="H72" s="210"/>
      <c r="I72" s="210"/>
      <c r="J72" s="210"/>
      <c r="K72" s="210"/>
      <c r="L72" s="210"/>
      <c r="M72" s="210"/>
      <c r="N72" s="210"/>
      <c r="O72" s="210"/>
      <c r="P72" s="210"/>
      <c r="Q72" s="210"/>
      <c r="R72" s="210"/>
      <c r="S72" s="210"/>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row>
    <row r="73" spans="2:41" s="249" customFormat="1" x14ac:dyDescent="0.2">
      <c r="B73" s="210"/>
      <c r="C73" s="210"/>
      <c r="D73" s="210"/>
      <c r="E73" s="210"/>
      <c r="F73" s="210"/>
      <c r="G73" s="210"/>
      <c r="H73" s="210"/>
      <c r="I73" s="210"/>
      <c r="J73" s="210"/>
      <c r="K73" s="210"/>
      <c r="L73" s="210"/>
      <c r="M73" s="210"/>
      <c r="N73" s="210"/>
      <c r="O73" s="210"/>
      <c r="P73" s="210"/>
      <c r="Q73" s="210"/>
      <c r="R73" s="210"/>
      <c r="S73" s="210"/>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row>
    <row r="74" spans="2:41" s="249" customFormat="1" x14ac:dyDescent="0.2">
      <c r="B74" s="210"/>
      <c r="C74" s="210"/>
      <c r="D74" s="210"/>
      <c r="E74" s="210"/>
      <c r="F74" s="210"/>
      <c r="G74" s="210"/>
      <c r="H74" s="210"/>
      <c r="I74" s="210"/>
      <c r="J74" s="210"/>
      <c r="K74" s="210"/>
      <c r="L74" s="210"/>
      <c r="M74" s="210"/>
      <c r="N74" s="210"/>
      <c r="O74" s="210"/>
      <c r="P74" s="210"/>
      <c r="Q74" s="210"/>
      <c r="R74" s="210"/>
      <c r="S74" s="210"/>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row>
    <row r="75" spans="2:41" s="249" customFormat="1" x14ac:dyDescent="0.2">
      <c r="B75" s="210"/>
      <c r="C75" s="210"/>
      <c r="D75" s="210"/>
      <c r="E75" s="210"/>
      <c r="F75" s="210"/>
      <c r="G75" s="210"/>
      <c r="H75" s="210"/>
      <c r="I75" s="210"/>
      <c r="J75" s="210"/>
      <c r="K75" s="210"/>
      <c r="L75" s="210"/>
      <c r="M75" s="210"/>
      <c r="N75" s="210"/>
      <c r="O75" s="210"/>
      <c r="P75" s="210"/>
      <c r="Q75" s="210"/>
      <c r="R75" s="210"/>
      <c r="S75" s="210"/>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row>
    <row r="76" spans="2:41" s="249" customFormat="1" x14ac:dyDescent="0.2">
      <c r="B76" s="210"/>
      <c r="C76" s="210"/>
      <c r="D76" s="210"/>
      <c r="E76" s="210"/>
      <c r="F76" s="210"/>
      <c r="G76" s="210"/>
      <c r="H76" s="210"/>
      <c r="I76" s="210"/>
      <c r="J76" s="210"/>
      <c r="K76" s="210"/>
      <c r="L76" s="210"/>
      <c r="M76" s="210"/>
      <c r="N76" s="210"/>
      <c r="O76" s="210"/>
      <c r="P76" s="210"/>
      <c r="Q76" s="210"/>
      <c r="R76" s="210"/>
      <c r="S76" s="210"/>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row>
    <row r="77" spans="2:41" s="249" customFormat="1" x14ac:dyDescent="0.2">
      <c r="B77" s="210"/>
      <c r="C77" s="210"/>
      <c r="D77" s="210"/>
      <c r="E77" s="210"/>
      <c r="F77" s="210"/>
      <c r="G77" s="210"/>
      <c r="H77" s="210"/>
      <c r="I77" s="210"/>
      <c r="J77" s="210"/>
      <c r="K77" s="210"/>
      <c r="L77" s="210"/>
      <c r="M77" s="210"/>
      <c r="N77" s="210"/>
      <c r="O77" s="210"/>
      <c r="P77" s="210"/>
      <c r="Q77" s="210"/>
      <c r="R77" s="210"/>
      <c r="S77" s="210"/>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row>
    <row r="78" spans="2:41" s="249" customFormat="1" x14ac:dyDescent="0.2">
      <c r="B78" s="210"/>
      <c r="C78" s="210"/>
      <c r="D78" s="210"/>
      <c r="E78" s="210"/>
      <c r="F78" s="210"/>
      <c r="G78" s="210"/>
      <c r="H78" s="210"/>
      <c r="I78" s="210"/>
      <c r="J78" s="210"/>
      <c r="K78" s="210"/>
      <c r="L78" s="210"/>
      <c r="M78" s="210"/>
      <c r="N78" s="210"/>
      <c r="O78" s="210"/>
      <c r="P78" s="210"/>
      <c r="Q78" s="210"/>
      <c r="R78" s="210"/>
      <c r="S78" s="210"/>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row>
    <row r="79" spans="2:41" s="249" customFormat="1" x14ac:dyDescent="0.2">
      <c r="B79" s="210"/>
      <c r="C79" s="210"/>
      <c r="D79" s="210"/>
      <c r="E79" s="210"/>
      <c r="F79" s="210"/>
      <c r="G79" s="210"/>
      <c r="H79" s="210"/>
      <c r="I79" s="210"/>
      <c r="J79" s="210"/>
      <c r="K79" s="210"/>
      <c r="L79" s="210"/>
      <c r="M79" s="210"/>
      <c r="N79" s="210"/>
      <c r="O79" s="210"/>
      <c r="P79" s="210"/>
      <c r="Q79" s="210"/>
      <c r="R79" s="210"/>
      <c r="S79" s="210"/>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row>
    <row r="80" spans="2:41" s="249" customFormat="1" x14ac:dyDescent="0.2">
      <c r="B80" s="210"/>
      <c r="C80" s="210"/>
      <c r="D80" s="210"/>
      <c r="E80" s="210"/>
      <c r="F80" s="210"/>
      <c r="G80" s="210"/>
      <c r="H80" s="210"/>
      <c r="I80" s="210"/>
      <c r="J80" s="210"/>
      <c r="K80" s="210"/>
      <c r="L80" s="210"/>
      <c r="M80" s="210"/>
      <c r="N80" s="210"/>
      <c r="O80" s="210"/>
      <c r="P80" s="210"/>
      <c r="Q80" s="210"/>
      <c r="R80" s="210"/>
      <c r="S80" s="210"/>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row>
    <row r="81" spans="2:41" s="249" customFormat="1" x14ac:dyDescent="0.2">
      <c r="B81" s="210"/>
      <c r="C81" s="210"/>
      <c r="D81" s="210"/>
      <c r="E81" s="210"/>
      <c r="F81" s="210"/>
      <c r="G81" s="210"/>
      <c r="H81" s="210"/>
      <c r="I81" s="210"/>
      <c r="J81" s="210"/>
      <c r="K81" s="210"/>
      <c r="L81" s="210"/>
      <c r="M81" s="210"/>
      <c r="N81" s="210"/>
      <c r="O81" s="210"/>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row>
    <row r="82" spans="2:41" s="249" customFormat="1" x14ac:dyDescent="0.2">
      <c r="B82" s="210"/>
      <c r="C82" s="210"/>
      <c r="D82" s="210"/>
      <c r="E82" s="210"/>
      <c r="F82" s="210"/>
      <c r="G82" s="210"/>
      <c r="H82" s="210"/>
      <c r="I82" s="210"/>
      <c r="J82" s="210"/>
      <c r="K82" s="210"/>
      <c r="L82" s="210"/>
      <c r="M82" s="210"/>
      <c r="N82" s="210"/>
      <c r="O82" s="210"/>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row>
    <row r="83" spans="2:41" s="249" customFormat="1" x14ac:dyDescent="0.2">
      <c r="B83" s="210"/>
      <c r="C83" s="210"/>
      <c r="D83" s="210"/>
      <c r="E83" s="210"/>
      <c r="F83" s="210"/>
      <c r="G83" s="210"/>
      <c r="H83" s="210"/>
      <c r="I83" s="210"/>
      <c r="J83" s="210"/>
      <c r="K83" s="210"/>
      <c r="L83" s="210"/>
      <c r="M83" s="210"/>
      <c r="N83" s="210"/>
      <c r="O83" s="210"/>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row>
    <row r="84" spans="2:41" s="249" customFormat="1" x14ac:dyDescent="0.2">
      <c r="B84" s="210"/>
      <c r="C84" s="210"/>
      <c r="D84" s="210"/>
      <c r="E84" s="210"/>
      <c r="F84" s="210"/>
      <c r="G84" s="210"/>
      <c r="H84" s="210"/>
      <c r="I84" s="210"/>
      <c r="J84" s="210"/>
      <c r="K84" s="210"/>
      <c r="L84" s="210"/>
      <c r="M84" s="210"/>
      <c r="N84" s="210"/>
      <c r="O84" s="210"/>
      <c r="P84" s="210"/>
      <c r="Q84" s="210"/>
      <c r="R84" s="210"/>
      <c r="S84" s="210"/>
      <c r="T84" s="210"/>
      <c r="U84" s="210"/>
      <c r="V84" s="210"/>
      <c r="W84" s="210"/>
      <c r="X84" s="210"/>
      <c r="Y84" s="210"/>
      <c r="Z84" s="210"/>
      <c r="AA84" s="210"/>
      <c r="AB84" s="210"/>
      <c r="AC84" s="210"/>
      <c r="AD84" s="210"/>
      <c r="AE84" s="210"/>
      <c r="AF84" s="210"/>
      <c r="AG84" s="210"/>
      <c r="AH84" s="210"/>
      <c r="AI84" s="210"/>
      <c r="AJ84" s="210"/>
      <c r="AK84" s="210"/>
      <c r="AL84" s="210"/>
      <c r="AM84" s="210"/>
      <c r="AN84" s="210"/>
      <c r="AO84" s="210"/>
    </row>
    <row r="85" spans="2:41" s="249" customFormat="1" x14ac:dyDescent="0.2">
      <c r="B85" s="210"/>
      <c r="C85" s="210"/>
      <c r="D85" s="210"/>
      <c r="E85" s="210"/>
      <c r="F85" s="210"/>
      <c r="G85" s="210"/>
      <c r="H85" s="210"/>
      <c r="I85" s="210"/>
      <c r="J85" s="210"/>
      <c r="K85" s="210"/>
      <c r="L85" s="210"/>
      <c r="M85" s="210"/>
      <c r="N85" s="210"/>
      <c r="O85" s="210"/>
      <c r="P85" s="210"/>
      <c r="Q85" s="210"/>
      <c r="R85" s="210"/>
      <c r="S85" s="210"/>
      <c r="T85" s="210"/>
      <c r="U85" s="210"/>
      <c r="V85" s="210"/>
      <c r="W85" s="210"/>
      <c r="X85" s="210"/>
      <c r="Y85" s="210"/>
      <c r="Z85" s="210"/>
      <c r="AA85" s="210"/>
      <c r="AB85" s="210"/>
      <c r="AC85" s="210"/>
      <c r="AD85" s="210"/>
      <c r="AE85" s="210"/>
      <c r="AF85" s="210"/>
      <c r="AG85" s="210"/>
      <c r="AH85" s="210"/>
      <c r="AI85" s="210"/>
      <c r="AJ85" s="210"/>
      <c r="AK85" s="210"/>
      <c r="AL85" s="210"/>
      <c r="AM85" s="210"/>
      <c r="AN85" s="210"/>
      <c r="AO85" s="210"/>
    </row>
    <row r="86" spans="2:41" s="249" customFormat="1" x14ac:dyDescent="0.2">
      <c r="B86" s="210"/>
      <c r="C86" s="210"/>
      <c r="D86" s="210"/>
      <c r="E86" s="210"/>
      <c r="F86" s="210"/>
      <c r="G86" s="210"/>
      <c r="H86" s="210"/>
      <c r="I86" s="210"/>
      <c r="J86" s="210"/>
      <c r="K86" s="210"/>
      <c r="L86" s="210"/>
      <c r="M86" s="210"/>
      <c r="N86" s="210"/>
      <c r="O86" s="210"/>
      <c r="P86" s="210"/>
      <c r="Q86" s="210"/>
      <c r="R86" s="210"/>
      <c r="S86" s="210"/>
      <c r="T86" s="210"/>
      <c r="U86" s="210"/>
      <c r="V86" s="210"/>
      <c r="W86" s="210"/>
      <c r="X86" s="210"/>
      <c r="Y86" s="210"/>
      <c r="Z86" s="210"/>
      <c r="AA86" s="210"/>
      <c r="AB86" s="210"/>
      <c r="AC86" s="210"/>
      <c r="AD86" s="210"/>
      <c r="AE86" s="210"/>
      <c r="AF86" s="210"/>
      <c r="AG86" s="210"/>
      <c r="AH86" s="210"/>
      <c r="AI86" s="210"/>
      <c r="AJ86" s="210"/>
      <c r="AK86" s="210"/>
      <c r="AL86" s="210"/>
      <c r="AM86" s="210"/>
      <c r="AN86" s="210"/>
      <c r="AO86" s="210"/>
    </row>
    <row r="87" spans="2:41" s="249" customFormat="1" x14ac:dyDescent="0.2">
      <c r="B87" s="210"/>
      <c r="C87" s="210"/>
      <c r="D87" s="210"/>
      <c r="E87" s="210"/>
      <c r="F87" s="210"/>
      <c r="G87" s="210"/>
      <c r="H87" s="210"/>
      <c r="I87" s="210"/>
      <c r="J87" s="210"/>
      <c r="K87" s="210"/>
      <c r="L87" s="210"/>
      <c r="M87" s="210"/>
      <c r="N87" s="210"/>
      <c r="O87" s="210"/>
      <c r="P87" s="210"/>
      <c r="Q87" s="210"/>
      <c r="R87" s="210"/>
      <c r="S87" s="210"/>
      <c r="T87" s="210"/>
      <c r="U87" s="210"/>
      <c r="V87" s="210"/>
      <c r="W87" s="210"/>
      <c r="X87" s="210"/>
      <c r="Y87" s="210"/>
      <c r="Z87" s="210"/>
      <c r="AA87" s="210"/>
      <c r="AB87" s="210"/>
      <c r="AC87" s="210"/>
      <c r="AD87" s="210"/>
      <c r="AE87" s="210"/>
      <c r="AF87" s="210"/>
      <c r="AG87" s="210"/>
      <c r="AH87" s="210"/>
      <c r="AI87" s="210"/>
      <c r="AJ87" s="210"/>
      <c r="AK87" s="210"/>
      <c r="AL87" s="210"/>
      <c r="AM87" s="210"/>
      <c r="AN87" s="210"/>
      <c r="AO87" s="210"/>
    </row>
    <row r="88" spans="2:41" s="249" customFormat="1" x14ac:dyDescent="0.2">
      <c r="B88" s="210"/>
      <c r="C88" s="210"/>
      <c r="D88" s="210"/>
      <c r="E88" s="210"/>
      <c r="F88" s="210"/>
      <c r="G88" s="210"/>
      <c r="H88" s="210"/>
      <c r="I88" s="210"/>
      <c r="J88" s="210"/>
      <c r="K88" s="210"/>
      <c r="L88" s="210"/>
      <c r="M88" s="210"/>
      <c r="N88" s="210"/>
      <c r="O88" s="210"/>
      <c r="P88" s="210"/>
      <c r="Q88" s="210"/>
      <c r="R88" s="210"/>
      <c r="S88" s="210"/>
      <c r="T88" s="210"/>
      <c r="U88" s="210"/>
      <c r="V88" s="210"/>
      <c r="W88" s="210"/>
      <c r="X88" s="210"/>
      <c r="Y88" s="210"/>
      <c r="Z88" s="210"/>
      <c r="AA88" s="210"/>
      <c r="AB88" s="210"/>
      <c r="AC88" s="210"/>
      <c r="AD88" s="210"/>
      <c r="AE88" s="210"/>
      <c r="AF88" s="210"/>
      <c r="AG88" s="210"/>
      <c r="AH88" s="210"/>
      <c r="AI88" s="210"/>
      <c r="AJ88" s="210"/>
      <c r="AK88" s="210"/>
      <c r="AL88" s="210"/>
      <c r="AM88" s="210"/>
      <c r="AN88" s="210"/>
      <c r="AO88" s="210"/>
    </row>
    <row r="89" spans="2:41" s="249" customFormat="1" x14ac:dyDescent="0.2">
      <c r="B89" s="210"/>
      <c r="C89" s="210"/>
      <c r="D89" s="210"/>
      <c r="E89" s="210"/>
      <c r="F89" s="210"/>
      <c r="G89" s="210"/>
      <c r="H89" s="210"/>
      <c r="I89" s="210"/>
      <c r="J89" s="210"/>
      <c r="K89" s="210"/>
      <c r="L89" s="210"/>
      <c r="M89" s="210"/>
      <c r="N89" s="210"/>
      <c r="O89" s="210"/>
      <c r="P89" s="210"/>
      <c r="Q89" s="210"/>
      <c r="R89" s="210"/>
      <c r="S89" s="210"/>
      <c r="T89" s="210"/>
      <c r="U89" s="210"/>
      <c r="V89" s="210"/>
      <c r="W89" s="210"/>
      <c r="X89" s="210"/>
      <c r="Y89" s="210"/>
      <c r="Z89" s="210"/>
      <c r="AA89" s="210"/>
      <c r="AB89" s="210"/>
      <c r="AC89" s="210"/>
      <c r="AD89" s="210"/>
      <c r="AE89" s="210"/>
      <c r="AF89" s="210"/>
      <c r="AG89" s="210"/>
      <c r="AH89" s="210"/>
      <c r="AI89" s="210"/>
      <c r="AJ89" s="210"/>
      <c r="AK89" s="210"/>
      <c r="AL89" s="210"/>
      <c r="AM89" s="210"/>
      <c r="AN89" s="210"/>
      <c r="AO89" s="210"/>
    </row>
    <row r="90" spans="2:41" s="249" customFormat="1" x14ac:dyDescent="0.2">
      <c r="B90" s="210"/>
      <c r="C90" s="210"/>
      <c r="D90" s="210"/>
      <c r="E90" s="210"/>
      <c r="F90" s="210"/>
      <c r="G90" s="210"/>
      <c r="H90" s="210"/>
      <c r="I90" s="210"/>
      <c r="J90" s="210"/>
      <c r="K90" s="210"/>
      <c r="L90" s="210"/>
      <c r="M90" s="210"/>
      <c r="N90" s="210"/>
      <c r="O90" s="210"/>
      <c r="P90" s="210"/>
      <c r="Q90" s="210"/>
      <c r="R90" s="210"/>
      <c r="S90" s="210"/>
      <c r="T90" s="210"/>
      <c r="U90" s="210"/>
      <c r="V90" s="210"/>
      <c r="W90" s="210"/>
      <c r="X90" s="210"/>
      <c r="Y90" s="210"/>
      <c r="Z90" s="210"/>
      <c r="AA90" s="210"/>
      <c r="AB90" s="210"/>
      <c r="AC90" s="210"/>
      <c r="AD90" s="210"/>
      <c r="AE90" s="210"/>
      <c r="AF90" s="210"/>
      <c r="AG90" s="210"/>
      <c r="AH90" s="210"/>
      <c r="AI90" s="210"/>
      <c r="AJ90" s="210"/>
      <c r="AK90" s="210"/>
      <c r="AL90" s="210"/>
      <c r="AM90" s="210"/>
      <c r="AN90" s="210"/>
      <c r="AO90" s="210"/>
    </row>
    <row r="91" spans="2:41" s="249" customFormat="1" x14ac:dyDescent="0.2">
      <c r="B91" s="210"/>
      <c r="C91" s="210"/>
      <c r="D91" s="210"/>
      <c r="E91" s="210"/>
      <c r="F91" s="210"/>
      <c r="G91" s="210"/>
      <c r="H91" s="210"/>
      <c r="I91" s="210"/>
      <c r="J91" s="210"/>
      <c r="K91" s="210"/>
      <c r="L91" s="210"/>
      <c r="M91" s="210"/>
      <c r="N91" s="210"/>
      <c r="O91" s="210"/>
      <c r="P91" s="210"/>
      <c r="Q91" s="210"/>
      <c r="R91" s="210"/>
      <c r="S91" s="210"/>
      <c r="T91" s="210"/>
      <c r="U91" s="210"/>
      <c r="V91" s="210"/>
      <c r="W91" s="210"/>
      <c r="X91" s="210"/>
      <c r="Y91" s="210"/>
      <c r="Z91" s="210"/>
      <c r="AA91" s="210"/>
      <c r="AB91" s="210"/>
      <c r="AC91" s="210"/>
      <c r="AD91" s="210"/>
      <c r="AE91" s="210"/>
      <c r="AF91" s="210"/>
      <c r="AG91" s="210"/>
      <c r="AH91" s="210"/>
      <c r="AI91" s="210"/>
      <c r="AJ91" s="210"/>
      <c r="AK91" s="210"/>
      <c r="AL91" s="210"/>
      <c r="AM91" s="210"/>
      <c r="AN91" s="210"/>
      <c r="AO91" s="210"/>
    </row>
    <row r="92" spans="2:41" s="249" customFormat="1" x14ac:dyDescent="0.2">
      <c r="B92" s="210"/>
      <c r="C92" s="210"/>
      <c r="D92" s="210"/>
      <c r="E92" s="210"/>
      <c r="F92" s="210"/>
      <c r="G92" s="210"/>
      <c r="H92" s="210"/>
      <c r="I92" s="210"/>
      <c r="J92" s="210"/>
      <c r="K92" s="210"/>
      <c r="L92" s="210"/>
      <c r="M92" s="210"/>
      <c r="N92" s="210"/>
      <c r="O92" s="210"/>
      <c r="P92" s="210"/>
      <c r="Q92" s="210"/>
      <c r="R92" s="210"/>
      <c r="S92" s="210"/>
      <c r="T92" s="210"/>
      <c r="U92" s="210"/>
      <c r="V92" s="210"/>
      <c r="W92" s="210"/>
      <c r="X92" s="210"/>
      <c r="Y92" s="210"/>
      <c r="Z92" s="210"/>
      <c r="AA92" s="210"/>
      <c r="AB92" s="210"/>
      <c r="AC92" s="210"/>
      <c r="AD92" s="210"/>
      <c r="AE92" s="210"/>
      <c r="AF92" s="210"/>
      <c r="AG92" s="210"/>
      <c r="AH92" s="210"/>
      <c r="AI92" s="210"/>
      <c r="AJ92" s="210"/>
      <c r="AK92" s="210"/>
      <c r="AL92" s="210"/>
      <c r="AM92" s="210"/>
      <c r="AN92" s="210"/>
      <c r="AO92" s="210"/>
    </row>
    <row r="93" spans="2:41" s="249" customFormat="1" x14ac:dyDescent="0.2">
      <c r="B93" s="210"/>
      <c r="C93" s="210"/>
      <c r="D93" s="210"/>
      <c r="E93" s="210"/>
      <c r="F93" s="210"/>
      <c r="G93" s="210"/>
      <c r="H93" s="210"/>
      <c r="I93" s="210"/>
      <c r="J93" s="210"/>
      <c r="K93" s="210"/>
      <c r="L93" s="210"/>
      <c r="M93" s="210"/>
    </row>
    <row r="94" spans="2:41" s="249" customFormat="1" x14ac:dyDescent="0.2">
      <c r="B94" s="210"/>
      <c r="C94" s="210"/>
      <c r="D94" s="210"/>
      <c r="E94" s="210"/>
      <c r="F94" s="210"/>
      <c r="G94" s="210"/>
      <c r="H94" s="210"/>
      <c r="I94" s="210"/>
      <c r="J94" s="210"/>
      <c r="K94" s="210"/>
      <c r="L94" s="210"/>
      <c r="M94" s="210"/>
    </row>
    <row r="95" spans="2:41" s="249" customFormat="1" x14ac:dyDescent="0.2">
      <c r="B95" s="210"/>
      <c r="C95" s="210"/>
      <c r="D95" s="210"/>
      <c r="E95" s="210"/>
      <c r="F95" s="210"/>
      <c r="G95" s="210"/>
      <c r="H95" s="210"/>
      <c r="I95" s="210"/>
      <c r="J95" s="210"/>
      <c r="K95" s="210"/>
      <c r="L95" s="210"/>
      <c r="M95" s="210"/>
    </row>
    <row r="96" spans="2:41" s="249" customFormat="1" x14ac:dyDescent="0.2">
      <c r="B96" s="210"/>
      <c r="C96" s="210"/>
      <c r="D96" s="210"/>
      <c r="E96" s="210"/>
      <c r="F96" s="210"/>
      <c r="G96" s="210"/>
      <c r="H96" s="210"/>
      <c r="I96" s="210"/>
      <c r="J96" s="210"/>
      <c r="K96" s="210"/>
      <c r="L96" s="210"/>
      <c r="M96" s="210"/>
    </row>
    <row r="97" spans="2:6" s="249" customFormat="1" x14ac:dyDescent="0.2">
      <c r="B97" s="210"/>
      <c r="C97" s="210"/>
      <c r="D97" s="210"/>
      <c r="E97" s="210"/>
      <c r="F97" s="210"/>
    </row>
    <row r="98" spans="2:6" s="249" customFormat="1" x14ac:dyDescent="0.2">
      <c r="B98" s="210"/>
      <c r="C98" s="210"/>
      <c r="D98" s="210"/>
      <c r="E98" s="210"/>
      <c r="F98" s="210"/>
    </row>
    <row r="99" spans="2:6" s="249" customFormat="1" x14ac:dyDescent="0.2">
      <c r="B99" s="210"/>
      <c r="C99" s="210"/>
      <c r="D99" s="210"/>
      <c r="E99" s="210"/>
      <c r="F99" s="210"/>
    </row>
    <row r="100" spans="2:6" s="249" customFormat="1" x14ac:dyDescent="0.2">
      <c r="B100" s="210"/>
      <c r="C100" s="210"/>
      <c r="D100" s="210"/>
      <c r="E100" s="210"/>
      <c r="F100" s="210"/>
    </row>
    <row r="101" spans="2:6" s="249" customFormat="1" x14ac:dyDescent="0.2">
      <c r="B101" s="210"/>
      <c r="C101" s="210"/>
      <c r="D101" s="210"/>
      <c r="E101" s="210"/>
      <c r="F101" s="210"/>
    </row>
    <row r="102" spans="2:6" s="249" customFormat="1" x14ac:dyDescent="0.2">
      <c r="B102" s="210"/>
      <c r="C102" s="210"/>
      <c r="D102" s="210"/>
      <c r="E102" s="210"/>
      <c r="F102" s="210"/>
    </row>
    <row r="103" spans="2:6" s="249" customFormat="1" x14ac:dyDescent="0.2">
      <c r="B103" s="210"/>
      <c r="C103" s="210"/>
      <c r="D103" s="210"/>
      <c r="E103" s="210"/>
      <c r="F103" s="210"/>
    </row>
    <row r="104" spans="2:6" s="249" customFormat="1" x14ac:dyDescent="0.2">
      <c r="B104" s="210"/>
      <c r="C104" s="210"/>
      <c r="D104" s="210"/>
      <c r="E104" s="210"/>
      <c r="F104" s="210"/>
    </row>
    <row r="105" spans="2:6" s="249" customFormat="1" x14ac:dyDescent="0.2">
      <c r="B105" s="210"/>
      <c r="C105" s="210"/>
      <c r="D105" s="210"/>
      <c r="E105" s="210"/>
      <c r="F105" s="210"/>
    </row>
    <row r="106" spans="2:6" s="249" customFormat="1" x14ac:dyDescent="0.2">
      <c r="B106" s="210"/>
      <c r="C106" s="210"/>
      <c r="D106" s="210"/>
      <c r="E106" s="210"/>
      <c r="F106" s="210"/>
    </row>
    <row r="107" spans="2:6" s="249" customFormat="1" x14ac:dyDescent="0.2">
      <c r="B107" s="210"/>
      <c r="C107" s="210"/>
      <c r="D107" s="210"/>
      <c r="E107" s="210"/>
      <c r="F107" s="210"/>
    </row>
    <row r="108" spans="2:6" s="249" customFormat="1" x14ac:dyDescent="0.2">
      <c r="B108" s="210"/>
      <c r="C108" s="210"/>
      <c r="D108" s="210"/>
      <c r="E108" s="210"/>
      <c r="F108" s="210"/>
    </row>
    <row r="109" spans="2:6" s="249" customFormat="1" x14ac:dyDescent="0.2">
      <c r="B109" s="210"/>
      <c r="C109" s="210"/>
      <c r="D109" s="210"/>
      <c r="E109" s="210"/>
      <c r="F109" s="210"/>
    </row>
    <row r="110" spans="2:6" s="249" customFormat="1" x14ac:dyDescent="0.2">
      <c r="B110" s="210"/>
      <c r="C110" s="210"/>
      <c r="D110" s="210"/>
      <c r="E110" s="210"/>
      <c r="F110" s="210"/>
    </row>
    <row r="111" spans="2:6" s="249" customFormat="1" x14ac:dyDescent="0.2">
      <c r="B111" s="210"/>
      <c r="C111" s="210"/>
      <c r="D111" s="210"/>
      <c r="E111" s="210"/>
      <c r="F111" s="210"/>
    </row>
    <row r="112" spans="2:6" s="249" customFormat="1" x14ac:dyDescent="0.2">
      <c r="B112" s="210"/>
      <c r="C112" s="210"/>
      <c r="D112" s="210"/>
      <c r="E112" s="210"/>
      <c r="F112" s="210"/>
    </row>
    <row r="113" spans="2:6" s="249" customFormat="1" x14ac:dyDescent="0.2">
      <c r="B113" s="210"/>
      <c r="C113" s="210"/>
      <c r="D113" s="210"/>
      <c r="E113" s="210"/>
      <c r="F113" s="210"/>
    </row>
    <row r="114" spans="2:6" s="249" customFormat="1" x14ac:dyDescent="0.2">
      <c r="B114" s="210"/>
      <c r="C114" s="210"/>
      <c r="D114" s="210"/>
      <c r="E114" s="210"/>
      <c r="F114" s="210"/>
    </row>
    <row r="115" spans="2:6" s="249" customFormat="1" x14ac:dyDescent="0.2">
      <c r="B115" s="210"/>
      <c r="C115" s="210"/>
      <c r="D115" s="210"/>
      <c r="E115" s="210"/>
      <c r="F115" s="210"/>
    </row>
    <row r="116" spans="2:6" s="249" customFormat="1" x14ac:dyDescent="0.2">
      <c r="B116" s="210"/>
      <c r="C116" s="210"/>
      <c r="D116" s="210"/>
      <c r="E116" s="210"/>
      <c r="F116" s="210"/>
    </row>
    <row r="117" spans="2:6" s="249" customFormat="1" x14ac:dyDescent="0.2">
      <c r="B117" s="210"/>
      <c r="C117" s="210"/>
      <c r="D117" s="210"/>
      <c r="E117" s="210"/>
      <c r="F117" s="210"/>
    </row>
    <row r="118" spans="2:6" s="249" customFormat="1" x14ac:dyDescent="0.2">
      <c r="B118" s="210"/>
      <c r="C118" s="210"/>
      <c r="D118" s="210"/>
      <c r="E118" s="210"/>
      <c r="F118" s="210"/>
    </row>
    <row r="119" spans="2:6" s="249" customFormat="1" x14ac:dyDescent="0.2">
      <c r="B119" s="210"/>
      <c r="C119" s="210"/>
      <c r="D119" s="210"/>
      <c r="E119" s="210"/>
      <c r="F119" s="210"/>
    </row>
    <row r="120" spans="2:6" s="249" customFormat="1" x14ac:dyDescent="0.2">
      <c r="B120" s="210"/>
      <c r="C120" s="210"/>
      <c r="D120" s="210"/>
      <c r="E120" s="210"/>
      <c r="F120" s="210"/>
    </row>
    <row r="121" spans="2:6" s="249" customFormat="1" x14ac:dyDescent="0.2">
      <c r="B121" s="210"/>
      <c r="C121" s="210"/>
      <c r="D121" s="210"/>
      <c r="E121" s="210"/>
      <c r="F121" s="210"/>
    </row>
    <row r="122" spans="2:6" s="249" customFormat="1" x14ac:dyDescent="0.2">
      <c r="B122" s="210"/>
      <c r="C122" s="210"/>
      <c r="D122" s="210"/>
      <c r="E122" s="210"/>
      <c r="F122" s="210"/>
    </row>
    <row r="123" spans="2:6" s="249" customFormat="1" x14ac:dyDescent="0.2">
      <c r="B123" s="210"/>
      <c r="C123" s="210"/>
      <c r="D123" s="210"/>
      <c r="E123" s="210"/>
      <c r="F123" s="210"/>
    </row>
    <row r="124" spans="2:6" s="249" customFormat="1" x14ac:dyDescent="0.2">
      <c r="B124" s="210"/>
      <c r="C124" s="210"/>
      <c r="D124" s="210"/>
      <c r="E124" s="210"/>
      <c r="F124" s="210"/>
    </row>
    <row r="125" spans="2:6" s="249" customFormat="1" x14ac:dyDescent="0.2">
      <c r="B125" s="210"/>
      <c r="C125" s="210"/>
      <c r="D125" s="210"/>
      <c r="E125" s="210"/>
      <c r="F125" s="210"/>
    </row>
    <row r="126" spans="2:6" s="249" customFormat="1" x14ac:dyDescent="0.2">
      <c r="B126" s="210"/>
      <c r="C126" s="210"/>
      <c r="D126" s="210"/>
      <c r="E126" s="210"/>
      <c r="F126" s="210"/>
    </row>
    <row r="127" spans="2:6" s="249" customFormat="1" x14ac:dyDescent="0.2">
      <c r="B127" s="210"/>
      <c r="C127" s="210"/>
      <c r="D127" s="210"/>
      <c r="E127" s="210"/>
      <c r="F127" s="210"/>
    </row>
    <row r="128" spans="2:6" s="249" customFormat="1" x14ac:dyDescent="0.2">
      <c r="B128" s="210"/>
      <c r="C128" s="210"/>
      <c r="D128" s="210"/>
      <c r="E128" s="210"/>
      <c r="F128" s="210"/>
    </row>
    <row r="129" spans="2:6" s="249" customFormat="1" x14ac:dyDescent="0.2">
      <c r="B129" s="210"/>
      <c r="C129" s="210"/>
      <c r="D129" s="210"/>
      <c r="E129" s="210"/>
      <c r="F129" s="210"/>
    </row>
    <row r="130" spans="2:6" s="249" customFormat="1" x14ac:dyDescent="0.2">
      <c r="B130" s="210"/>
      <c r="C130" s="210"/>
      <c r="D130" s="210"/>
      <c r="E130" s="210"/>
      <c r="F130" s="210"/>
    </row>
    <row r="131" spans="2:6" s="249" customFormat="1" x14ac:dyDescent="0.2">
      <c r="B131" s="210"/>
      <c r="C131" s="210"/>
      <c r="D131" s="210"/>
      <c r="E131" s="210"/>
      <c r="F131" s="210"/>
    </row>
    <row r="132" spans="2:6" s="249" customFormat="1" x14ac:dyDescent="0.2">
      <c r="B132" s="210"/>
      <c r="C132" s="210"/>
      <c r="D132" s="210"/>
      <c r="E132" s="210"/>
      <c r="F132" s="210"/>
    </row>
    <row r="133" spans="2:6" s="249" customFormat="1" x14ac:dyDescent="0.2">
      <c r="B133" s="210"/>
      <c r="C133" s="210"/>
      <c r="D133" s="210"/>
      <c r="E133" s="210"/>
      <c r="F133" s="210"/>
    </row>
    <row r="134" spans="2:6" s="249" customFormat="1" x14ac:dyDescent="0.2">
      <c r="B134" s="210"/>
      <c r="C134" s="210"/>
      <c r="D134" s="210"/>
      <c r="E134" s="210"/>
      <c r="F134" s="210"/>
    </row>
    <row r="135" spans="2:6" s="249" customFormat="1" x14ac:dyDescent="0.2">
      <c r="B135" s="210"/>
      <c r="C135" s="210"/>
      <c r="D135" s="210"/>
      <c r="E135" s="210"/>
      <c r="F135" s="210"/>
    </row>
    <row r="136" spans="2:6" s="249" customFormat="1" x14ac:dyDescent="0.2">
      <c r="B136" s="210"/>
      <c r="C136" s="210"/>
      <c r="D136" s="210"/>
      <c r="E136" s="210"/>
      <c r="F136" s="210"/>
    </row>
    <row r="137" spans="2:6" s="249" customFormat="1" x14ac:dyDescent="0.2">
      <c r="B137" s="210"/>
      <c r="C137" s="210"/>
      <c r="D137" s="210"/>
      <c r="E137" s="210"/>
      <c r="F137" s="210"/>
    </row>
    <row r="138" spans="2:6" s="249" customFormat="1" x14ac:dyDescent="0.2">
      <c r="B138" s="210"/>
      <c r="C138" s="210"/>
      <c r="D138" s="210"/>
      <c r="E138" s="210"/>
      <c r="F138" s="210"/>
    </row>
    <row r="139" spans="2:6" s="249" customFormat="1" x14ac:dyDescent="0.2">
      <c r="B139" s="210"/>
      <c r="C139" s="210"/>
      <c r="D139" s="210"/>
      <c r="E139" s="210"/>
      <c r="F139" s="210"/>
    </row>
    <row r="140" spans="2:6" s="249" customFormat="1" x14ac:dyDescent="0.2">
      <c r="B140" s="210"/>
      <c r="C140" s="210"/>
      <c r="D140" s="210"/>
      <c r="E140" s="210"/>
      <c r="F140" s="210"/>
    </row>
    <row r="141" spans="2:6" s="249" customFormat="1" x14ac:dyDescent="0.2">
      <c r="B141" s="210"/>
      <c r="C141" s="210"/>
      <c r="D141" s="210"/>
      <c r="E141" s="210"/>
      <c r="F141" s="210"/>
    </row>
    <row r="142" spans="2:6" s="249" customFormat="1" x14ac:dyDescent="0.2">
      <c r="B142" s="210"/>
      <c r="C142" s="210"/>
      <c r="D142" s="210"/>
      <c r="E142" s="210"/>
      <c r="F142" s="210"/>
    </row>
    <row r="143" spans="2:6" s="249" customFormat="1" x14ac:dyDescent="0.2">
      <c r="B143" s="210"/>
      <c r="C143" s="210"/>
      <c r="D143" s="210"/>
      <c r="E143" s="210"/>
      <c r="F143" s="210"/>
    </row>
    <row r="144" spans="2:6" s="249" customFormat="1" x14ac:dyDescent="0.2">
      <c r="B144" s="210"/>
      <c r="C144" s="210"/>
      <c r="D144" s="210"/>
      <c r="E144" s="210"/>
      <c r="F144" s="210"/>
    </row>
    <row r="145" spans="2:6" s="249" customFormat="1" x14ac:dyDescent="0.2">
      <c r="B145" s="210"/>
      <c r="C145" s="210"/>
      <c r="D145" s="210"/>
      <c r="E145" s="210"/>
      <c r="F145" s="210"/>
    </row>
    <row r="146" spans="2:6" s="249" customFormat="1" x14ac:dyDescent="0.2">
      <c r="B146" s="210"/>
      <c r="C146" s="210"/>
      <c r="D146" s="210"/>
      <c r="E146" s="210"/>
      <c r="F146" s="210"/>
    </row>
    <row r="147" spans="2:6" s="249" customFormat="1" x14ac:dyDescent="0.2">
      <c r="B147" s="210"/>
      <c r="C147" s="210"/>
      <c r="D147" s="210"/>
      <c r="E147" s="210"/>
      <c r="F147" s="210"/>
    </row>
    <row r="148" spans="2:6" s="249" customFormat="1" x14ac:dyDescent="0.2">
      <c r="B148" s="210"/>
      <c r="C148" s="210"/>
      <c r="D148" s="210"/>
      <c r="E148" s="210"/>
      <c r="F148" s="210"/>
    </row>
    <row r="149" spans="2:6" s="249" customFormat="1" x14ac:dyDescent="0.2">
      <c r="B149" s="210"/>
      <c r="C149" s="210"/>
      <c r="D149" s="210"/>
      <c r="E149" s="210"/>
      <c r="F149" s="210"/>
    </row>
    <row r="150" spans="2:6" s="249" customFormat="1" x14ac:dyDescent="0.2">
      <c r="B150" s="210"/>
      <c r="C150" s="210"/>
      <c r="D150" s="210"/>
      <c r="E150" s="210"/>
      <c r="F150" s="210"/>
    </row>
    <row r="151" spans="2:6" s="249" customFormat="1" x14ac:dyDescent="0.2">
      <c r="B151" s="210"/>
      <c r="C151" s="210"/>
      <c r="D151" s="210"/>
      <c r="E151" s="210"/>
      <c r="F151" s="210"/>
    </row>
    <row r="152" spans="2:6" s="249" customFormat="1" x14ac:dyDescent="0.2">
      <c r="B152" s="210"/>
      <c r="C152" s="210"/>
      <c r="D152" s="210"/>
      <c r="E152" s="210"/>
      <c r="F152" s="210"/>
    </row>
    <row r="153" spans="2:6" s="249" customFormat="1" x14ac:dyDescent="0.2">
      <c r="B153" s="210"/>
      <c r="C153" s="210"/>
      <c r="D153" s="210"/>
      <c r="E153" s="210"/>
      <c r="F153" s="210"/>
    </row>
    <row r="154" spans="2:6" s="249" customFormat="1" x14ac:dyDescent="0.2">
      <c r="B154" s="210"/>
      <c r="C154" s="210"/>
      <c r="D154" s="210"/>
      <c r="E154" s="210"/>
      <c r="F154" s="210"/>
    </row>
    <row r="155" spans="2:6" s="249" customFormat="1" x14ac:dyDescent="0.2">
      <c r="B155" s="210"/>
      <c r="C155" s="210"/>
      <c r="D155" s="210"/>
      <c r="E155" s="210"/>
      <c r="F155" s="210"/>
    </row>
    <row r="156" spans="2:6" s="249" customFormat="1" x14ac:dyDescent="0.2">
      <c r="B156" s="210"/>
      <c r="C156" s="210"/>
      <c r="D156" s="210"/>
      <c r="E156" s="210"/>
      <c r="F156" s="210"/>
    </row>
    <row r="157" spans="2:6" s="249" customFormat="1" x14ac:dyDescent="0.2">
      <c r="B157" s="210"/>
      <c r="C157" s="210"/>
      <c r="D157" s="210"/>
      <c r="E157" s="210"/>
      <c r="F157" s="210"/>
    </row>
    <row r="158" spans="2:6" s="249" customFormat="1" x14ac:dyDescent="0.2">
      <c r="B158" s="210"/>
      <c r="C158" s="210"/>
      <c r="D158" s="210"/>
      <c r="E158" s="210"/>
      <c r="F158" s="210"/>
    </row>
    <row r="159" spans="2:6" s="249" customFormat="1" x14ac:dyDescent="0.2">
      <c r="B159" s="210"/>
      <c r="C159" s="210"/>
      <c r="D159" s="210"/>
      <c r="E159" s="210"/>
      <c r="F159" s="210"/>
    </row>
    <row r="160" spans="2:6" s="249" customFormat="1" x14ac:dyDescent="0.2">
      <c r="B160" s="210"/>
      <c r="C160" s="210"/>
      <c r="D160" s="210"/>
      <c r="E160" s="210"/>
      <c r="F160" s="210"/>
    </row>
    <row r="161" spans="2:6" s="249" customFormat="1" x14ac:dyDescent="0.2">
      <c r="B161" s="210"/>
      <c r="C161" s="210"/>
      <c r="D161" s="210"/>
      <c r="E161" s="210"/>
      <c r="F161" s="210"/>
    </row>
    <row r="162" spans="2:6" s="249" customFormat="1" x14ac:dyDescent="0.2">
      <c r="B162" s="210"/>
      <c r="C162" s="210"/>
      <c r="D162" s="210"/>
      <c r="E162" s="210"/>
      <c r="F162" s="210"/>
    </row>
    <row r="163" spans="2:6" s="249" customFormat="1" x14ac:dyDescent="0.2">
      <c r="B163" s="210"/>
      <c r="C163" s="210"/>
      <c r="D163" s="210"/>
      <c r="E163" s="210"/>
      <c r="F163" s="210"/>
    </row>
    <row r="164" spans="2:6" s="249" customFormat="1" x14ac:dyDescent="0.2">
      <c r="B164" s="210"/>
      <c r="C164" s="210"/>
      <c r="D164" s="210"/>
      <c r="E164" s="210"/>
      <c r="F164" s="210"/>
    </row>
    <row r="165" spans="2:6" s="249" customFormat="1" x14ac:dyDescent="0.2">
      <c r="B165" s="210"/>
      <c r="C165" s="210"/>
      <c r="D165" s="210"/>
      <c r="E165" s="210"/>
      <c r="F165" s="210"/>
    </row>
    <row r="166" spans="2:6" s="249" customFormat="1" x14ac:dyDescent="0.2">
      <c r="B166" s="210"/>
      <c r="C166" s="210"/>
      <c r="D166" s="210"/>
      <c r="E166" s="210"/>
      <c r="F166" s="210"/>
    </row>
    <row r="167" spans="2:6" s="249" customFormat="1" x14ac:dyDescent="0.2">
      <c r="B167" s="210"/>
      <c r="C167" s="210"/>
      <c r="D167" s="210"/>
      <c r="E167" s="210"/>
      <c r="F167" s="210"/>
    </row>
    <row r="168" spans="2:6" s="249" customFormat="1" x14ac:dyDescent="0.2">
      <c r="B168" s="210"/>
      <c r="C168" s="210"/>
      <c r="D168" s="210"/>
      <c r="E168" s="210"/>
      <c r="F168" s="210"/>
    </row>
    <row r="169" spans="2:6" s="249" customFormat="1" x14ac:dyDescent="0.2">
      <c r="B169" s="210"/>
      <c r="C169" s="210"/>
      <c r="D169" s="210"/>
      <c r="E169" s="210"/>
      <c r="F169" s="210"/>
    </row>
    <row r="170" spans="2:6" s="249" customFormat="1" x14ac:dyDescent="0.2">
      <c r="B170" s="210"/>
      <c r="C170" s="210"/>
      <c r="D170" s="210"/>
      <c r="E170" s="210"/>
      <c r="F170" s="210"/>
    </row>
    <row r="171" spans="2:6" s="249" customFormat="1" x14ac:dyDescent="0.2">
      <c r="B171" s="210"/>
      <c r="C171" s="210"/>
      <c r="D171" s="210"/>
      <c r="E171" s="210"/>
      <c r="F171" s="210"/>
    </row>
    <row r="172" spans="2:6" s="249" customFormat="1" x14ac:dyDescent="0.2">
      <c r="B172" s="210"/>
      <c r="C172" s="210"/>
      <c r="D172" s="210"/>
      <c r="E172" s="210"/>
      <c r="F172" s="210"/>
    </row>
    <row r="173" spans="2:6" s="249" customFormat="1" x14ac:dyDescent="0.2">
      <c r="B173" s="210"/>
      <c r="C173" s="210"/>
      <c r="D173" s="210"/>
      <c r="E173" s="210"/>
      <c r="F173" s="210"/>
    </row>
    <row r="174" spans="2:6" s="249" customFormat="1" x14ac:dyDescent="0.2">
      <c r="B174" s="210"/>
      <c r="C174" s="210"/>
      <c r="D174" s="210"/>
      <c r="E174" s="210"/>
      <c r="F174" s="210"/>
    </row>
    <row r="175" spans="2:6" s="249" customFormat="1" x14ac:dyDescent="0.2">
      <c r="B175" s="210"/>
      <c r="C175" s="210"/>
      <c r="D175" s="210"/>
      <c r="E175" s="210"/>
      <c r="F175" s="210"/>
    </row>
    <row r="176" spans="2:6" s="249" customFormat="1" x14ac:dyDescent="0.2">
      <c r="B176" s="210"/>
      <c r="C176" s="210"/>
      <c r="D176" s="210"/>
      <c r="E176" s="210"/>
      <c r="F176" s="210"/>
    </row>
  </sheetData>
  <mergeCells count="25">
    <mergeCell ref="B7:D7"/>
    <mergeCell ref="B2:D2"/>
    <mergeCell ref="B3:D3"/>
    <mergeCell ref="B4:D4"/>
    <mergeCell ref="B5:D5"/>
    <mergeCell ref="B6:D6"/>
    <mergeCell ref="B32:D32"/>
    <mergeCell ref="B9:D9"/>
    <mergeCell ref="B10:D10"/>
    <mergeCell ref="B11:D11"/>
    <mergeCell ref="B12:D12"/>
    <mergeCell ref="B13:D13"/>
    <mergeCell ref="B14:D14"/>
    <mergeCell ref="B17:B18"/>
    <mergeCell ref="C17:F17"/>
    <mergeCell ref="B26:D26"/>
    <mergeCell ref="B27:D27"/>
    <mergeCell ref="B28:D28"/>
    <mergeCell ref="B42:D42"/>
    <mergeCell ref="B33:E33"/>
    <mergeCell ref="B34:D34"/>
    <mergeCell ref="B35:D35"/>
    <mergeCell ref="B36:D36"/>
    <mergeCell ref="B40:D40"/>
    <mergeCell ref="B41:E41"/>
  </mergeCells>
  <pageMargins left="0.75" right="0.75" top="1" bottom="1" header="0.5" footer="0.5"/>
  <pageSetup paperSize="9" scale="20" orientation="landscape" r:id="rId1"/>
  <headerFooter alignWithMargins="0">
    <oddFooter>&amp;L&amp;T / &amp;D&amp;C&amp;P of &amp;N&amp;R&amp;F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5"/>
    <pageSetUpPr autoPageBreaks="0"/>
  </sheetPr>
  <dimension ref="B1:AS105"/>
  <sheetViews>
    <sheetView zoomScale="80" zoomScaleNormal="80" workbookViewId="0">
      <pane xSplit="3" ySplit="5" topLeftCell="D6" activePane="bottomRight" state="frozen"/>
      <selection activeCell="C18" sqref="C18"/>
      <selection pane="topRight" activeCell="C18" sqref="C18"/>
      <selection pane="bottomLeft" activeCell="C18" sqref="C18"/>
      <selection pane="bottomRight"/>
    </sheetView>
  </sheetViews>
  <sheetFormatPr defaultRowHeight="12.75" x14ac:dyDescent="0.2"/>
  <cols>
    <col min="1" max="1" width="1.85546875" style="210" customWidth="1"/>
    <col min="2" max="2" width="45" style="210" customWidth="1"/>
    <col min="3" max="3" width="2.85546875" style="210" customWidth="1"/>
    <col min="4" max="4" width="15.28515625" style="210" customWidth="1"/>
    <col min="5" max="6" width="10.5703125" style="210" bestFit="1" customWidth="1"/>
    <col min="7" max="7" width="18" style="210" customWidth="1"/>
    <col min="8" max="9" width="10.5703125" style="210" bestFit="1" customWidth="1"/>
    <col min="10" max="12" width="9.5703125" style="210" bestFit="1" customWidth="1"/>
    <col min="13" max="13" width="11.7109375" style="210" bestFit="1" customWidth="1"/>
    <col min="14" max="14" width="11.28515625" style="210" bestFit="1" customWidth="1"/>
    <col min="15" max="16" width="10.140625" style="210" bestFit="1" customWidth="1"/>
    <col min="17" max="17" width="1.85546875" style="210" customWidth="1"/>
    <col min="18" max="18" width="16.7109375" style="210" bestFit="1" customWidth="1"/>
    <col min="19" max="19" width="19.28515625" style="210" customWidth="1"/>
    <col min="20" max="20" width="14.5703125" style="210" customWidth="1"/>
    <col min="21" max="21" width="17.7109375" style="210" customWidth="1"/>
    <col min="22" max="22" width="18.140625" style="210" customWidth="1"/>
    <col min="23" max="23" width="16.140625" style="210" customWidth="1"/>
    <col min="24" max="24" width="17.5703125" style="210" customWidth="1"/>
    <col min="25" max="25" width="18.140625" style="210" customWidth="1"/>
    <col min="26" max="26" width="14.85546875" style="210" bestFit="1" customWidth="1"/>
    <col min="27" max="27" width="16.7109375" style="210" customWidth="1"/>
    <col min="28" max="28" width="18.42578125" style="210" customWidth="1"/>
    <col min="29" max="29" width="14.85546875" style="210" bestFit="1" customWidth="1"/>
    <col min="30" max="30" width="14.85546875" style="210" customWidth="1"/>
    <col min="31" max="31" width="1.85546875" style="210" customWidth="1"/>
    <col min="32" max="32" width="14.28515625" style="210" customWidth="1"/>
    <col min="33" max="33" width="16.42578125" style="210" customWidth="1"/>
    <col min="34" max="34" width="16.28515625" style="210" customWidth="1"/>
    <col min="35" max="35" width="14.7109375" style="210" customWidth="1"/>
    <col min="36" max="36" width="13.5703125" style="210" bestFit="1" customWidth="1"/>
    <col min="37" max="37" width="14.28515625" style="210" customWidth="1"/>
    <col min="38" max="38" width="12.42578125" style="210" bestFit="1" customWidth="1"/>
    <col min="39" max="39" width="10.5703125" style="210" customWidth="1"/>
    <col min="40" max="40" width="10.85546875" style="210" customWidth="1"/>
    <col min="41" max="41" width="15.42578125" style="210" customWidth="1"/>
    <col min="42" max="42" width="12.42578125" style="210" bestFit="1" customWidth="1"/>
    <col min="43" max="44" width="9.85546875" style="210" bestFit="1" customWidth="1"/>
    <col min="45" max="45" width="12.42578125" style="210" bestFit="1" customWidth="1"/>
    <col min="46" max="16384" width="9.140625" style="210"/>
  </cols>
  <sheetData>
    <row r="1" spans="2:45" ht="15" x14ac:dyDescent="0.25">
      <c r="B1" s="166" t="str">
        <f>"Tariff Approval - "&amp;'Model update'!C3</f>
        <v>Tariff Approval - United Energy</v>
      </c>
      <c r="C1" s="166"/>
      <c r="F1" s="514"/>
    </row>
    <row r="2" spans="2:45" x14ac:dyDescent="0.2">
      <c r="D2" s="514"/>
      <c r="F2" s="514"/>
    </row>
    <row r="3" spans="2:45" x14ac:dyDescent="0.2">
      <c r="B3" s="250" t="str">
        <f>"PROPOSED "&amp;'Model update'!$C$5&amp;" JURISDICTIONAL SCHEME TARIFFS"</f>
        <v>PROPOSED 2019 JURISDICTIONAL SCHEME TARIFFS</v>
      </c>
      <c r="C3" s="250"/>
    </row>
    <row r="4" spans="2:45" ht="13.5" thickBot="1" x14ac:dyDescent="0.25">
      <c r="D4" s="252" t="str">
        <f>"Proposed Jurisdictional scheme Tariffs (Pt) for "&amp;'Model update'!$C$5</f>
        <v>Proposed Jurisdictional scheme Tariffs (Pt) for 2019</v>
      </c>
      <c r="E4" s="253"/>
      <c r="F4" s="253"/>
      <c r="G4" s="253"/>
      <c r="H4" s="196"/>
      <c r="I4" s="196"/>
      <c r="R4" s="254" t="str">
        <f>"Forecast Quantities (Qt) for "&amp;'Model update'!$C$5</f>
        <v>Forecast Quantities (Qt) for 2019</v>
      </c>
      <c r="S4" s="254"/>
      <c r="T4" s="196"/>
      <c r="U4" s="196"/>
      <c r="AF4" s="254" t="str">
        <f>"Forecast Revenue (Pt "&amp;'Model update'!$C$5&amp;")*(Qt " &amp;'Model update'!$C$5&amp;")"</f>
        <v>Forecast Revenue (Pt 2019)*(Qt 2019)</v>
      </c>
      <c r="AG4" s="253"/>
      <c r="AH4" s="253"/>
      <c r="AI4" s="196"/>
    </row>
    <row r="5" spans="2:45" ht="25.5" x14ac:dyDescent="0.2">
      <c r="B5" s="256" t="s">
        <v>128</v>
      </c>
      <c r="C5" s="262"/>
      <c r="D5" s="461" t="s">
        <v>130</v>
      </c>
      <c r="E5" s="462" t="s">
        <v>131</v>
      </c>
      <c r="F5" s="462" t="s">
        <v>419</v>
      </c>
      <c r="G5" s="462" t="s">
        <v>420</v>
      </c>
      <c r="H5" s="462" t="s">
        <v>421</v>
      </c>
      <c r="I5" s="462" t="s">
        <v>132</v>
      </c>
      <c r="J5" s="462" t="s">
        <v>422</v>
      </c>
      <c r="K5" s="462" t="s">
        <v>133</v>
      </c>
      <c r="L5" s="462" t="s">
        <v>134</v>
      </c>
      <c r="M5" s="462" t="s">
        <v>135</v>
      </c>
      <c r="N5" s="462" t="s">
        <v>136</v>
      </c>
      <c r="O5" s="462" t="s">
        <v>137</v>
      </c>
      <c r="P5" s="463" t="s">
        <v>138</v>
      </c>
      <c r="R5" s="461" t="s">
        <v>173</v>
      </c>
      <c r="S5" s="462" t="s">
        <v>174</v>
      </c>
      <c r="T5" s="462" t="s">
        <v>427</v>
      </c>
      <c r="U5" s="462" t="s">
        <v>428</v>
      </c>
      <c r="V5" s="462" t="s">
        <v>429</v>
      </c>
      <c r="W5" s="462" t="s">
        <v>175</v>
      </c>
      <c r="X5" s="462" t="s">
        <v>430</v>
      </c>
      <c r="Y5" s="462" t="s">
        <v>176</v>
      </c>
      <c r="Z5" s="462" t="s">
        <v>177</v>
      </c>
      <c r="AA5" s="462" t="s">
        <v>178</v>
      </c>
      <c r="AB5" s="462" t="s">
        <v>179</v>
      </c>
      <c r="AC5" s="462" t="s">
        <v>180</v>
      </c>
      <c r="AD5" s="463" t="s">
        <v>181</v>
      </c>
      <c r="AF5" s="257" t="s">
        <v>148</v>
      </c>
      <c r="AG5" s="258" t="s">
        <v>149</v>
      </c>
      <c r="AH5" s="258" t="s">
        <v>150</v>
      </c>
      <c r="AI5" s="258" t="s">
        <v>151</v>
      </c>
      <c r="AJ5" s="258" t="s">
        <v>152</v>
      </c>
      <c r="AK5" s="258" t="s">
        <v>153</v>
      </c>
      <c r="AL5" s="258" t="s">
        <v>154</v>
      </c>
      <c r="AM5" s="258" t="s">
        <v>155</v>
      </c>
      <c r="AN5" s="258" t="s">
        <v>156</v>
      </c>
      <c r="AO5" s="258" t="s">
        <v>157</v>
      </c>
      <c r="AP5" s="258" t="s">
        <v>158</v>
      </c>
      <c r="AQ5" s="258" t="s">
        <v>159</v>
      </c>
      <c r="AR5" s="258" t="s">
        <v>160</v>
      </c>
      <c r="AS5" s="258" t="s">
        <v>161</v>
      </c>
    </row>
    <row r="6" spans="2:45" s="458" customFormat="1" x14ac:dyDescent="0.2">
      <c r="B6" s="464" t="str">
        <f>Prop2019DistTar!B6</f>
        <v>Low voltage small 1 rate</v>
      </c>
      <c r="C6" s="569"/>
      <c r="D6" s="709">
        <v>5.32</v>
      </c>
      <c r="E6" s="710">
        <v>0</v>
      </c>
      <c r="F6" s="710">
        <v>0</v>
      </c>
      <c r="G6" s="710">
        <v>0</v>
      </c>
      <c r="H6" s="710">
        <v>0</v>
      </c>
      <c r="I6" s="710">
        <v>0</v>
      </c>
      <c r="J6" s="710">
        <v>0</v>
      </c>
      <c r="K6" s="710">
        <v>0</v>
      </c>
      <c r="L6" s="710">
        <v>0</v>
      </c>
      <c r="M6" s="710">
        <v>0</v>
      </c>
      <c r="N6" s="710">
        <v>0</v>
      </c>
      <c r="O6" s="710">
        <v>0</v>
      </c>
      <c r="P6" s="711">
        <v>0</v>
      </c>
      <c r="Q6" s="598"/>
      <c r="R6" s="573">
        <f>Prop2019TransTar!R6</f>
        <v>206859021.70803419</v>
      </c>
      <c r="S6" s="574">
        <f>Prop2019TransTar!S6</f>
        <v>943855173.40696001</v>
      </c>
      <c r="T6" s="574">
        <f>Prop2019TransTar!T6</f>
        <v>0</v>
      </c>
      <c r="U6" s="574">
        <f>Prop2019TransTar!U6</f>
        <v>0</v>
      </c>
      <c r="V6" s="574">
        <f>Prop2019TransTar!V6</f>
        <v>1520207628.6832812</v>
      </c>
      <c r="W6" s="574">
        <f>Prop2019TransTar!W6</f>
        <v>0</v>
      </c>
      <c r="X6" s="574">
        <f>Prop2019TransTar!X6</f>
        <v>0</v>
      </c>
      <c r="Y6" s="574">
        <f>Prop2019TransTar!Y6</f>
        <v>0</v>
      </c>
      <c r="Z6" s="574">
        <f>Prop2019TransTar!Z6</f>
        <v>0</v>
      </c>
      <c r="AA6" s="574">
        <f>Prop2019TransTar!AA6</f>
        <v>0</v>
      </c>
      <c r="AB6" s="574">
        <f>Prop2019TransTar!AB6</f>
        <v>0</v>
      </c>
      <c r="AC6" s="574">
        <f>Prop2019TransTar!AC6</f>
        <v>0</v>
      </c>
      <c r="AD6" s="575">
        <f>Prop2019TransTar!AD6</f>
        <v>0</v>
      </c>
      <c r="AF6" s="576">
        <f t="shared" ref="AF6:AF65" si="0">D6/100*R6</f>
        <v>11004899.954867419</v>
      </c>
      <c r="AG6" s="577">
        <f t="shared" ref="AG6:AG65" si="1">E6/100*S6</f>
        <v>0</v>
      </c>
      <c r="AH6" s="577">
        <f t="shared" ref="AH6:AH65" si="2">F6/100*T6</f>
        <v>0</v>
      </c>
      <c r="AI6" s="577">
        <f t="shared" ref="AI6:AI65" si="3">G6/100*U6</f>
        <v>0</v>
      </c>
      <c r="AJ6" s="577">
        <f t="shared" ref="AJ6:AJ65" si="4">H6/100*V6</f>
        <v>0</v>
      </c>
      <c r="AK6" s="577">
        <f t="shared" ref="AK6:AK65" si="5">I6/100*W6</f>
        <v>0</v>
      </c>
      <c r="AL6" s="577">
        <f t="shared" ref="AL6:AL65" si="6">J6/100*X6</f>
        <v>0</v>
      </c>
      <c r="AM6" s="577">
        <f t="shared" ref="AM6:AM65" si="7">K6/100*Y6</f>
        <v>0</v>
      </c>
      <c r="AN6" s="577">
        <f t="shared" ref="AN6:AN65" si="8">L6/100*Z6</f>
        <v>0</v>
      </c>
      <c r="AO6" s="577">
        <f t="shared" ref="AO6:AO65" si="9">M6/100*AA6</f>
        <v>0</v>
      </c>
      <c r="AP6" s="577">
        <f t="shared" ref="AP6:AP65" si="10">N6/100*AB6</f>
        <v>0</v>
      </c>
      <c r="AQ6" s="577">
        <f t="shared" ref="AQ6:AQ65" si="11">O6/100*AC6</f>
        <v>0</v>
      </c>
      <c r="AR6" s="577">
        <f t="shared" ref="AR6:AR65" si="12">P6/100*AD6</f>
        <v>0</v>
      </c>
      <c r="AS6" s="578">
        <f t="shared" ref="AS6:AS65" si="13">SUM(AF6:AR6)</f>
        <v>11004899.954867419</v>
      </c>
    </row>
    <row r="7" spans="2:45" s="458" customFormat="1" x14ac:dyDescent="0.2">
      <c r="B7" s="464" t="str">
        <f>Prop2019DistTar!B7</f>
        <v>Winter economy tariff</v>
      </c>
      <c r="C7" s="579"/>
      <c r="D7" s="712">
        <v>5.32</v>
      </c>
      <c r="E7" s="713">
        <v>0</v>
      </c>
      <c r="F7" s="713">
        <v>0</v>
      </c>
      <c r="G7" s="713">
        <v>0</v>
      </c>
      <c r="H7" s="713">
        <v>0</v>
      </c>
      <c r="I7" s="713">
        <v>0</v>
      </c>
      <c r="J7" s="713">
        <v>0</v>
      </c>
      <c r="K7" s="713">
        <v>0</v>
      </c>
      <c r="L7" s="713">
        <v>0</v>
      </c>
      <c r="M7" s="713">
        <v>0</v>
      </c>
      <c r="N7" s="713">
        <v>0</v>
      </c>
      <c r="O7" s="713">
        <v>0</v>
      </c>
      <c r="P7" s="714">
        <v>0</v>
      </c>
      <c r="Q7" s="599"/>
      <c r="R7" s="583">
        <f>Prop2019TransTar!R7</f>
        <v>42656.460733472712</v>
      </c>
      <c r="S7" s="584">
        <f>Prop2019TransTar!S7</f>
        <v>298454.72927472106</v>
      </c>
      <c r="T7" s="584">
        <f>Prop2019TransTar!T7</f>
        <v>0</v>
      </c>
      <c r="U7" s="584">
        <f>Prop2019TransTar!U7</f>
        <v>0</v>
      </c>
      <c r="V7" s="584">
        <f>Prop2019TransTar!V7</f>
        <v>543138.85525902733</v>
      </c>
      <c r="W7" s="584">
        <f>Prop2019TransTar!W7</f>
        <v>0</v>
      </c>
      <c r="X7" s="584">
        <f>Prop2019TransTar!X7</f>
        <v>0</v>
      </c>
      <c r="Y7" s="584">
        <f>Prop2019TransTar!Y7</f>
        <v>0</v>
      </c>
      <c r="Z7" s="584">
        <f>Prop2019TransTar!Z7</f>
        <v>0</v>
      </c>
      <c r="AA7" s="584">
        <f>Prop2019TransTar!AA7</f>
        <v>0</v>
      </c>
      <c r="AB7" s="584">
        <f>Prop2019TransTar!AB7</f>
        <v>0</v>
      </c>
      <c r="AC7" s="584">
        <f>Prop2019TransTar!AC7</f>
        <v>0</v>
      </c>
      <c r="AD7" s="585">
        <f>Prop2019TransTar!AD7</f>
        <v>0</v>
      </c>
      <c r="AF7" s="556">
        <f t="shared" si="0"/>
        <v>2269.3237110207483</v>
      </c>
      <c r="AG7" s="557">
        <f t="shared" si="1"/>
        <v>0</v>
      </c>
      <c r="AH7" s="557">
        <f t="shared" si="2"/>
        <v>0</v>
      </c>
      <c r="AI7" s="557">
        <f t="shared" si="3"/>
        <v>0</v>
      </c>
      <c r="AJ7" s="557">
        <f t="shared" si="4"/>
        <v>0</v>
      </c>
      <c r="AK7" s="557">
        <f t="shared" si="5"/>
        <v>0</v>
      </c>
      <c r="AL7" s="557">
        <f t="shared" si="6"/>
        <v>0</v>
      </c>
      <c r="AM7" s="557">
        <f t="shared" si="7"/>
        <v>0</v>
      </c>
      <c r="AN7" s="557">
        <f t="shared" si="8"/>
        <v>0</v>
      </c>
      <c r="AO7" s="557">
        <f t="shared" si="9"/>
        <v>0</v>
      </c>
      <c r="AP7" s="557">
        <f t="shared" si="10"/>
        <v>0</v>
      </c>
      <c r="AQ7" s="557">
        <f t="shared" si="11"/>
        <v>0</v>
      </c>
      <c r="AR7" s="557">
        <f t="shared" si="12"/>
        <v>0</v>
      </c>
      <c r="AS7" s="469">
        <f t="shared" si="13"/>
        <v>2269.3237110207483</v>
      </c>
    </row>
    <row r="8" spans="2:45" s="458" customFormat="1" x14ac:dyDescent="0.2">
      <c r="B8" s="464" t="str">
        <f>Prop2019DistTar!B8</f>
        <v>Reverse cycle airconditioning time of use</v>
      </c>
      <c r="C8" s="579"/>
      <c r="D8" s="712">
        <v>5.32</v>
      </c>
      <c r="E8" s="713">
        <v>0</v>
      </c>
      <c r="F8" s="713">
        <v>0</v>
      </c>
      <c r="G8" s="713">
        <v>0</v>
      </c>
      <c r="H8" s="713">
        <v>0</v>
      </c>
      <c r="I8" s="713">
        <v>0</v>
      </c>
      <c r="J8" s="713">
        <v>0</v>
      </c>
      <c r="K8" s="713">
        <v>0</v>
      </c>
      <c r="L8" s="713">
        <v>0</v>
      </c>
      <c r="M8" s="713">
        <v>0</v>
      </c>
      <c r="N8" s="713">
        <v>0</v>
      </c>
      <c r="O8" s="713">
        <v>0</v>
      </c>
      <c r="P8" s="714">
        <v>0</v>
      </c>
      <c r="Q8" s="599"/>
      <c r="R8" s="583">
        <f>Prop2019TransTar!R8</f>
        <v>0</v>
      </c>
      <c r="S8" s="584">
        <f>Prop2019TransTar!S8</f>
        <v>0</v>
      </c>
      <c r="T8" s="584">
        <f>Prop2019TransTar!T8</f>
        <v>0</v>
      </c>
      <c r="U8" s="584">
        <f>Prop2019TransTar!U8</f>
        <v>0</v>
      </c>
      <c r="V8" s="584">
        <f>Prop2019TransTar!V8</f>
        <v>0</v>
      </c>
      <c r="W8" s="584">
        <f>Prop2019TransTar!W8</f>
        <v>0</v>
      </c>
      <c r="X8" s="584">
        <f>Prop2019TransTar!X8</f>
        <v>0</v>
      </c>
      <c r="Y8" s="584">
        <f>Prop2019TransTar!Y8</f>
        <v>0</v>
      </c>
      <c r="Z8" s="584">
        <f>Prop2019TransTar!Z8</f>
        <v>0</v>
      </c>
      <c r="AA8" s="584">
        <f>Prop2019TransTar!AA8</f>
        <v>0</v>
      </c>
      <c r="AB8" s="584">
        <f>Prop2019TransTar!AB8</f>
        <v>0</v>
      </c>
      <c r="AC8" s="584">
        <f>Prop2019TransTar!AC8</f>
        <v>0</v>
      </c>
      <c r="AD8" s="585">
        <f>Prop2019TransTar!AD8</f>
        <v>0</v>
      </c>
      <c r="AF8" s="556">
        <f t="shared" si="0"/>
        <v>0</v>
      </c>
      <c r="AG8" s="557">
        <f t="shared" si="1"/>
        <v>0</v>
      </c>
      <c r="AH8" s="557">
        <f t="shared" si="2"/>
        <v>0</v>
      </c>
      <c r="AI8" s="557">
        <f t="shared" si="3"/>
        <v>0</v>
      </c>
      <c r="AJ8" s="557">
        <f t="shared" si="4"/>
        <v>0</v>
      </c>
      <c r="AK8" s="557">
        <f t="shared" si="5"/>
        <v>0</v>
      </c>
      <c r="AL8" s="557">
        <f t="shared" si="6"/>
        <v>0</v>
      </c>
      <c r="AM8" s="557">
        <f t="shared" si="7"/>
        <v>0</v>
      </c>
      <c r="AN8" s="557">
        <f t="shared" si="8"/>
        <v>0</v>
      </c>
      <c r="AO8" s="557">
        <f t="shared" si="9"/>
        <v>0</v>
      </c>
      <c r="AP8" s="557">
        <f t="shared" si="10"/>
        <v>0</v>
      </c>
      <c r="AQ8" s="557">
        <f t="shared" si="11"/>
        <v>0</v>
      </c>
      <c r="AR8" s="557">
        <f t="shared" si="12"/>
        <v>0</v>
      </c>
      <c r="AS8" s="469">
        <f t="shared" si="13"/>
        <v>0</v>
      </c>
    </row>
    <row r="9" spans="2:45" s="458" customFormat="1" x14ac:dyDescent="0.2">
      <c r="B9" s="464" t="str">
        <f>Prop2019DistTar!B9</f>
        <v>Low voltage small 2 rate</v>
      </c>
      <c r="C9" s="579"/>
      <c r="D9" s="712">
        <v>5.32</v>
      </c>
      <c r="E9" s="713">
        <v>0</v>
      </c>
      <c r="F9" s="713">
        <v>0</v>
      </c>
      <c r="G9" s="713">
        <v>0</v>
      </c>
      <c r="H9" s="713">
        <v>0</v>
      </c>
      <c r="I9" s="713">
        <v>0</v>
      </c>
      <c r="J9" s="713">
        <v>0</v>
      </c>
      <c r="K9" s="713">
        <v>0</v>
      </c>
      <c r="L9" s="713">
        <v>0</v>
      </c>
      <c r="M9" s="713">
        <v>0</v>
      </c>
      <c r="N9" s="713">
        <v>0</v>
      </c>
      <c r="O9" s="713">
        <v>0</v>
      </c>
      <c r="P9" s="714">
        <v>0</v>
      </c>
      <c r="Q9" s="599"/>
      <c r="R9" s="583">
        <f>Prop2019TransTar!R9</f>
        <v>1340451.1587691894</v>
      </c>
      <c r="S9" s="584">
        <f>Prop2019TransTar!S9</f>
        <v>0</v>
      </c>
      <c r="T9" s="584">
        <f>Prop2019TransTar!T9</f>
        <v>0</v>
      </c>
      <c r="U9" s="584">
        <f>Prop2019TransTar!U9</f>
        <v>3869362.149400895</v>
      </c>
      <c r="V9" s="584">
        <f>Prop2019TransTar!V9</f>
        <v>0</v>
      </c>
      <c r="W9" s="584">
        <f>Prop2019TransTar!W9</f>
        <v>0</v>
      </c>
      <c r="X9" s="584">
        <f>Prop2019TransTar!X9</f>
        <v>6191506.8114995118</v>
      </c>
      <c r="Y9" s="584">
        <f>Prop2019TransTar!Y9</f>
        <v>13287140.177306311</v>
      </c>
      <c r="Z9" s="584">
        <f>Prop2019TransTar!Z9</f>
        <v>0</v>
      </c>
      <c r="AA9" s="584">
        <f>Prop2019TransTar!AA9</f>
        <v>0</v>
      </c>
      <c r="AB9" s="584">
        <f>Prop2019TransTar!AB9</f>
        <v>0</v>
      </c>
      <c r="AC9" s="584">
        <f>Prop2019TransTar!AC9</f>
        <v>0</v>
      </c>
      <c r="AD9" s="585">
        <f>Prop2019TransTar!AD9</f>
        <v>0</v>
      </c>
      <c r="AF9" s="556">
        <f t="shared" si="0"/>
        <v>71312.001646520876</v>
      </c>
      <c r="AG9" s="557">
        <f t="shared" si="1"/>
        <v>0</v>
      </c>
      <c r="AH9" s="557">
        <f t="shared" si="2"/>
        <v>0</v>
      </c>
      <c r="AI9" s="557">
        <f t="shared" si="3"/>
        <v>0</v>
      </c>
      <c r="AJ9" s="557">
        <f t="shared" si="4"/>
        <v>0</v>
      </c>
      <c r="AK9" s="557">
        <f t="shared" si="5"/>
        <v>0</v>
      </c>
      <c r="AL9" s="557">
        <f t="shared" si="6"/>
        <v>0</v>
      </c>
      <c r="AM9" s="557">
        <f t="shared" si="7"/>
        <v>0</v>
      </c>
      <c r="AN9" s="557">
        <f t="shared" si="8"/>
        <v>0</v>
      </c>
      <c r="AO9" s="557">
        <f t="shared" si="9"/>
        <v>0</v>
      </c>
      <c r="AP9" s="557">
        <f t="shared" si="10"/>
        <v>0</v>
      </c>
      <c r="AQ9" s="557">
        <f t="shared" si="11"/>
        <v>0</v>
      </c>
      <c r="AR9" s="557">
        <f t="shared" si="12"/>
        <v>0</v>
      </c>
      <c r="AS9" s="469">
        <f t="shared" si="13"/>
        <v>71312.001646520876</v>
      </c>
    </row>
    <row r="10" spans="2:45" s="458" customFormat="1" x14ac:dyDescent="0.2">
      <c r="B10" s="464" t="str">
        <f>Prop2019DistTar!B10</f>
        <v>Dedicated circuit</v>
      </c>
      <c r="C10" s="579"/>
      <c r="D10" s="712">
        <v>0</v>
      </c>
      <c r="E10" s="713">
        <v>0</v>
      </c>
      <c r="F10" s="713">
        <v>0</v>
      </c>
      <c r="G10" s="713">
        <v>0</v>
      </c>
      <c r="H10" s="713">
        <v>0</v>
      </c>
      <c r="I10" s="713">
        <v>0</v>
      </c>
      <c r="J10" s="713">
        <v>0</v>
      </c>
      <c r="K10" s="713">
        <v>0</v>
      </c>
      <c r="L10" s="713">
        <v>0</v>
      </c>
      <c r="M10" s="713">
        <v>0</v>
      </c>
      <c r="N10" s="713">
        <v>0</v>
      </c>
      <c r="O10" s="713">
        <v>0</v>
      </c>
      <c r="P10" s="714">
        <v>0</v>
      </c>
      <c r="Q10" s="599"/>
      <c r="R10" s="583">
        <f>Prop2019TransTar!R10</f>
        <v>2556582.8135031499</v>
      </c>
      <c r="S10" s="584">
        <f>Prop2019TransTar!S10</f>
        <v>0</v>
      </c>
      <c r="T10" s="584">
        <f>Prop2019TransTar!T10</f>
        <v>0</v>
      </c>
      <c r="U10" s="584">
        <f>Prop2019TransTar!U10</f>
        <v>0</v>
      </c>
      <c r="V10" s="584">
        <f>Prop2019TransTar!V10</f>
        <v>0</v>
      </c>
      <c r="W10" s="584">
        <f>Prop2019TransTar!W10</f>
        <v>0</v>
      </c>
      <c r="X10" s="584">
        <f>Prop2019TransTar!X10</f>
        <v>0</v>
      </c>
      <c r="Y10" s="584">
        <f>Prop2019TransTar!Y10</f>
        <v>84158747.774884999</v>
      </c>
      <c r="Z10" s="584">
        <f>Prop2019TransTar!Z10</f>
        <v>0</v>
      </c>
      <c r="AA10" s="584">
        <f>Prop2019TransTar!AA10</f>
        <v>0</v>
      </c>
      <c r="AB10" s="584">
        <f>Prop2019TransTar!AB10</f>
        <v>0</v>
      </c>
      <c r="AC10" s="584">
        <f>Prop2019TransTar!AC10</f>
        <v>0</v>
      </c>
      <c r="AD10" s="585">
        <f>Prop2019TransTar!AD10</f>
        <v>0</v>
      </c>
      <c r="AF10" s="556">
        <f t="shared" si="0"/>
        <v>0</v>
      </c>
      <c r="AG10" s="557">
        <f t="shared" si="1"/>
        <v>0</v>
      </c>
      <c r="AH10" s="557">
        <f t="shared" si="2"/>
        <v>0</v>
      </c>
      <c r="AI10" s="557">
        <f t="shared" si="3"/>
        <v>0</v>
      </c>
      <c r="AJ10" s="557">
        <f t="shared" si="4"/>
        <v>0</v>
      </c>
      <c r="AK10" s="557">
        <f t="shared" si="5"/>
        <v>0</v>
      </c>
      <c r="AL10" s="557">
        <f t="shared" si="6"/>
        <v>0</v>
      </c>
      <c r="AM10" s="557">
        <f t="shared" si="7"/>
        <v>0</v>
      </c>
      <c r="AN10" s="557">
        <f t="shared" si="8"/>
        <v>0</v>
      </c>
      <c r="AO10" s="557">
        <f t="shared" si="9"/>
        <v>0</v>
      </c>
      <c r="AP10" s="557">
        <f t="shared" si="10"/>
        <v>0</v>
      </c>
      <c r="AQ10" s="557">
        <f t="shared" si="11"/>
        <v>0</v>
      </c>
      <c r="AR10" s="557">
        <f t="shared" si="12"/>
        <v>0</v>
      </c>
      <c r="AS10" s="469">
        <f t="shared" si="13"/>
        <v>0</v>
      </c>
    </row>
    <row r="11" spans="2:45" s="458" customFormat="1" x14ac:dyDescent="0.2">
      <c r="B11" s="464" t="str">
        <f>Prop2019DistTar!B11</f>
        <v>Low voltage medium 1 rate</v>
      </c>
      <c r="C11" s="579"/>
      <c r="D11" s="712">
        <v>5.32</v>
      </c>
      <c r="E11" s="713">
        <v>0</v>
      </c>
      <c r="F11" s="713">
        <v>0</v>
      </c>
      <c r="G11" s="713">
        <v>0</v>
      </c>
      <c r="H11" s="713">
        <v>0</v>
      </c>
      <c r="I11" s="713">
        <v>0</v>
      </c>
      <c r="J11" s="713">
        <v>0</v>
      </c>
      <c r="K11" s="713">
        <v>0</v>
      </c>
      <c r="L11" s="713">
        <v>0</v>
      </c>
      <c r="M11" s="713">
        <v>0</v>
      </c>
      <c r="N11" s="713">
        <v>0</v>
      </c>
      <c r="O11" s="713">
        <v>0</v>
      </c>
      <c r="P11" s="714">
        <v>0</v>
      </c>
      <c r="Q11" s="599"/>
      <c r="R11" s="583">
        <f>Prop2019TransTar!R11</f>
        <v>12146313.83417597</v>
      </c>
      <c r="S11" s="584">
        <f>Prop2019TransTar!S11</f>
        <v>160384013.53021297</v>
      </c>
      <c r="T11" s="584">
        <f>Prop2019TransTar!T11</f>
        <v>0</v>
      </c>
      <c r="U11" s="584">
        <f>Prop2019TransTar!U11</f>
        <v>0</v>
      </c>
      <c r="V11" s="584">
        <f>Prop2019TransTar!V11</f>
        <v>248017894.41048351</v>
      </c>
      <c r="W11" s="584">
        <f>Prop2019TransTar!W11</f>
        <v>0</v>
      </c>
      <c r="X11" s="584">
        <f>Prop2019TransTar!X11</f>
        <v>0</v>
      </c>
      <c r="Y11" s="584">
        <f>Prop2019TransTar!Y11</f>
        <v>0</v>
      </c>
      <c r="Z11" s="584">
        <f>Prop2019TransTar!Z11</f>
        <v>0</v>
      </c>
      <c r="AA11" s="584">
        <f>Prop2019TransTar!AA11</f>
        <v>0</v>
      </c>
      <c r="AB11" s="584">
        <f>Prop2019TransTar!AB11</f>
        <v>0</v>
      </c>
      <c r="AC11" s="584">
        <f>Prop2019TransTar!AC11</f>
        <v>0</v>
      </c>
      <c r="AD11" s="585">
        <f>Prop2019TransTar!AD11</f>
        <v>0</v>
      </c>
      <c r="AF11" s="556">
        <f t="shared" si="0"/>
        <v>646183.89597816172</v>
      </c>
      <c r="AG11" s="557">
        <f t="shared" si="1"/>
        <v>0</v>
      </c>
      <c r="AH11" s="557">
        <f t="shared" si="2"/>
        <v>0</v>
      </c>
      <c r="AI11" s="557">
        <f t="shared" si="3"/>
        <v>0</v>
      </c>
      <c r="AJ11" s="557">
        <f t="shared" si="4"/>
        <v>0</v>
      </c>
      <c r="AK11" s="557">
        <f t="shared" si="5"/>
        <v>0</v>
      </c>
      <c r="AL11" s="557">
        <f t="shared" si="6"/>
        <v>0</v>
      </c>
      <c r="AM11" s="557">
        <f t="shared" si="7"/>
        <v>0</v>
      </c>
      <c r="AN11" s="557">
        <f t="shared" si="8"/>
        <v>0</v>
      </c>
      <c r="AO11" s="557">
        <f t="shared" si="9"/>
        <v>0</v>
      </c>
      <c r="AP11" s="557">
        <f t="shared" si="10"/>
        <v>0</v>
      </c>
      <c r="AQ11" s="557">
        <f t="shared" si="11"/>
        <v>0</v>
      </c>
      <c r="AR11" s="557">
        <f t="shared" si="12"/>
        <v>0</v>
      </c>
      <c r="AS11" s="469">
        <f t="shared" si="13"/>
        <v>646183.89597816172</v>
      </c>
    </row>
    <row r="12" spans="2:45" s="458" customFormat="1" x14ac:dyDescent="0.2">
      <c r="B12" s="464" t="str">
        <f>Prop2019DistTar!B12</f>
        <v>Low voltage medium 2 rate 5 day</v>
      </c>
      <c r="C12" s="579"/>
      <c r="D12" s="712">
        <v>5.32</v>
      </c>
      <c r="E12" s="713">
        <v>0</v>
      </c>
      <c r="F12" s="713">
        <v>0</v>
      </c>
      <c r="G12" s="713">
        <v>0</v>
      </c>
      <c r="H12" s="713">
        <v>0</v>
      </c>
      <c r="I12" s="713">
        <v>0</v>
      </c>
      <c r="J12" s="713">
        <v>0</v>
      </c>
      <c r="K12" s="713">
        <v>0</v>
      </c>
      <c r="L12" s="713">
        <v>0</v>
      </c>
      <c r="M12" s="713">
        <v>0</v>
      </c>
      <c r="N12" s="713">
        <v>0</v>
      </c>
      <c r="O12" s="713">
        <v>0</v>
      </c>
      <c r="P12" s="714">
        <v>0</v>
      </c>
      <c r="Q12" s="599"/>
      <c r="R12" s="583">
        <f>Prop2019TransTar!R12</f>
        <v>3142786.3099071081</v>
      </c>
      <c r="S12" s="584">
        <f>Prop2019TransTar!S12</f>
        <v>0</v>
      </c>
      <c r="T12" s="584">
        <f>Prop2019TransTar!T12</f>
        <v>0</v>
      </c>
      <c r="U12" s="584">
        <f>Prop2019TransTar!U12</f>
        <v>48750958.343441747</v>
      </c>
      <c r="V12" s="584">
        <f>Prop2019TransTar!V12</f>
        <v>0</v>
      </c>
      <c r="W12" s="584">
        <f>Prop2019TransTar!W12</f>
        <v>0</v>
      </c>
      <c r="X12" s="584">
        <f>Prop2019TransTar!X12</f>
        <v>71461261.271050319</v>
      </c>
      <c r="Y12" s="584">
        <f>Prop2019TransTar!Y12</f>
        <v>72558263.793640316</v>
      </c>
      <c r="Z12" s="584">
        <f>Prop2019TransTar!Z12</f>
        <v>0</v>
      </c>
      <c r="AA12" s="584">
        <f>Prop2019TransTar!AA12</f>
        <v>0</v>
      </c>
      <c r="AB12" s="584">
        <f>Prop2019TransTar!AB12</f>
        <v>0</v>
      </c>
      <c r="AC12" s="584">
        <f>Prop2019TransTar!AC12</f>
        <v>0</v>
      </c>
      <c r="AD12" s="585">
        <f>Prop2019TransTar!AD12</f>
        <v>0</v>
      </c>
      <c r="AF12" s="556">
        <f t="shared" si="0"/>
        <v>167196.23168705817</v>
      </c>
      <c r="AG12" s="557">
        <f t="shared" si="1"/>
        <v>0</v>
      </c>
      <c r="AH12" s="557">
        <f t="shared" si="2"/>
        <v>0</v>
      </c>
      <c r="AI12" s="557">
        <f t="shared" si="3"/>
        <v>0</v>
      </c>
      <c r="AJ12" s="557">
        <f t="shared" si="4"/>
        <v>0</v>
      </c>
      <c r="AK12" s="557">
        <f t="shared" si="5"/>
        <v>0</v>
      </c>
      <c r="AL12" s="557">
        <f t="shared" si="6"/>
        <v>0</v>
      </c>
      <c r="AM12" s="557">
        <f t="shared" si="7"/>
        <v>0</v>
      </c>
      <c r="AN12" s="557">
        <f t="shared" si="8"/>
        <v>0</v>
      </c>
      <c r="AO12" s="557">
        <f t="shared" si="9"/>
        <v>0</v>
      </c>
      <c r="AP12" s="557">
        <f t="shared" si="10"/>
        <v>0</v>
      </c>
      <c r="AQ12" s="557">
        <f t="shared" si="11"/>
        <v>0</v>
      </c>
      <c r="AR12" s="557">
        <f t="shared" si="12"/>
        <v>0</v>
      </c>
      <c r="AS12" s="469">
        <f t="shared" si="13"/>
        <v>167196.23168705817</v>
      </c>
    </row>
    <row r="13" spans="2:45" s="458" customFormat="1" x14ac:dyDescent="0.2">
      <c r="B13" s="464" t="str">
        <f>Prop2019DistTar!B13</f>
        <v>Low voltage medium 2 rate 7 day</v>
      </c>
      <c r="C13" s="579"/>
      <c r="D13" s="712">
        <v>5.32</v>
      </c>
      <c r="E13" s="713">
        <v>0</v>
      </c>
      <c r="F13" s="713">
        <v>0</v>
      </c>
      <c r="G13" s="713">
        <v>0</v>
      </c>
      <c r="H13" s="713">
        <v>0</v>
      </c>
      <c r="I13" s="713">
        <v>0</v>
      </c>
      <c r="J13" s="713">
        <v>0</v>
      </c>
      <c r="K13" s="713">
        <v>0</v>
      </c>
      <c r="L13" s="713">
        <v>0</v>
      </c>
      <c r="M13" s="713">
        <v>0</v>
      </c>
      <c r="N13" s="713">
        <v>0</v>
      </c>
      <c r="O13" s="713">
        <v>0</v>
      </c>
      <c r="P13" s="714">
        <v>0</v>
      </c>
      <c r="Q13" s="599"/>
      <c r="R13" s="583">
        <f>Prop2019TransTar!R13</f>
        <v>1806435.3607059252</v>
      </c>
      <c r="S13" s="584">
        <f>Prop2019TransTar!S13</f>
        <v>0</v>
      </c>
      <c r="T13" s="584">
        <f>Prop2019TransTar!T13</f>
        <v>0</v>
      </c>
      <c r="U13" s="584">
        <f>Prop2019TransTar!U13</f>
        <v>24677811.012879409</v>
      </c>
      <c r="V13" s="584">
        <f>Prop2019TransTar!V13</f>
        <v>0</v>
      </c>
      <c r="W13" s="584">
        <f>Prop2019TransTar!W13</f>
        <v>0</v>
      </c>
      <c r="X13" s="584">
        <f>Prop2019TransTar!X13</f>
        <v>38638672.968607686</v>
      </c>
      <c r="Y13" s="584">
        <f>Prop2019TransTar!Y13</f>
        <v>17093353.142594486</v>
      </c>
      <c r="Z13" s="584">
        <f>Prop2019TransTar!Z13</f>
        <v>0</v>
      </c>
      <c r="AA13" s="584">
        <f>Prop2019TransTar!AA13</f>
        <v>0</v>
      </c>
      <c r="AB13" s="584">
        <f>Prop2019TransTar!AB13</f>
        <v>0</v>
      </c>
      <c r="AC13" s="584">
        <f>Prop2019TransTar!AC13</f>
        <v>0</v>
      </c>
      <c r="AD13" s="585">
        <f>Prop2019TransTar!AD13</f>
        <v>0</v>
      </c>
      <c r="AF13" s="556">
        <f t="shared" si="0"/>
        <v>96102.361189555231</v>
      </c>
      <c r="AG13" s="557">
        <f t="shared" si="1"/>
        <v>0</v>
      </c>
      <c r="AH13" s="557">
        <f t="shared" si="2"/>
        <v>0</v>
      </c>
      <c r="AI13" s="557">
        <f t="shared" si="3"/>
        <v>0</v>
      </c>
      <c r="AJ13" s="557">
        <f t="shared" si="4"/>
        <v>0</v>
      </c>
      <c r="AK13" s="557">
        <f t="shared" si="5"/>
        <v>0</v>
      </c>
      <c r="AL13" s="557">
        <f t="shared" si="6"/>
        <v>0</v>
      </c>
      <c r="AM13" s="557">
        <f t="shared" si="7"/>
        <v>0</v>
      </c>
      <c r="AN13" s="557">
        <f t="shared" si="8"/>
        <v>0</v>
      </c>
      <c r="AO13" s="557">
        <f t="shared" si="9"/>
        <v>0</v>
      </c>
      <c r="AP13" s="557">
        <f t="shared" si="10"/>
        <v>0</v>
      </c>
      <c r="AQ13" s="557">
        <f t="shared" si="11"/>
        <v>0</v>
      </c>
      <c r="AR13" s="557">
        <f t="shared" si="12"/>
        <v>0</v>
      </c>
      <c r="AS13" s="469">
        <f t="shared" si="13"/>
        <v>96102.361189555231</v>
      </c>
    </row>
    <row r="14" spans="2:45" s="458" customFormat="1" x14ac:dyDescent="0.2">
      <c r="B14" s="464" t="str">
        <f>Prop2019DistTar!B14</f>
        <v>Unmetered supplies</v>
      </c>
      <c r="C14" s="579"/>
      <c r="D14" s="712">
        <v>0</v>
      </c>
      <c r="E14" s="713">
        <v>0</v>
      </c>
      <c r="F14" s="713">
        <v>0</v>
      </c>
      <c r="G14" s="713">
        <v>0</v>
      </c>
      <c r="H14" s="713">
        <v>0</v>
      </c>
      <c r="I14" s="713">
        <v>0</v>
      </c>
      <c r="J14" s="713">
        <v>0</v>
      </c>
      <c r="K14" s="713">
        <v>0</v>
      </c>
      <c r="L14" s="713">
        <v>0</v>
      </c>
      <c r="M14" s="713">
        <v>0</v>
      </c>
      <c r="N14" s="713">
        <v>0</v>
      </c>
      <c r="O14" s="713">
        <v>0</v>
      </c>
      <c r="P14" s="714">
        <v>0</v>
      </c>
      <c r="Q14" s="599"/>
      <c r="R14" s="583">
        <f>Prop2019TransTar!R14</f>
        <v>2772880.6587093272</v>
      </c>
      <c r="S14" s="584">
        <f>Prop2019TransTar!S14</f>
        <v>0</v>
      </c>
      <c r="T14" s="584">
        <f>Prop2019TransTar!T14</f>
        <v>0</v>
      </c>
      <c r="U14" s="584">
        <f>Prop2019TransTar!U14</f>
        <v>12344107.452443851</v>
      </c>
      <c r="V14" s="584">
        <f>Prop2019TransTar!V14</f>
        <v>0</v>
      </c>
      <c r="W14" s="584">
        <f>Prop2019TransTar!W14</f>
        <v>0</v>
      </c>
      <c r="X14" s="584">
        <f>Prop2019TransTar!X14</f>
        <v>20839763.871000901</v>
      </c>
      <c r="Y14" s="584">
        <f>Prop2019TransTar!Y14</f>
        <v>61038507.71169661</v>
      </c>
      <c r="Z14" s="584">
        <f>Prop2019TransTar!Z14</f>
        <v>0</v>
      </c>
      <c r="AA14" s="584">
        <f>Prop2019TransTar!AA14</f>
        <v>0</v>
      </c>
      <c r="AB14" s="584">
        <f>Prop2019TransTar!AB14</f>
        <v>0</v>
      </c>
      <c r="AC14" s="584">
        <f>Prop2019TransTar!AC14</f>
        <v>0</v>
      </c>
      <c r="AD14" s="585">
        <f>Prop2019TransTar!AD14</f>
        <v>0</v>
      </c>
      <c r="AF14" s="556">
        <f t="shared" si="0"/>
        <v>0</v>
      </c>
      <c r="AG14" s="557">
        <f t="shared" si="1"/>
        <v>0</v>
      </c>
      <c r="AH14" s="557">
        <f t="shared" si="2"/>
        <v>0</v>
      </c>
      <c r="AI14" s="557">
        <f t="shared" si="3"/>
        <v>0</v>
      </c>
      <c r="AJ14" s="557">
        <f t="shared" si="4"/>
        <v>0</v>
      </c>
      <c r="AK14" s="557">
        <f t="shared" si="5"/>
        <v>0</v>
      </c>
      <c r="AL14" s="557">
        <f t="shared" si="6"/>
        <v>0</v>
      </c>
      <c r="AM14" s="557">
        <f t="shared" si="7"/>
        <v>0</v>
      </c>
      <c r="AN14" s="557">
        <f t="shared" si="8"/>
        <v>0</v>
      </c>
      <c r="AO14" s="557">
        <f t="shared" si="9"/>
        <v>0</v>
      </c>
      <c r="AP14" s="557">
        <f t="shared" si="10"/>
        <v>0</v>
      </c>
      <c r="AQ14" s="557">
        <f t="shared" si="11"/>
        <v>0</v>
      </c>
      <c r="AR14" s="557">
        <f t="shared" si="12"/>
        <v>0</v>
      </c>
      <c r="AS14" s="469">
        <f t="shared" si="13"/>
        <v>0</v>
      </c>
    </row>
    <row r="15" spans="2:45" s="458" customFormat="1" x14ac:dyDescent="0.2">
      <c r="B15" s="464" t="str">
        <f>Prop2019DistTar!B15</f>
        <v>Low voltage large 1 rate</v>
      </c>
      <c r="C15" s="579"/>
      <c r="D15" s="712">
        <v>5.32</v>
      </c>
      <c r="E15" s="713">
        <v>0</v>
      </c>
      <c r="F15" s="713">
        <v>0</v>
      </c>
      <c r="G15" s="713">
        <v>0</v>
      </c>
      <c r="H15" s="713">
        <v>0</v>
      </c>
      <c r="I15" s="713">
        <v>0</v>
      </c>
      <c r="J15" s="713">
        <v>0</v>
      </c>
      <c r="K15" s="713">
        <v>0</v>
      </c>
      <c r="L15" s="713">
        <v>0</v>
      </c>
      <c r="M15" s="713">
        <v>0</v>
      </c>
      <c r="N15" s="713">
        <v>0</v>
      </c>
      <c r="O15" s="713">
        <v>0</v>
      </c>
      <c r="P15" s="714">
        <v>0</v>
      </c>
      <c r="Q15" s="599"/>
      <c r="R15" s="583">
        <f>Prop2019TransTar!R15</f>
        <v>2053.7935488600656</v>
      </c>
      <c r="S15" s="584">
        <f>Prop2019TransTar!S15</f>
        <v>535639.43750507152</v>
      </c>
      <c r="T15" s="584">
        <f>Prop2019TransTar!T15</f>
        <v>0</v>
      </c>
      <c r="U15" s="584">
        <f>Prop2019TransTar!U15</f>
        <v>0</v>
      </c>
      <c r="V15" s="584">
        <f>Prop2019TransTar!V15</f>
        <v>716644.26150662987</v>
      </c>
      <c r="W15" s="584">
        <f>Prop2019TransTar!W15</f>
        <v>0</v>
      </c>
      <c r="X15" s="584">
        <f>Prop2019TransTar!X15</f>
        <v>0</v>
      </c>
      <c r="Y15" s="584">
        <f>Prop2019TransTar!Y15</f>
        <v>0</v>
      </c>
      <c r="Z15" s="584">
        <f>Prop2019TransTar!Z15</f>
        <v>0</v>
      </c>
      <c r="AA15" s="584">
        <f>Prop2019TransTar!AA15</f>
        <v>0</v>
      </c>
      <c r="AB15" s="584">
        <f>Prop2019TransTar!AB15</f>
        <v>0</v>
      </c>
      <c r="AC15" s="584">
        <f>Prop2019TransTar!AC15</f>
        <v>0</v>
      </c>
      <c r="AD15" s="585">
        <f>Prop2019TransTar!AD15</f>
        <v>0</v>
      </c>
      <c r="AF15" s="556">
        <f t="shared" si="0"/>
        <v>109.2618167993555</v>
      </c>
      <c r="AG15" s="557">
        <f t="shared" si="1"/>
        <v>0</v>
      </c>
      <c r="AH15" s="557">
        <f t="shared" si="2"/>
        <v>0</v>
      </c>
      <c r="AI15" s="557">
        <f t="shared" si="3"/>
        <v>0</v>
      </c>
      <c r="AJ15" s="557">
        <f t="shared" si="4"/>
        <v>0</v>
      </c>
      <c r="AK15" s="557">
        <f t="shared" si="5"/>
        <v>0</v>
      </c>
      <c r="AL15" s="557">
        <f t="shared" si="6"/>
        <v>0</v>
      </c>
      <c r="AM15" s="557">
        <f t="shared" si="7"/>
        <v>0</v>
      </c>
      <c r="AN15" s="557">
        <f t="shared" si="8"/>
        <v>0</v>
      </c>
      <c r="AO15" s="557">
        <f t="shared" si="9"/>
        <v>0</v>
      </c>
      <c r="AP15" s="557">
        <f t="shared" si="10"/>
        <v>0</v>
      </c>
      <c r="AQ15" s="557">
        <f t="shared" si="11"/>
        <v>0</v>
      </c>
      <c r="AR15" s="557">
        <f t="shared" si="12"/>
        <v>0</v>
      </c>
      <c r="AS15" s="469">
        <f t="shared" si="13"/>
        <v>109.2618167993555</v>
      </c>
    </row>
    <row r="16" spans="2:45" s="458" customFormat="1" x14ac:dyDescent="0.2">
      <c r="B16" s="464" t="str">
        <f>Prop2019DistTar!B16</f>
        <v>Low voltage large 2 rate</v>
      </c>
      <c r="C16" s="579"/>
      <c r="D16" s="712">
        <v>5.32</v>
      </c>
      <c r="E16" s="713">
        <v>0</v>
      </c>
      <c r="F16" s="713">
        <v>0</v>
      </c>
      <c r="G16" s="713">
        <v>0</v>
      </c>
      <c r="H16" s="713">
        <v>0</v>
      </c>
      <c r="I16" s="713">
        <v>0</v>
      </c>
      <c r="J16" s="713">
        <v>0</v>
      </c>
      <c r="K16" s="713">
        <v>0</v>
      </c>
      <c r="L16" s="713">
        <v>0</v>
      </c>
      <c r="M16" s="713">
        <v>0</v>
      </c>
      <c r="N16" s="713">
        <v>0</v>
      </c>
      <c r="O16" s="713">
        <v>0</v>
      </c>
      <c r="P16" s="714">
        <v>0</v>
      </c>
      <c r="Q16" s="599"/>
      <c r="R16" s="583">
        <f>Prop2019TransTar!R16</f>
        <v>6881.0869859961267</v>
      </c>
      <c r="S16" s="584">
        <f>Prop2019TransTar!S16</f>
        <v>0</v>
      </c>
      <c r="T16" s="584">
        <f>Prop2019TransTar!T16</f>
        <v>0</v>
      </c>
      <c r="U16" s="584">
        <f>Prop2019TransTar!U16</f>
        <v>913090.08845389041</v>
      </c>
      <c r="V16" s="584">
        <f>Prop2019TransTar!V16</f>
        <v>0</v>
      </c>
      <c r="W16" s="584">
        <f>Prop2019TransTar!W16</f>
        <v>0</v>
      </c>
      <c r="X16" s="584">
        <f>Prop2019TransTar!X16</f>
        <v>1108281.0913600235</v>
      </c>
      <c r="Y16" s="584">
        <f>Prop2019TransTar!Y16</f>
        <v>1553601.3336914517</v>
      </c>
      <c r="Z16" s="584">
        <f>Prop2019TransTar!Z16</f>
        <v>0</v>
      </c>
      <c r="AA16" s="584">
        <f>Prop2019TransTar!AA16</f>
        <v>0</v>
      </c>
      <c r="AB16" s="584">
        <f>Prop2019TransTar!AB16</f>
        <v>0</v>
      </c>
      <c r="AC16" s="584">
        <f>Prop2019TransTar!AC16</f>
        <v>0</v>
      </c>
      <c r="AD16" s="585">
        <f>Prop2019TransTar!AD16</f>
        <v>0</v>
      </c>
      <c r="AF16" s="556">
        <f t="shared" si="0"/>
        <v>366.07382765499398</v>
      </c>
      <c r="AG16" s="557">
        <f t="shared" si="1"/>
        <v>0</v>
      </c>
      <c r="AH16" s="557">
        <f t="shared" si="2"/>
        <v>0</v>
      </c>
      <c r="AI16" s="557">
        <f t="shared" si="3"/>
        <v>0</v>
      </c>
      <c r="AJ16" s="557">
        <f t="shared" si="4"/>
        <v>0</v>
      </c>
      <c r="AK16" s="557">
        <f t="shared" si="5"/>
        <v>0</v>
      </c>
      <c r="AL16" s="557">
        <f t="shared" si="6"/>
        <v>0</v>
      </c>
      <c r="AM16" s="557">
        <f t="shared" si="7"/>
        <v>0</v>
      </c>
      <c r="AN16" s="557">
        <f t="shared" si="8"/>
        <v>0</v>
      </c>
      <c r="AO16" s="557">
        <f t="shared" si="9"/>
        <v>0</v>
      </c>
      <c r="AP16" s="557">
        <f t="shared" si="10"/>
        <v>0</v>
      </c>
      <c r="AQ16" s="557">
        <f t="shared" si="11"/>
        <v>0</v>
      </c>
      <c r="AR16" s="557">
        <f t="shared" si="12"/>
        <v>0</v>
      </c>
      <c r="AS16" s="469">
        <f t="shared" si="13"/>
        <v>366.07382765499398</v>
      </c>
    </row>
    <row r="17" spans="2:45" s="458" customFormat="1" x14ac:dyDescent="0.2">
      <c r="B17" s="464" t="str">
        <f>Prop2019DistTar!B17</f>
        <v>Low voltage KW time of use</v>
      </c>
      <c r="C17" s="579"/>
      <c r="D17" s="712">
        <v>5.32</v>
      </c>
      <c r="E17" s="713">
        <v>0</v>
      </c>
      <c r="F17" s="713">
        <v>0</v>
      </c>
      <c r="G17" s="713">
        <v>0</v>
      </c>
      <c r="H17" s="713">
        <v>0</v>
      </c>
      <c r="I17" s="713">
        <v>0</v>
      </c>
      <c r="J17" s="713">
        <v>0</v>
      </c>
      <c r="K17" s="713">
        <v>0</v>
      </c>
      <c r="L17" s="713">
        <v>0</v>
      </c>
      <c r="M17" s="713">
        <v>0</v>
      </c>
      <c r="N17" s="713">
        <v>0</v>
      </c>
      <c r="O17" s="713">
        <v>0</v>
      </c>
      <c r="P17" s="714">
        <v>0</v>
      </c>
      <c r="Q17" s="599"/>
      <c r="R17" s="583">
        <f>Prop2019TransTar!R17</f>
        <v>67773.959673982419</v>
      </c>
      <c r="S17" s="584">
        <f>Prop2019TransTar!S17</f>
        <v>0</v>
      </c>
      <c r="T17" s="584">
        <f>Prop2019TransTar!T17</f>
        <v>0</v>
      </c>
      <c r="U17" s="584">
        <f>Prop2019TransTar!U17</f>
        <v>2979941.9771071388</v>
      </c>
      <c r="V17" s="584">
        <f>Prop2019TransTar!V17</f>
        <v>0</v>
      </c>
      <c r="W17" s="584">
        <f>Prop2019TransTar!W17</f>
        <v>0</v>
      </c>
      <c r="X17" s="584">
        <f>Prop2019TransTar!X17</f>
        <v>4372012.9150217762</v>
      </c>
      <c r="Y17" s="584">
        <f>Prop2019TransTar!Y17</f>
        <v>6961060.9343109829</v>
      </c>
      <c r="Z17" s="584">
        <f>Prop2019TransTar!Z17</f>
        <v>0</v>
      </c>
      <c r="AA17" s="584">
        <f>Prop2019TransTar!AA17</f>
        <v>0</v>
      </c>
      <c r="AB17" s="584">
        <f>Prop2019TransTar!AB17</f>
        <v>574892.57309169706</v>
      </c>
      <c r="AC17" s="584">
        <f>Prop2019TransTar!AC17</f>
        <v>0</v>
      </c>
      <c r="AD17" s="585">
        <f>Prop2019TransTar!AD17</f>
        <v>0</v>
      </c>
      <c r="AF17" s="556">
        <f t="shared" si="0"/>
        <v>3605.5746546558648</v>
      </c>
      <c r="AG17" s="557">
        <f t="shared" si="1"/>
        <v>0</v>
      </c>
      <c r="AH17" s="557">
        <f t="shared" si="2"/>
        <v>0</v>
      </c>
      <c r="AI17" s="557">
        <f t="shared" si="3"/>
        <v>0</v>
      </c>
      <c r="AJ17" s="557">
        <f t="shared" si="4"/>
        <v>0</v>
      </c>
      <c r="AK17" s="557">
        <f t="shared" si="5"/>
        <v>0</v>
      </c>
      <c r="AL17" s="557">
        <f t="shared" si="6"/>
        <v>0</v>
      </c>
      <c r="AM17" s="557">
        <f t="shared" si="7"/>
        <v>0</v>
      </c>
      <c r="AN17" s="557">
        <f t="shared" si="8"/>
        <v>0</v>
      </c>
      <c r="AO17" s="557">
        <f t="shared" si="9"/>
        <v>0</v>
      </c>
      <c r="AP17" s="557">
        <f t="shared" si="10"/>
        <v>0</v>
      </c>
      <c r="AQ17" s="557">
        <f t="shared" si="11"/>
        <v>0</v>
      </c>
      <c r="AR17" s="557">
        <f t="shared" si="12"/>
        <v>0</v>
      </c>
      <c r="AS17" s="469">
        <f t="shared" si="13"/>
        <v>3605.5746546558648</v>
      </c>
    </row>
    <row r="18" spans="2:45" s="458" customFormat="1" x14ac:dyDescent="0.2">
      <c r="B18" s="464" t="str">
        <f>Prop2019DistTar!B18</f>
        <v>Low voltage KW time of use - HOT</v>
      </c>
      <c r="C18" s="579"/>
      <c r="D18" s="712">
        <v>5.32</v>
      </c>
      <c r="E18" s="713">
        <v>0</v>
      </c>
      <c r="F18" s="713">
        <v>0</v>
      </c>
      <c r="G18" s="713">
        <v>0</v>
      </c>
      <c r="H18" s="713">
        <v>0</v>
      </c>
      <c r="I18" s="713">
        <v>0</v>
      </c>
      <c r="J18" s="713">
        <v>0</v>
      </c>
      <c r="K18" s="713">
        <v>0</v>
      </c>
      <c r="L18" s="713">
        <v>0</v>
      </c>
      <c r="M18" s="713">
        <v>0</v>
      </c>
      <c r="N18" s="713">
        <v>0</v>
      </c>
      <c r="O18" s="713">
        <v>0</v>
      </c>
      <c r="P18" s="714">
        <v>0</v>
      </c>
      <c r="Q18" s="599"/>
      <c r="R18" s="583">
        <f>Prop2019TransTar!R18</f>
        <v>6805.9491785765576</v>
      </c>
      <c r="S18" s="584">
        <f>Prop2019TransTar!S18</f>
        <v>0</v>
      </c>
      <c r="T18" s="584">
        <f>Prop2019TransTar!T18</f>
        <v>0</v>
      </c>
      <c r="U18" s="584">
        <f>Prop2019TransTar!U18</f>
        <v>183616.80542617524</v>
      </c>
      <c r="V18" s="584">
        <f>Prop2019TransTar!V18</f>
        <v>0</v>
      </c>
      <c r="W18" s="584">
        <f>Prop2019TransTar!W18</f>
        <v>0</v>
      </c>
      <c r="X18" s="584">
        <f>Prop2019TransTar!X18</f>
        <v>433724.40822035994</v>
      </c>
      <c r="Y18" s="584">
        <f>Prop2019TransTar!Y18</f>
        <v>926538.10078744951</v>
      </c>
      <c r="Z18" s="584">
        <f>Prop2019TransTar!Z18</f>
        <v>0</v>
      </c>
      <c r="AA18" s="584">
        <f>Prop2019TransTar!AA18</f>
        <v>0</v>
      </c>
      <c r="AB18" s="584">
        <f>Prop2019TransTar!AB18</f>
        <v>109607.54884481634</v>
      </c>
      <c r="AC18" s="584">
        <f>Prop2019TransTar!AC18</f>
        <v>0</v>
      </c>
      <c r="AD18" s="585">
        <f>Prop2019TransTar!AD18</f>
        <v>0</v>
      </c>
      <c r="AF18" s="556">
        <f t="shared" si="0"/>
        <v>362.07649630027288</v>
      </c>
      <c r="AG18" s="557">
        <f t="shared" si="1"/>
        <v>0</v>
      </c>
      <c r="AH18" s="557">
        <f t="shared" si="2"/>
        <v>0</v>
      </c>
      <c r="AI18" s="557">
        <f t="shared" si="3"/>
        <v>0</v>
      </c>
      <c r="AJ18" s="557">
        <f t="shared" si="4"/>
        <v>0</v>
      </c>
      <c r="AK18" s="557">
        <f t="shared" si="5"/>
        <v>0</v>
      </c>
      <c r="AL18" s="557">
        <f t="shared" si="6"/>
        <v>0</v>
      </c>
      <c r="AM18" s="557">
        <f t="shared" si="7"/>
        <v>0</v>
      </c>
      <c r="AN18" s="557">
        <f t="shared" si="8"/>
        <v>0</v>
      </c>
      <c r="AO18" s="557">
        <f t="shared" si="9"/>
        <v>0</v>
      </c>
      <c r="AP18" s="557">
        <f t="shared" si="10"/>
        <v>0</v>
      </c>
      <c r="AQ18" s="557">
        <f t="shared" si="11"/>
        <v>0</v>
      </c>
      <c r="AR18" s="557">
        <f t="shared" si="12"/>
        <v>0</v>
      </c>
      <c r="AS18" s="469">
        <f t="shared" si="13"/>
        <v>362.07649630027288</v>
      </c>
    </row>
    <row r="19" spans="2:45" s="458" customFormat="1" x14ac:dyDescent="0.2">
      <c r="B19" s="464" t="str">
        <f>Prop2019DistTar!B19</f>
        <v>Low voltage large KVA time of use</v>
      </c>
      <c r="C19" s="579"/>
      <c r="D19" s="712">
        <v>5.32</v>
      </c>
      <c r="E19" s="713">
        <v>0</v>
      </c>
      <c r="F19" s="713">
        <v>0</v>
      </c>
      <c r="G19" s="713">
        <v>0</v>
      </c>
      <c r="H19" s="713">
        <v>0</v>
      </c>
      <c r="I19" s="713">
        <v>0</v>
      </c>
      <c r="J19" s="713">
        <v>0</v>
      </c>
      <c r="K19" s="713">
        <v>0</v>
      </c>
      <c r="L19" s="713">
        <v>0</v>
      </c>
      <c r="M19" s="713">
        <v>0</v>
      </c>
      <c r="N19" s="713">
        <v>0</v>
      </c>
      <c r="O19" s="713">
        <v>0</v>
      </c>
      <c r="P19" s="714">
        <v>0</v>
      </c>
      <c r="Q19" s="599"/>
      <c r="R19" s="583">
        <f>Prop2019TransTar!R19</f>
        <v>1176060.6836946514</v>
      </c>
      <c r="S19" s="584">
        <f>Prop2019TransTar!S19</f>
        <v>0</v>
      </c>
      <c r="T19" s="584">
        <f>Prop2019TransTar!T19</f>
        <v>0</v>
      </c>
      <c r="U19" s="584">
        <f>Prop2019TransTar!U19</f>
        <v>473574249.76083934</v>
      </c>
      <c r="V19" s="584">
        <f>Prop2019TransTar!V19</f>
        <v>0</v>
      </c>
      <c r="W19" s="584">
        <f>Prop2019TransTar!W19</f>
        <v>0</v>
      </c>
      <c r="X19" s="584">
        <f>Prop2019TransTar!X19</f>
        <v>668096504.00715244</v>
      </c>
      <c r="Y19" s="584">
        <f>Prop2019TransTar!Y19</f>
        <v>1311174632.3700414</v>
      </c>
      <c r="Z19" s="584">
        <f>Prop2019TransTar!Z19</f>
        <v>0</v>
      </c>
      <c r="AA19" s="584">
        <f>Prop2019TransTar!AA19</f>
        <v>326114206.85773444</v>
      </c>
      <c r="AB19" s="584">
        <f>Prop2019TransTar!AB19</f>
        <v>95205640.608022407</v>
      </c>
      <c r="AC19" s="584">
        <f>Prop2019TransTar!AC19</f>
        <v>0</v>
      </c>
      <c r="AD19" s="585">
        <f>Prop2019TransTar!AD19</f>
        <v>0</v>
      </c>
      <c r="AF19" s="556">
        <f t="shared" si="0"/>
        <v>62566.428372555456</v>
      </c>
      <c r="AG19" s="557">
        <f t="shared" si="1"/>
        <v>0</v>
      </c>
      <c r="AH19" s="557">
        <f t="shared" si="2"/>
        <v>0</v>
      </c>
      <c r="AI19" s="557">
        <f t="shared" si="3"/>
        <v>0</v>
      </c>
      <c r="AJ19" s="557">
        <f t="shared" si="4"/>
        <v>0</v>
      </c>
      <c r="AK19" s="557">
        <f t="shared" si="5"/>
        <v>0</v>
      </c>
      <c r="AL19" s="557">
        <f t="shared" si="6"/>
        <v>0</v>
      </c>
      <c r="AM19" s="557">
        <f t="shared" si="7"/>
        <v>0</v>
      </c>
      <c r="AN19" s="557">
        <f t="shared" si="8"/>
        <v>0</v>
      </c>
      <c r="AO19" s="557">
        <f t="shared" si="9"/>
        <v>0</v>
      </c>
      <c r="AP19" s="557">
        <f t="shared" si="10"/>
        <v>0</v>
      </c>
      <c r="AQ19" s="557">
        <f t="shared" si="11"/>
        <v>0</v>
      </c>
      <c r="AR19" s="557">
        <f t="shared" si="12"/>
        <v>0</v>
      </c>
      <c r="AS19" s="469">
        <f t="shared" si="13"/>
        <v>62566.428372555456</v>
      </c>
    </row>
    <row r="20" spans="2:45" s="458" customFormat="1" x14ac:dyDescent="0.2">
      <c r="B20" s="464" t="str">
        <f>Prop2019DistTar!B20</f>
        <v>Low voltage large KVA time of use - HOT</v>
      </c>
      <c r="C20" s="579"/>
      <c r="D20" s="712">
        <v>5.32</v>
      </c>
      <c r="E20" s="713">
        <v>0</v>
      </c>
      <c r="F20" s="713">
        <v>0</v>
      </c>
      <c r="G20" s="713">
        <v>0</v>
      </c>
      <c r="H20" s="713">
        <v>0</v>
      </c>
      <c r="I20" s="713">
        <v>0</v>
      </c>
      <c r="J20" s="713">
        <v>0</v>
      </c>
      <c r="K20" s="713">
        <v>0</v>
      </c>
      <c r="L20" s="713">
        <v>0</v>
      </c>
      <c r="M20" s="713">
        <v>0</v>
      </c>
      <c r="N20" s="713">
        <v>0</v>
      </c>
      <c r="O20" s="713">
        <v>0</v>
      </c>
      <c r="P20" s="714">
        <v>0</v>
      </c>
      <c r="Q20" s="599"/>
      <c r="R20" s="583">
        <f>Prop2019TransTar!R20</f>
        <v>0</v>
      </c>
      <c r="S20" s="584">
        <f>Prop2019TransTar!S20</f>
        <v>0</v>
      </c>
      <c r="T20" s="584">
        <f>Prop2019TransTar!T20</f>
        <v>0</v>
      </c>
      <c r="U20" s="584">
        <f>Prop2019TransTar!U20</f>
        <v>0</v>
      </c>
      <c r="V20" s="584">
        <f>Prop2019TransTar!V20</f>
        <v>0</v>
      </c>
      <c r="W20" s="584">
        <f>Prop2019TransTar!W20</f>
        <v>0</v>
      </c>
      <c r="X20" s="584">
        <f>Prop2019TransTar!X20</f>
        <v>0</v>
      </c>
      <c r="Y20" s="584">
        <f>Prop2019TransTar!Y20</f>
        <v>0</v>
      </c>
      <c r="Z20" s="584">
        <f>Prop2019TransTar!Z20</f>
        <v>0</v>
      </c>
      <c r="AA20" s="584">
        <f>Prop2019TransTar!AA20</f>
        <v>0</v>
      </c>
      <c r="AB20" s="584">
        <f>Prop2019TransTar!AB20</f>
        <v>0</v>
      </c>
      <c r="AC20" s="584">
        <f>Prop2019TransTar!AC20</f>
        <v>0</v>
      </c>
      <c r="AD20" s="585">
        <f>Prop2019TransTar!AD20</f>
        <v>0</v>
      </c>
      <c r="AF20" s="556">
        <f t="shared" si="0"/>
        <v>0</v>
      </c>
      <c r="AG20" s="557">
        <f t="shared" si="1"/>
        <v>0</v>
      </c>
      <c r="AH20" s="557">
        <f t="shared" si="2"/>
        <v>0</v>
      </c>
      <c r="AI20" s="557">
        <f t="shared" si="3"/>
        <v>0</v>
      </c>
      <c r="AJ20" s="557">
        <f t="shared" si="4"/>
        <v>0</v>
      </c>
      <c r="AK20" s="557">
        <f t="shared" si="5"/>
        <v>0</v>
      </c>
      <c r="AL20" s="557">
        <f t="shared" si="6"/>
        <v>0</v>
      </c>
      <c r="AM20" s="557">
        <f t="shared" si="7"/>
        <v>0</v>
      </c>
      <c r="AN20" s="557">
        <f t="shared" si="8"/>
        <v>0</v>
      </c>
      <c r="AO20" s="557">
        <f t="shared" si="9"/>
        <v>0</v>
      </c>
      <c r="AP20" s="557">
        <f t="shared" si="10"/>
        <v>0</v>
      </c>
      <c r="AQ20" s="557">
        <f t="shared" si="11"/>
        <v>0</v>
      </c>
      <c r="AR20" s="557">
        <f t="shared" si="12"/>
        <v>0</v>
      </c>
      <c r="AS20" s="469">
        <f t="shared" si="13"/>
        <v>0</v>
      </c>
    </row>
    <row r="21" spans="2:45" s="458" customFormat="1" x14ac:dyDescent="0.2">
      <c r="B21" s="464" t="str">
        <f>Prop2019DistTar!B21</f>
        <v>High voltage KVA time of use</v>
      </c>
      <c r="C21" s="579"/>
      <c r="D21" s="712">
        <v>5.32</v>
      </c>
      <c r="E21" s="713">
        <v>0</v>
      </c>
      <c r="F21" s="713">
        <v>0</v>
      </c>
      <c r="G21" s="713">
        <v>0</v>
      </c>
      <c r="H21" s="713">
        <v>0</v>
      </c>
      <c r="I21" s="713">
        <v>0</v>
      </c>
      <c r="J21" s="713">
        <v>0</v>
      </c>
      <c r="K21" s="713">
        <v>0</v>
      </c>
      <c r="L21" s="713">
        <v>0</v>
      </c>
      <c r="M21" s="713">
        <v>0</v>
      </c>
      <c r="N21" s="713">
        <v>0</v>
      </c>
      <c r="O21" s="713">
        <v>0</v>
      </c>
      <c r="P21" s="714">
        <v>0</v>
      </c>
      <c r="Q21" s="599"/>
      <c r="R21" s="583">
        <f>Prop2019TransTar!R21</f>
        <v>35844.291612043242</v>
      </c>
      <c r="S21" s="584">
        <f>Prop2019TransTar!S21</f>
        <v>0</v>
      </c>
      <c r="T21" s="584">
        <f>Prop2019TransTar!T21</f>
        <v>0</v>
      </c>
      <c r="U21" s="584">
        <f>Prop2019TransTar!U21</f>
        <v>176841358.08295107</v>
      </c>
      <c r="V21" s="584">
        <f>Prop2019TransTar!V21</f>
        <v>0</v>
      </c>
      <c r="W21" s="584">
        <f>Prop2019TransTar!W21</f>
        <v>0</v>
      </c>
      <c r="X21" s="584">
        <f>Prop2019TransTar!X21</f>
        <v>258896130.04767683</v>
      </c>
      <c r="Y21" s="584">
        <f>Prop2019TransTar!Y21</f>
        <v>654578037.70831561</v>
      </c>
      <c r="Z21" s="584">
        <f>Prop2019TransTar!Z21</f>
        <v>0</v>
      </c>
      <c r="AA21" s="584">
        <f>Prop2019TransTar!AA21</f>
        <v>104519165.94588879</v>
      </c>
      <c r="AB21" s="584">
        <f>Prop2019TransTar!AB21</f>
        <v>32848258.18170632</v>
      </c>
      <c r="AC21" s="584">
        <f>Prop2019TransTar!AC21</f>
        <v>0</v>
      </c>
      <c r="AD21" s="585">
        <f>Prop2019TransTar!AD21</f>
        <v>0</v>
      </c>
      <c r="AF21" s="556">
        <f t="shared" si="0"/>
        <v>1906.9163137607006</v>
      </c>
      <c r="AG21" s="557">
        <f t="shared" si="1"/>
        <v>0</v>
      </c>
      <c r="AH21" s="557">
        <f t="shared" si="2"/>
        <v>0</v>
      </c>
      <c r="AI21" s="557">
        <f t="shared" si="3"/>
        <v>0</v>
      </c>
      <c r="AJ21" s="557">
        <f t="shared" si="4"/>
        <v>0</v>
      </c>
      <c r="AK21" s="557">
        <f t="shared" si="5"/>
        <v>0</v>
      </c>
      <c r="AL21" s="557">
        <f t="shared" si="6"/>
        <v>0</v>
      </c>
      <c r="AM21" s="557">
        <f t="shared" si="7"/>
        <v>0</v>
      </c>
      <c r="AN21" s="557">
        <f t="shared" si="8"/>
        <v>0</v>
      </c>
      <c r="AO21" s="557">
        <f t="shared" si="9"/>
        <v>0</v>
      </c>
      <c r="AP21" s="557">
        <f t="shared" si="10"/>
        <v>0</v>
      </c>
      <c r="AQ21" s="557">
        <f t="shared" si="11"/>
        <v>0</v>
      </c>
      <c r="AR21" s="557">
        <f t="shared" si="12"/>
        <v>0</v>
      </c>
      <c r="AS21" s="469">
        <f t="shared" si="13"/>
        <v>1906.9163137607006</v>
      </c>
    </row>
    <row r="22" spans="2:45" s="458" customFormat="1" x14ac:dyDescent="0.2">
      <c r="B22" s="477" t="str">
        <f>Prop2019DistTar!B22</f>
        <v>High voltage KVA time of use - HOT</v>
      </c>
      <c r="C22" s="579"/>
      <c r="D22" s="712">
        <v>5.32</v>
      </c>
      <c r="E22" s="713">
        <v>0</v>
      </c>
      <c r="F22" s="713">
        <v>0</v>
      </c>
      <c r="G22" s="713">
        <v>0</v>
      </c>
      <c r="H22" s="713">
        <v>0</v>
      </c>
      <c r="I22" s="713">
        <v>0</v>
      </c>
      <c r="J22" s="713">
        <v>0</v>
      </c>
      <c r="K22" s="713">
        <v>0</v>
      </c>
      <c r="L22" s="713">
        <v>0</v>
      </c>
      <c r="M22" s="713">
        <v>0</v>
      </c>
      <c r="N22" s="713">
        <v>0</v>
      </c>
      <c r="O22" s="713">
        <v>0</v>
      </c>
      <c r="P22" s="714">
        <v>0</v>
      </c>
      <c r="Q22" s="599"/>
      <c r="R22" s="583">
        <f>Prop2019TransTar!R22</f>
        <v>0</v>
      </c>
      <c r="S22" s="584">
        <f>Prop2019TransTar!S22</f>
        <v>0</v>
      </c>
      <c r="T22" s="584">
        <f>Prop2019TransTar!T22</f>
        <v>0</v>
      </c>
      <c r="U22" s="584">
        <f>Prop2019TransTar!U22</f>
        <v>0</v>
      </c>
      <c r="V22" s="584">
        <f>Prop2019TransTar!V22</f>
        <v>0</v>
      </c>
      <c r="W22" s="584">
        <f>Prop2019TransTar!W22</f>
        <v>0</v>
      </c>
      <c r="X22" s="584">
        <f>Prop2019TransTar!X22</f>
        <v>0</v>
      </c>
      <c r="Y22" s="584">
        <f>Prop2019TransTar!Y22</f>
        <v>0</v>
      </c>
      <c r="Z22" s="584">
        <f>Prop2019TransTar!Z22</f>
        <v>0</v>
      </c>
      <c r="AA22" s="584">
        <f>Prop2019TransTar!AA22</f>
        <v>0</v>
      </c>
      <c r="AB22" s="584">
        <f>Prop2019TransTar!AB22</f>
        <v>0</v>
      </c>
      <c r="AC22" s="584">
        <f>Prop2019TransTar!AC22</f>
        <v>0</v>
      </c>
      <c r="AD22" s="585">
        <f>Prop2019TransTar!AD22</f>
        <v>0</v>
      </c>
      <c r="AF22" s="556">
        <f t="shared" si="0"/>
        <v>0</v>
      </c>
      <c r="AG22" s="557">
        <f t="shared" si="1"/>
        <v>0</v>
      </c>
      <c r="AH22" s="557">
        <f t="shared" si="2"/>
        <v>0</v>
      </c>
      <c r="AI22" s="557">
        <f t="shared" si="3"/>
        <v>0</v>
      </c>
      <c r="AJ22" s="557">
        <f t="shared" si="4"/>
        <v>0</v>
      </c>
      <c r="AK22" s="557">
        <f t="shared" si="5"/>
        <v>0</v>
      </c>
      <c r="AL22" s="557">
        <f t="shared" si="6"/>
        <v>0</v>
      </c>
      <c r="AM22" s="557">
        <f t="shared" si="7"/>
        <v>0</v>
      </c>
      <c r="AN22" s="557">
        <f t="shared" si="8"/>
        <v>0</v>
      </c>
      <c r="AO22" s="557">
        <f t="shared" si="9"/>
        <v>0</v>
      </c>
      <c r="AP22" s="557">
        <f t="shared" si="10"/>
        <v>0</v>
      </c>
      <c r="AQ22" s="557">
        <f t="shared" si="11"/>
        <v>0</v>
      </c>
      <c r="AR22" s="557">
        <f t="shared" si="12"/>
        <v>0</v>
      </c>
      <c r="AS22" s="469">
        <f t="shared" si="13"/>
        <v>0</v>
      </c>
    </row>
    <row r="23" spans="2:45" s="458" customFormat="1" x14ac:dyDescent="0.2">
      <c r="B23" s="464" t="str">
        <f>Prop2019DistTar!B23</f>
        <v>Subtransmission KVA time of use</v>
      </c>
      <c r="C23" s="579"/>
      <c r="D23" s="712">
        <v>5.32</v>
      </c>
      <c r="E23" s="713">
        <v>0</v>
      </c>
      <c r="F23" s="713">
        <v>0</v>
      </c>
      <c r="G23" s="713">
        <v>0</v>
      </c>
      <c r="H23" s="713">
        <v>0</v>
      </c>
      <c r="I23" s="713">
        <v>0</v>
      </c>
      <c r="J23" s="713">
        <v>0</v>
      </c>
      <c r="K23" s="713">
        <v>0</v>
      </c>
      <c r="L23" s="713">
        <v>0</v>
      </c>
      <c r="M23" s="713">
        <v>0</v>
      </c>
      <c r="N23" s="713">
        <v>0</v>
      </c>
      <c r="O23" s="713">
        <v>0</v>
      </c>
      <c r="P23" s="714">
        <v>0</v>
      </c>
      <c r="Q23" s="599"/>
      <c r="R23" s="583">
        <f>Prop2019TransTar!R23</f>
        <v>388.18482694746274</v>
      </c>
      <c r="S23" s="584">
        <f>Prop2019TransTar!S23</f>
        <v>0</v>
      </c>
      <c r="T23" s="584">
        <f>Prop2019TransTar!T23</f>
        <v>0</v>
      </c>
      <c r="U23" s="584">
        <f>Prop2019TransTar!U23</f>
        <v>8469104.4724642336</v>
      </c>
      <c r="V23" s="584">
        <f>Prop2019TransTar!V23</f>
        <v>0</v>
      </c>
      <c r="W23" s="584">
        <f>Prop2019TransTar!W23</f>
        <v>0</v>
      </c>
      <c r="X23" s="584">
        <f>Prop2019TransTar!X23</f>
        <v>11811835.970904166</v>
      </c>
      <c r="Y23" s="584">
        <f>Prop2019TransTar!Y23</f>
        <v>17135510.075506344</v>
      </c>
      <c r="Z23" s="584">
        <f>Prop2019TransTar!Z23</f>
        <v>0</v>
      </c>
      <c r="AA23" s="584">
        <f>Prop2019TransTar!AA23</f>
        <v>4251731.3810264198</v>
      </c>
      <c r="AB23" s="584">
        <f>Prop2019TransTar!AB23</f>
        <v>1524422.8420237862</v>
      </c>
      <c r="AC23" s="584">
        <f>Prop2019TransTar!AC23</f>
        <v>0</v>
      </c>
      <c r="AD23" s="585">
        <f>Prop2019TransTar!AD23</f>
        <v>0</v>
      </c>
      <c r="AF23" s="556">
        <f t="shared" si="0"/>
        <v>20.651432793605018</v>
      </c>
      <c r="AG23" s="557">
        <f t="shared" si="1"/>
        <v>0</v>
      </c>
      <c r="AH23" s="557">
        <f t="shared" si="2"/>
        <v>0</v>
      </c>
      <c r="AI23" s="557">
        <f t="shared" si="3"/>
        <v>0</v>
      </c>
      <c r="AJ23" s="557">
        <f t="shared" si="4"/>
        <v>0</v>
      </c>
      <c r="AK23" s="557">
        <f t="shared" si="5"/>
        <v>0</v>
      </c>
      <c r="AL23" s="557">
        <f t="shared" si="6"/>
        <v>0</v>
      </c>
      <c r="AM23" s="557">
        <f t="shared" si="7"/>
        <v>0</v>
      </c>
      <c r="AN23" s="557">
        <f t="shared" si="8"/>
        <v>0</v>
      </c>
      <c r="AO23" s="557">
        <f t="shared" si="9"/>
        <v>0</v>
      </c>
      <c r="AP23" s="557">
        <f t="shared" si="10"/>
        <v>0</v>
      </c>
      <c r="AQ23" s="557">
        <f t="shared" si="11"/>
        <v>0</v>
      </c>
      <c r="AR23" s="557">
        <f t="shared" si="12"/>
        <v>0</v>
      </c>
      <c r="AS23" s="469">
        <f t="shared" si="13"/>
        <v>20.651432793605018</v>
      </c>
    </row>
    <row r="24" spans="2:45" s="458" customFormat="1" x14ac:dyDescent="0.2">
      <c r="B24" s="464" t="str">
        <f>Prop2019DistTar!B24</f>
        <v>TOD</v>
      </c>
      <c r="C24" s="579"/>
      <c r="D24" s="712">
        <v>5.32</v>
      </c>
      <c r="E24" s="713">
        <v>0</v>
      </c>
      <c r="F24" s="713">
        <v>0</v>
      </c>
      <c r="G24" s="713">
        <v>0</v>
      </c>
      <c r="H24" s="713">
        <v>0</v>
      </c>
      <c r="I24" s="713">
        <v>0</v>
      </c>
      <c r="J24" s="713">
        <v>0</v>
      </c>
      <c r="K24" s="713">
        <v>0</v>
      </c>
      <c r="L24" s="713">
        <v>0</v>
      </c>
      <c r="M24" s="713">
        <v>0</v>
      </c>
      <c r="N24" s="713">
        <v>0</v>
      </c>
      <c r="O24" s="713">
        <v>0</v>
      </c>
      <c r="P24" s="714">
        <v>0</v>
      </c>
      <c r="Q24" s="599"/>
      <c r="R24" s="583">
        <f>Prop2019TransTar!R24</f>
        <v>14958828.747164952</v>
      </c>
      <c r="S24" s="584">
        <f>Prop2019TransTar!S24</f>
        <v>0</v>
      </c>
      <c r="T24" s="584">
        <f>Prop2019TransTar!T24</f>
        <v>11157824.725728184</v>
      </c>
      <c r="U24" s="584">
        <f>Prop2019TransTar!U24</f>
        <v>21858787.259085819</v>
      </c>
      <c r="V24" s="584">
        <f>Prop2019TransTar!V24</f>
        <v>0</v>
      </c>
      <c r="W24" s="584">
        <f>Prop2019TransTar!W24</f>
        <v>0</v>
      </c>
      <c r="X24" s="584">
        <f>Prop2019TransTar!X24</f>
        <v>41608118.298785917</v>
      </c>
      <c r="Y24" s="584">
        <f>Prop2019TransTar!Y24</f>
        <v>106719624.5014694</v>
      </c>
      <c r="Z24" s="584">
        <f>Prop2019TransTar!Z24</f>
        <v>23289542.66621675</v>
      </c>
      <c r="AA24" s="584">
        <f>Prop2019TransTar!AA24</f>
        <v>0</v>
      </c>
      <c r="AB24" s="584">
        <f>Prop2019TransTar!AB24</f>
        <v>0</v>
      </c>
      <c r="AC24" s="584">
        <f>Prop2019TransTar!AC24</f>
        <v>0</v>
      </c>
      <c r="AD24" s="585">
        <f>Prop2019TransTar!AD24</f>
        <v>0</v>
      </c>
      <c r="AF24" s="556">
        <f t="shared" si="0"/>
        <v>795809.68934917555</v>
      </c>
      <c r="AG24" s="557">
        <f t="shared" si="1"/>
        <v>0</v>
      </c>
      <c r="AH24" s="557">
        <f t="shared" si="2"/>
        <v>0</v>
      </c>
      <c r="AI24" s="557">
        <f t="shared" si="3"/>
        <v>0</v>
      </c>
      <c r="AJ24" s="557">
        <f t="shared" si="4"/>
        <v>0</v>
      </c>
      <c r="AK24" s="557">
        <f t="shared" si="5"/>
        <v>0</v>
      </c>
      <c r="AL24" s="557">
        <f t="shared" si="6"/>
        <v>0</v>
      </c>
      <c r="AM24" s="557">
        <f t="shared" si="7"/>
        <v>0</v>
      </c>
      <c r="AN24" s="557">
        <f t="shared" si="8"/>
        <v>0</v>
      </c>
      <c r="AO24" s="557">
        <f t="shared" si="9"/>
        <v>0</v>
      </c>
      <c r="AP24" s="557">
        <f t="shared" si="10"/>
        <v>0</v>
      </c>
      <c r="AQ24" s="557">
        <f t="shared" si="11"/>
        <v>0</v>
      </c>
      <c r="AR24" s="557">
        <f t="shared" si="12"/>
        <v>0</v>
      </c>
      <c r="AS24" s="469">
        <f t="shared" si="13"/>
        <v>795809.68934917555</v>
      </c>
    </row>
    <row r="25" spans="2:45" s="458" customFormat="1" x14ac:dyDescent="0.2">
      <c r="B25" s="464" t="str">
        <f>Prop2019DistTar!B25</f>
        <v>TOD9</v>
      </c>
      <c r="C25" s="579"/>
      <c r="D25" s="712">
        <v>5.32</v>
      </c>
      <c r="E25" s="713">
        <v>0</v>
      </c>
      <c r="F25" s="713">
        <v>0</v>
      </c>
      <c r="G25" s="713">
        <v>0</v>
      </c>
      <c r="H25" s="713">
        <v>0</v>
      </c>
      <c r="I25" s="713">
        <v>0</v>
      </c>
      <c r="J25" s="713">
        <v>0</v>
      </c>
      <c r="K25" s="713">
        <v>0</v>
      </c>
      <c r="L25" s="713">
        <v>0</v>
      </c>
      <c r="M25" s="713">
        <v>0</v>
      </c>
      <c r="N25" s="713">
        <v>0</v>
      </c>
      <c r="O25" s="713">
        <v>0</v>
      </c>
      <c r="P25" s="714">
        <v>0</v>
      </c>
      <c r="Q25" s="599"/>
      <c r="R25" s="583">
        <f>Prop2019TransTar!R25</f>
        <v>1230260.5306997327</v>
      </c>
      <c r="S25" s="584">
        <f>Prop2019TransTar!S25</f>
        <v>0</v>
      </c>
      <c r="T25" s="584">
        <f>Prop2019TransTar!T25</f>
        <v>591618.83574525896</v>
      </c>
      <c r="U25" s="584">
        <f>Prop2019TransTar!U25</f>
        <v>1033562.6891798624</v>
      </c>
      <c r="V25" s="584">
        <f>Prop2019TransTar!V25</f>
        <v>0</v>
      </c>
      <c r="W25" s="584">
        <f>Prop2019TransTar!W25</f>
        <v>0</v>
      </c>
      <c r="X25" s="584">
        <f>Prop2019TransTar!X25</f>
        <v>2066829.1172340738</v>
      </c>
      <c r="Y25" s="584">
        <f>Prop2019TransTar!Y25</f>
        <v>6482902.6105037043</v>
      </c>
      <c r="Z25" s="584">
        <f>Prop2019TransTar!Z25</f>
        <v>1333840.0952702311</v>
      </c>
      <c r="AA25" s="584">
        <f>Prop2019TransTar!AA25</f>
        <v>0</v>
      </c>
      <c r="AB25" s="584">
        <f>Prop2019TransTar!AB25</f>
        <v>0</v>
      </c>
      <c r="AC25" s="584">
        <f>Prop2019TransTar!AC25</f>
        <v>0</v>
      </c>
      <c r="AD25" s="585">
        <f>Prop2019TransTar!AD25</f>
        <v>0</v>
      </c>
      <c r="AF25" s="556">
        <f t="shared" si="0"/>
        <v>65449.860233225787</v>
      </c>
      <c r="AG25" s="557">
        <f t="shared" si="1"/>
        <v>0</v>
      </c>
      <c r="AH25" s="557">
        <f t="shared" si="2"/>
        <v>0</v>
      </c>
      <c r="AI25" s="557">
        <f t="shared" si="3"/>
        <v>0</v>
      </c>
      <c r="AJ25" s="557">
        <f t="shared" si="4"/>
        <v>0</v>
      </c>
      <c r="AK25" s="557">
        <f t="shared" si="5"/>
        <v>0</v>
      </c>
      <c r="AL25" s="557">
        <f t="shared" si="6"/>
        <v>0</v>
      </c>
      <c r="AM25" s="557">
        <f t="shared" si="7"/>
        <v>0</v>
      </c>
      <c r="AN25" s="557">
        <f t="shared" si="8"/>
        <v>0</v>
      </c>
      <c r="AO25" s="557">
        <f t="shared" si="9"/>
        <v>0</v>
      </c>
      <c r="AP25" s="557">
        <f t="shared" si="10"/>
        <v>0</v>
      </c>
      <c r="AQ25" s="557">
        <f t="shared" si="11"/>
        <v>0</v>
      </c>
      <c r="AR25" s="557">
        <f t="shared" si="12"/>
        <v>0</v>
      </c>
      <c r="AS25" s="469">
        <f t="shared" si="13"/>
        <v>65449.860233225787</v>
      </c>
    </row>
    <row r="26" spans="2:45" s="458" customFormat="1" x14ac:dyDescent="0.2">
      <c r="B26" s="464" t="str">
        <f>Prop2019DistTar!B26</f>
        <v>TOU</v>
      </c>
      <c r="C26" s="579"/>
      <c r="D26" s="712">
        <v>5.32</v>
      </c>
      <c r="E26" s="713">
        <v>0</v>
      </c>
      <c r="F26" s="713">
        <v>0</v>
      </c>
      <c r="G26" s="713">
        <v>0</v>
      </c>
      <c r="H26" s="713">
        <v>0</v>
      </c>
      <c r="I26" s="713">
        <v>0</v>
      </c>
      <c r="J26" s="713">
        <v>0</v>
      </c>
      <c r="K26" s="713">
        <v>0</v>
      </c>
      <c r="L26" s="713">
        <v>0</v>
      </c>
      <c r="M26" s="713">
        <v>0</v>
      </c>
      <c r="N26" s="713">
        <v>0</v>
      </c>
      <c r="O26" s="713">
        <v>0</v>
      </c>
      <c r="P26" s="714">
        <v>0</v>
      </c>
      <c r="Q26" s="599"/>
      <c r="R26" s="583">
        <f>Prop2019TransTar!R26</f>
        <v>245380.33478031383</v>
      </c>
      <c r="S26" s="584">
        <f>Prop2019TransTar!S26</f>
        <v>0</v>
      </c>
      <c r="T26" s="584">
        <f>Prop2019TransTar!T26</f>
        <v>0</v>
      </c>
      <c r="U26" s="584">
        <f>Prop2019TransTar!U26</f>
        <v>4426421.4535574634</v>
      </c>
      <c r="V26" s="584">
        <f>Prop2019TransTar!V26</f>
        <v>0</v>
      </c>
      <c r="W26" s="584">
        <f>Prop2019TransTar!W26</f>
        <v>0</v>
      </c>
      <c r="X26" s="584">
        <f>Prop2019TransTar!X26</f>
        <v>7275039.4297535019</v>
      </c>
      <c r="Y26" s="584">
        <f>Prop2019TransTar!Y26</f>
        <v>8972065.1354613025</v>
      </c>
      <c r="Z26" s="584">
        <f>Prop2019TransTar!Z26</f>
        <v>0</v>
      </c>
      <c r="AA26" s="584">
        <f>Prop2019TransTar!AA26</f>
        <v>0</v>
      </c>
      <c r="AB26" s="584">
        <f>Prop2019TransTar!AB26</f>
        <v>995491.84716732672</v>
      </c>
      <c r="AC26" s="584">
        <f>Prop2019TransTar!AC26</f>
        <v>0</v>
      </c>
      <c r="AD26" s="585">
        <f>Prop2019TransTar!AD26</f>
        <v>0</v>
      </c>
      <c r="AF26" s="556">
        <f t="shared" si="0"/>
        <v>13054.233810312697</v>
      </c>
      <c r="AG26" s="557">
        <f t="shared" si="1"/>
        <v>0</v>
      </c>
      <c r="AH26" s="557">
        <f t="shared" si="2"/>
        <v>0</v>
      </c>
      <c r="AI26" s="557">
        <f t="shared" si="3"/>
        <v>0</v>
      </c>
      <c r="AJ26" s="557">
        <f t="shared" si="4"/>
        <v>0</v>
      </c>
      <c r="AK26" s="557">
        <f t="shared" si="5"/>
        <v>0</v>
      </c>
      <c r="AL26" s="557">
        <f t="shared" si="6"/>
        <v>0</v>
      </c>
      <c r="AM26" s="557">
        <f t="shared" si="7"/>
        <v>0</v>
      </c>
      <c r="AN26" s="557">
        <f t="shared" si="8"/>
        <v>0</v>
      </c>
      <c r="AO26" s="557">
        <f t="shared" si="9"/>
        <v>0</v>
      </c>
      <c r="AP26" s="557">
        <f t="shared" si="10"/>
        <v>0</v>
      </c>
      <c r="AQ26" s="557">
        <f t="shared" si="11"/>
        <v>0</v>
      </c>
      <c r="AR26" s="557">
        <f t="shared" si="12"/>
        <v>0</v>
      </c>
      <c r="AS26" s="469">
        <f t="shared" si="13"/>
        <v>13054.233810312697</v>
      </c>
    </row>
    <row r="27" spans="2:45" s="458" customFormat="1" x14ac:dyDescent="0.2">
      <c r="B27" s="477" t="str">
        <f>Prop2019DistTar!B27</f>
        <v>TODFLEX</v>
      </c>
      <c r="C27" s="579"/>
      <c r="D27" s="712">
        <v>5.32</v>
      </c>
      <c r="E27" s="713">
        <v>0</v>
      </c>
      <c r="F27" s="713">
        <v>0</v>
      </c>
      <c r="G27" s="713">
        <v>0</v>
      </c>
      <c r="H27" s="713">
        <v>0</v>
      </c>
      <c r="I27" s="713">
        <v>0</v>
      </c>
      <c r="J27" s="713">
        <v>0</v>
      </c>
      <c r="K27" s="713">
        <v>0</v>
      </c>
      <c r="L27" s="713">
        <v>0</v>
      </c>
      <c r="M27" s="713">
        <v>0</v>
      </c>
      <c r="N27" s="713">
        <v>0</v>
      </c>
      <c r="O27" s="713">
        <v>0</v>
      </c>
      <c r="P27" s="714">
        <v>0</v>
      </c>
      <c r="Q27" s="599"/>
      <c r="R27" s="583">
        <f>Prop2019TransTar!R27</f>
        <v>748713.29673777404</v>
      </c>
      <c r="S27" s="584">
        <f>Prop2019TransTar!S27</f>
        <v>0</v>
      </c>
      <c r="T27" s="584">
        <f>Prop2019TransTar!T27</f>
        <v>1841551.6104571195</v>
      </c>
      <c r="U27" s="584">
        <f>Prop2019TransTar!U27</f>
        <v>897829.54665664909</v>
      </c>
      <c r="V27" s="584">
        <f>Prop2019TransTar!V27</f>
        <v>0</v>
      </c>
      <c r="W27" s="584">
        <f>Prop2019TransTar!W27</f>
        <v>0</v>
      </c>
      <c r="X27" s="584">
        <f>Prop2019TransTar!X27</f>
        <v>1476591.1655552709</v>
      </c>
      <c r="Y27" s="584">
        <f>Prop2019TransTar!Y27</f>
        <v>3741242.0142536671</v>
      </c>
      <c r="Z27" s="584">
        <f>Prop2019TransTar!Z27</f>
        <v>3096046.1684368975</v>
      </c>
      <c r="AA27" s="584">
        <f>Prop2019TransTar!AA27</f>
        <v>0</v>
      </c>
      <c r="AB27" s="584">
        <f>Prop2019TransTar!AB27</f>
        <v>0</v>
      </c>
      <c r="AC27" s="584">
        <f>Prop2019TransTar!AC27</f>
        <v>0</v>
      </c>
      <c r="AD27" s="585">
        <f>Prop2019TransTar!AD27</f>
        <v>0</v>
      </c>
      <c r="AF27" s="556">
        <f t="shared" si="0"/>
        <v>39831.54738644958</v>
      </c>
      <c r="AG27" s="557">
        <f t="shared" si="1"/>
        <v>0</v>
      </c>
      <c r="AH27" s="557">
        <f t="shared" si="2"/>
        <v>0</v>
      </c>
      <c r="AI27" s="557">
        <f t="shared" si="3"/>
        <v>0</v>
      </c>
      <c r="AJ27" s="557">
        <f t="shared" si="4"/>
        <v>0</v>
      </c>
      <c r="AK27" s="557">
        <f t="shared" si="5"/>
        <v>0</v>
      </c>
      <c r="AL27" s="557">
        <f t="shared" si="6"/>
        <v>0</v>
      </c>
      <c r="AM27" s="557">
        <f t="shared" si="7"/>
        <v>0</v>
      </c>
      <c r="AN27" s="557">
        <f t="shared" si="8"/>
        <v>0</v>
      </c>
      <c r="AO27" s="557">
        <f t="shared" si="9"/>
        <v>0</v>
      </c>
      <c r="AP27" s="557">
        <f t="shared" si="10"/>
        <v>0</v>
      </c>
      <c r="AQ27" s="557">
        <f t="shared" si="11"/>
        <v>0</v>
      </c>
      <c r="AR27" s="557">
        <f t="shared" si="12"/>
        <v>0</v>
      </c>
      <c r="AS27" s="469">
        <f t="shared" si="13"/>
        <v>39831.54738644958</v>
      </c>
    </row>
    <row r="28" spans="2:45" s="458" customFormat="1" x14ac:dyDescent="0.2">
      <c r="B28" s="464" t="str">
        <f>Prop2019DistTar!B28</f>
        <v>Low Voltage KW 1 rate</v>
      </c>
      <c r="C28" s="579"/>
      <c r="D28" s="712">
        <v>5.32</v>
      </c>
      <c r="E28" s="713">
        <v>0</v>
      </c>
      <c r="F28" s="713">
        <v>0</v>
      </c>
      <c r="G28" s="713">
        <v>0</v>
      </c>
      <c r="H28" s="713">
        <v>0</v>
      </c>
      <c r="I28" s="713">
        <v>0</v>
      </c>
      <c r="J28" s="713">
        <v>0</v>
      </c>
      <c r="K28" s="713">
        <v>0</v>
      </c>
      <c r="L28" s="713">
        <v>0</v>
      </c>
      <c r="M28" s="713">
        <v>0</v>
      </c>
      <c r="N28" s="713">
        <v>0</v>
      </c>
      <c r="O28" s="713">
        <v>0</v>
      </c>
      <c r="P28" s="714">
        <v>0</v>
      </c>
      <c r="Q28" s="599"/>
      <c r="R28" s="583">
        <f>Prop2019TransTar!R28</f>
        <v>2365.9646033074068</v>
      </c>
      <c r="S28" s="584">
        <f>Prop2019TransTar!S28</f>
        <v>0</v>
      </c>
      <c r="T28" s="584">
        <f>Prop2019TransTar!T28</f>
        <v>0</v>
      </c>
      <c r="U28" s="584">
        <f>Prop2019TransTar!U28</f>
        <v>10094.264329230857</v>
      </c>
      <c r="V28" s="584">
        <f>Prop2019TransTar!V28</f>
        <v>0</v>
      </c>
      <c r="W28" s="584">
        <f>Prop2019TransTar!W28</f>
        <v>0</v>
      </c>
      <c r="X28" s="584">
        <f>Prop2019TransTar!X28</f>
        <v>19252.676051971259</v>
      </c>
      <c r="Y28" s="584">
        <f>Prop2019TransTar!Y28</f>
        <v>0</v>
      </c>
      <c r="Z28" s="584">
        <f>Prop2019TransTar!Z28</f>
        <v>0</v>
      </c>
      <c r="AA28" s="584">
        <f>Prop2019TransTar!AA28</f>
        <v>0</v>
      </c>
      <c r="AB28" s="584">
        <f>Prop2019TransTar!AB28</f>
        <v>0</v>
      </c>
      <c r="AC28" s="584">
        <f>Prop2019TransTar!AC28</f>
        <v>2402.7092731857942</v>
      </c>
      <c r="AD28" s="585">
        <f>Prop2019TransTar!AD28</f>
        <v>4357.3066082563137</v>
      </c>
      <c r="AF28" s="556">
        <f t="shared" si="0"/>
        <v>125.86931689595406</v>
      </c>
      <c r="AG28" s="557">
        <f t="shared" si="1"/>
        <v>0</v>
      </c>
      <c r="AH28" s="557">
        <f t="shared" si="2"/>
        <v>0</v>
      </c>
      <c r="AI28" s="557">
        <f t="shared" si="3"/>
        <v>0</v>
      </c>
      <c r="AJ28" s="557">
        <f t="shared" si="4"/>
        <v>0</v>
      </c>
      <c r="AK28" s="557">
        <f t="shared" si="5"/>
        <v>0</v>
      </c>
      <c r="AL28" s="557">
        <f t="shared" si="6"/>
        <v>0</v>
      </c>
      <c r="AM28" s="557">
        <f t="shared" si="7"/>
        <v>0</v>
      </c>
      <c r="AN28" s="557">
        <f t="shared" si="8"/>
        <v>0</v>
      </c>
      <c r="AO28" s="557">
        <f t="shared" si="9"/>
        <v>0</v>
      </c>
      <c r="AP28" s="557">
        <f t="shared" si="10"/>
        <v>0</v>
      </c>
      <c r="AQ28" s="557">
        <f t="shared" si="11"/>
        <v>0</v>
      </c>
      <c r="AR28" s="557">
        <f t="shared" si="12"/>
        <v>0</v>
      </c>
      <c r="AS28" s="469">
        <f t="shared" si="13"/>
        <v>125.86931689595406</v>
      </c>
    </row>
    <row r="29" spans="2:45" s="458" customFormat="1" x14ac:dyDescent="0.2">
      <c r="B29" s="464" t="str">
        <f>Prop2019DistTar!B29</f>
        <v>Low voltage medium KW time of use (opt-in)</v>
      </c>
      <c r="C29" s="579"/>
      <c r="D29" s="712">
        <v>5.32</v>
      </c>
      <c r="E29" s="713">
        <v>0</v>
      </c>
      <c r="F29" s="713">
        <v>0</v>
      </c>
      <c r="G29" s="713">
        <v>0</v>
      </c>
      <c r="H29" s="713">
        <v>0</v>
      </c>
      <c r="I29" s="713">
        <v>0</v>
      </c>
      <c r="J29" s="713">
        <v>0</v>
      </c>
      <c r="K29" s="713">
        <v>0</v>
      </c>
      <c r="L29" s="713">
        <v>0</v>
      </c>
      <c r="M29" s="713">
        <v>0</v>
      </c>
      <c r="N29" s="713">
        <v>0</v>
      </c>
      <c r="O29" s="713">
        <v>0</v>
      </c>
      <c r="P29" s="714">
        <v>0</v>
      </c>
      <c r="Q29" s="599"/>
      <c r="R29" s="583">
        <f>Prop2019TransTar!R29</f>
        <v>61897.887611713682</v>
      </c>
      <c r="S29" s="584">
        <f>Prop2019TransTar!S29</f>
        <v>0</v>
      </c>
      <c r="T29" s="584">
        <f>Prop2019TransTar!T29</f>
        <v>0</v>
      </c>
      <c r="U29" s="584">
        <f>Prop2019TransTar!U29</f>
        <v>6336827.8605712429</v>
      </c>
      <c r="V29" s="584">
        <f>Prop2019TransTar!V29</f>
        <v>0</v>
      </c>
      <c r="W29" s="584">
        <f>Prop2019TransTar!W29</f>
        <v>0</v>
      </c>
      <c r="X29" s="584">
        <f>Prop2019TransTar!X29</f>
        <v>8872080.0242214594</v>
      </c>
      <c r="Y29" s="584">
        <f>Prop2019TransTar!Y29</f>
        <v>0</v>
      </c>
      <c r="Z29" s="584">
        <f>Prop2019TransTar!Z29</f>
        <v>0</v>
      </c>
      <c r="AA29" s="584">
        <f>Prop2019TransTar!AA29</f>
        <v>0</v>
      </c>
      <c r="AB29" s="584">
        <f>Prop2019TransTar!AB29</f>
        <v>0</v>
      </c>
      <c r="AC29" s="584">
        <f>Prop2019TransTar!AC29</f>
        <v>602643.80769806355</v>
      </c>
      <c r="AD29" s="585">
        <f>Prop2019TransTar!AD29</f>
        <v>1112070.3845453316</v>
      </c>
      <c r="AF29" s="556">
        <f t="shared" si="0"/>
        <v>3292.9676209431682</v>
      </c>
      <c r="AG29" s="557">
        <f t="shared" si="1"/>
        <v>0</v>
      </c>
      <c r="AH29" s="557">
        <f t="shared" si="2"/>
        <v>0</v>
      </c>
      <c r="AI29" s="557">
        <f t="shared" si="3"/>
        <v>0</v>
      </c>
      <c r="AJ29" s="557">
        <f t="shared" si="4"/>
        <v>0</v>
      </c>
      <c r="AK29" s="557">
        <f t="shared" si="5"/>
        <v>0</v>
      </c>
      <c r="AL29" s="557">
        <f t="shared" si="6"/>
        <v>0</v>
      </c>
      <c r="AM29" s="557">
        <f t="shared" si="7"/>
        <v>0</v>
      </c>
      <c r="AN29" s="557">
        <f t="shared" si="8"/>
        <v>0</v>
      </c>
      <c r="AO29" s="557">
        <f t="shared" si="9"/>
        <v>0</v>
      </c>
      <c r="AP29" s="557">
        <f t="shared" si="10"/>
        <v>0</v>
      </c>
      <c r="AQ29" s="557">
        <f t="shared" si="11"/>
        <v>0</v>
      </c>
      <c r="AR29" s="557">
        <f t="shared" si="12"/>
        <v>0</v>
      </c>
      <c r="AS29" s="469">
        <f t="shared" si="13"/>
        <v>3292.9676209431682</v>
      </c>
    </row>
    <row r="30" spans="2:45" s="458" customFormat="1" x14ac:dyDescent="0.2">
      <c r="B30" s="464" t="str">
        <f>Prop2019DistTar!B30</f>
        <v>Low voltage medium KW 1 rate (mandatory)</v>
      </c>
      <c r="C30" s="579"/>
      <c r="D30" s="712">
        <v>5.32</v>
      </c>
      <c r="E30" s="713">
        <v>0</v>
      </c>
      <c r="F30" s="713">
        <v>0</v>
      </c>
      <c r="G30" s="713">
        <v>0</v>
      </c>
      <c r="H30" s="713">
        <v>0</v>
      </c>
      <c r="I30" s="713">
        <v>0</v>
      </c>
      <c r="J30" s="713">
        <v>0</v>
      </c>
      <c r="K30" s="713">
        <v>0</v>
      </c>
      <c r="L30" s="713">
        <v>0</v>
      </c>
      <c r="M30" s="713">
        <v>0</v>
      </c>
      <c r="N30" s="713">
        <v>0</v>
      </c>
      <c r="O30" s="713">
        <v>0</v>
      </c>
      <c r="P30" s="714">
        <v>0</v>
      </c>
      <c r="Q30" s="599"/>
      <c r="R30" s="583">
        <f>Prop2019TransTar!R30</f>
        <v>2660202.422626602</v>
      </c>
      <c r="S30" s="584">
        <f>Prop2019TransTar!S30</f>
        <v>0</v>
      </c>
      <c r="T30" s="584">
        <f>Prop2019TransTar!T30</f>
        <v>0</v>
      </c>
      <c r="U30" s="584">
        <f>Prop2019TransTar!U30</f>
        <v>283591412.6637975</v>
      </c>
      <c r="V30" s="584">
        <f>Prop2019TransTar!V30</f>
        <v>0</v>
      </c>
      <c r="W30" s="584">
        <f>Prop2019TransTar!W30</f>
        <v>0</v>
      </c>
      <c r="X30" s="584">
        <f>Prop2019TransTar!X30</f>
        <v>392448914.09896255</v>
      </c>
      <c r="Y30" s="584">
        <f>Prop2019TransTar!Y30</f>
        <v>0</v>
      </c>
      <c r="Z30" s="584">
        <f>Prop2019TransTar!Z30</f>
        <v>0</v>
      </c>
      <c r="AA30" s="584">
        <f>Prop2019TransTar!AA30</f>
        <v>0</v>
      </c>
      <c r="AB30" s="584">
        <f>Prop2019TransTar!AB30</f>
        <v>0</v>
      </c>
      <c r="AC30" s="584">
        <f>Prop2019TransTar!AC30</f>
        <v>27235556.85946399</v>
      </c>
      <c r="AD30" s="585">
        <f>Prop2019TransTar!AD30</f>
        <v>49015175.380939752</v>
      </c>
      <c r="AF30" s="556">
        <f t="shared" si="0"/>
        <v>141522.76888373523</v>
      </c>
      <c r="AG30" s="557">
        <f t="shared" si="1"/>
        <v>0</v>
      </c>
      <c r="AH30" s="557">
        <f t="shared" si="2"/>
        <v>0</v>
      </c>
      <c r="AI30" s="557">
        <f t="shared" si="3"/>
        <v>0</v>
      </c>
      <c r="AJ30" s="557">
        <f t="shared" si="4"/>
        <v>0</v>
      </c>
      <c r="AK30" s="557">
        <f t="shared" si="5"/>
        <v>0</v>
      </c>
      <c r="AL30" s="557">
        <f t="shared" si="6"/>
        <v>0</v>
      </c>
      <c r="AM30" s="557">
        <f t="shared" si="7"/>
        <v>0</v>
      </c>
      <c r="AN30" s="557">
        <f t="shared" si="8"/>
        <v>0</v>
      </c>
      <c r="AO30" s="557">
        <f t="shared" si="9"/>
        <v>0</v>
      </c>
      <c r="AP30" s="557">
        <f t="shared" si="10"/>
        <v>0</v>
      </c>
      <c r="AQ30" s="557">
        <f t="shared" si="11"/>
        <v>0</v>
      </c>
      <c r="AR30" s="557">
        <f t="shared" si="12"/>
        <v>0</v>
      </c>
      <c r="AS30" s="469">
        <f t="shared" si="13"/>
        <v>141522.76888373523</v>
      </c>
    </row>
    <row r="31" spans="2:45" s="458" customFormat="1" x14ac:dyDescent="0.2">
      <c r="B31" s="464"/>
      <c r="C31" s="579"/>
      <c r="D31" s="580"/>
      <c r="E31" s="581"/>
      <c r="F31" s="581"/>
      <c r="G31" s="581"/>
      <c r="H31" s="581"/>
      <c r="I31" s="581"/>
      <c r="J31" s="581"/>
      <c r="K31" s="581"/>
      <c r="L31" s="581"/>
      <c r="M31" s="581"/>
      <c r="N31" s="581"/>
      <c r="O31" s="581"/>
      <c r="P31" s="582"/>
      <c r="Q31" s="599"/>
      <c r="R31" s="583"/>
      <c r="S31" s="584"/>
      <c r="T31" s="584"/>
      <c r="U31" s="584"/>
      <c r="V31" s="584"/>
      <c r="W31" s="584"/>
      <c r="X31" s="584"/>
      <c r="Y31" s="584"/>
      <c r="Z31" s="584"/>
      <c r="AA31" s="584"/>
      <c r="AB31" s="584"/>
      <c r="AC31" s="584"/>
      <c r="AD31" s="585"/>
      <c r="AF31" s="556">
        <f t="shared" si="0"/>
        <v>0</v>
      </c>
      <c r="AG31" s="557">
        <f t="shared" si="1"/>
        <v>0</v>
      </c>
      <c r="AH31" s="557">
        <f t="shared" si="2"/>
        <v>0</v>
      </c>
      <c r="AI31" s="557">
        <f t="shared" si="3"/>
        <v>0</v>
      </c>
      <c r="AJ31" s="557">
        <f t="shared" si="4"/>
        <v>0</v>
      </c>
      <c r="AK31" s="557">
        <f t="shared" si="5"/>
        <v>0</v>
      </c>
      <c r="AL31" s="557">
        <f t="shared" si="6"/>
        <v>0</v>
      </c>
      <c r="AM31" s="557">
        <f t="shared" si="7"/>
        <v>0</v>
      </c>
      <c r="AN31" s="557">
        <f t="shared" si="8"/>
        <v>0</v>
      </c>
      <c r="AO31" s="557">
        <f t="shared" si="9"/>
        <v>0</v>
      </c>
      <c r="AP31" s="557">
        <f t="shared" si="10"/>
        <v>0</v>
      </c>
      <c r="AQ31" s="557">
        <f t="shared" si="11"/>
        <v>0</v>
      </c>
      <c r="AR31" s="557">
        <f t="shared" si="12"/>
        <v>0</v>
      </c>
      <c r="AS31" s="469">
        <f t="shared" si="13"/>
        <v>0</v>
      </c>
    </row>
    <row r="32" spans="2:45" s="458" customFormat="1" x14ac:dyDescent="0.2">
      <c r="B32" s="464"/>
      <c r="C32" s="579"/>
      <c r="D32" s="580"/>
      <c r="E32" s="581"/>
      <c r="F32" s="581"/>
      <c r="G32" s="581"/>
      <c r="H32" s="581"/>
      <c r="I32" s="581"/>
      <c r="J32" s="581"/>
      <c r="K32" s="581"/>
      <c r="L32" s="581"/>
      <c r="M32" s="581"/>
      <c r="N32" s="581"/>
      <c r="O32" s="581"/>
      <c r="P32" s="582"/>
      <c r="Q32" s="599"/>
      <c r="R32" s="583"/>
      <c r="S32" s="584"/>
      <c r="T32" s="584"/>
      <c r="U32" s="584"/>
      <c r="V32" s="584"/>
      <c r="W32" s="584"/>
      <c r="X32" s="584"/>
      <c r="Y32" s="584"/>
      <c r="Z32" s="584"/>
      <c r="AA32" s="584"/>
      <c r="AB32" s="584"/>
      <c r="AC32" s="584"/>
      <c r="AD32" s="585"/>
      <c r="AF32" s="556">
        <f t="shared" si="0"/>
        <v>0</v>
      </c>
      <c r="AG32" s="557">
        <f t="shared" si="1"/>
        <v>0</v>
      </c>
      <c r="AH32" s="557">
        <f t="shared" si="2"/>
        <v>0</v>
      </c>
      <c r="AI32" s="557">
        <f t="shared" si="3"/>
        <v>0</v>
      </c>
      <c r="AJ32" s="557">
        <f t="shared" si="4"/>
        <v>0</v>
      </c>
      <c r="AK32" s="557">
        <f t="shared" si="5"/>
        <v>0</v>
      </c>
      <c r="AL32" s="557">
        <f t="shared" si="6"/>
        <v>0</v>
      </c>
      <c r="AM32" s="557">
        <f t="shared" si="7"/>
        <v>0</v>
      </c>
      <c r="AN32" s="557">
        <f t="shared" si="8"/>
        <v>0</v>
      </c>
      <c r="AO32" s="557">
        <f t="shared" si="9"/>
        <v>0</v>
      </c>
      <c r="AP32" s="557">
        <f t="shared" si="10"/>
        <v>0</v>
      </c>
      <c r="AQ32" s="557">
        <f t="shared" si="11"/>
        <v>0</v>
      </c>
      <c r="AR32" s="557">
        <f t="shared" si="12"/>
        <v>0</v>
      </c>
      <c r="AS32" s="469">
        <f t="shared" si="13"/>
        <v>0</v>
      </c>
    </row>
    <row r="33" spans="2:45" s="458" customFormat="1" x14ac:dyDescent="0.2">
      <c r="B33" s="464"/>
      <c r="C33" s="579"/>
      <c r="D33" s="580"/>
      <c r="E33" s="581"/>
      <c r="F33" s="581"/>
      <c r="G33" s="581"/>
      <c r="H33" s="581"/>
      <c r="I33" s="581"/>
      <c r="J33" s="581"/>
      <c r="K33" s="581"/>
      <c r="L33" s="581"/>
      <c r="M33" s="581"/>
      <c r="N33" s="581"/>
      <c r="O33" s="581"/>
      <c r="P33" s="582"/>
      <c r="Q33" s="599"/>
      <c r="R33" s="583"/>
      <c r="S33" s="584"/>
      <c r="T33" s="584"/>
      <c r="U33" s="584"/>
      <c r="V33" s="584"/>
      <c r="W33" s="584"/>
      <c r="X33" s="584"/>
      <c r="Y33" s="584"/>
      <c r="Z33" s="584"/>
      <c r="AA33" s="584"/>
      <c r="AB33" s="584"/>
      <c r="AC33" s="584"/>
      <c r="AD33" s="585"/>
      <c r="AF33" s="556">
        <f t="shared" si="0"/>
        <v>0</v>
      </c>
      <c r="AG33" s="557">
        <f t="shared" si="1"/>
        <v>0</v>
      </c>
      <c r="AH33" s="557">
        <f t="shared" si="2"/>
        <v>0</v>
      </c>
      <c r="AI33" s="557">
        <f t="shared" si="3"/>
        <v>0</v>
      </c>
      <c r="AJ33" s="557">
        <f t="shared" si="4"/>
        <v>0</v>
      </c>
      <c r="AK33" s="557">
        <f t="shared" si="5"/>
        <v>0</v>
      </c>
      <c r="AL33" s="557">
        <f t="shared" si="6"/>
        <v>0</v>
      </c>
      <c r="AM33" s="557">
        <f t="shared" si="7"/>
        <v>0</v>
      </c>
      <c r="AN33" s="557">
        <f t="shared" si="8"/>
        <v>0</v>
      </c>
      <c r="AO33" s="557">
        <f t="shared" si="9"/>
        <v>0</v>
      </c>
      <c r="AP33" s="557">
        <f t="shared" si="10"/>
        <v>0</v>
      </c>
      <c r="AQ33" s="557">
        <f t="shared" si="11"/>
        <v>0</v>
      </c>
      <c r="AR33" s="557">
        <f t="shared" si="12"/>
        <v>0</v>
      </c>
      <c r="AS33" s="469">
        <f t="shared" si="13"/>
        <v>0</v>
      </c>
    </row>
    <row r="34" spans="2:45" s="458" customFormat="1" x14ac:dyDescent="0.2">
      <c r="B34" s="464"/>
      <c r="C34" s="579"/>
      <c r="D34" s="580"/>
      <c r="E34" s="581"/>
      <c r="F34" s="581"/>
      <c r="G34" s="581"/>
      <c r="H34" s="581"/>
      <c r="I34" s="581"/>
      <c r="J34" s="581"/>
      <c r="K34" s="581"/>
      <c r="L34" s="581"/>
      <c r="M34" s="581"/>
      <c r="N34" s="581"/>
      <c r="O34" s="581"/>
      <c r="P34" s="582"/>
      <c r="Q34" s="599"/>
      <c r="R34" s="583"/>
      <c r="S34" s="584"/>
      <c r="T34" s="584"/>
      <c r="U34" s="584"/>
      <c r="V34" s="584"/>
      <c r="W34" s="584"/>
      <c r="X34" s="584"/>
      <c r="Y34" s="584"/>
      <c r="Z34" s="584"/>
      <c r="AA34" s="584"/>
      <c r="AB34" s="584"/>
      <c r="AC34" s="584"/>
      <c r="AD34" s="585"/>
      <c r="AF34" s="556">
        <f t="shared" si="0"/>
        <v>0</v>
      </c>
      <c r="AG34" s="557">
        <f t="shared" si="1"/>
        <v>0</v>
      </c>
      <c r="AH34" s="557">
        <f t="shared" si="2"/>
        <v>0</v>
      </c>
      <c r="AI34" s="557">
        <f t="shared" si="3"/>
        <v>0</v>
      </c>
      <c r="AJ34" s="557">
        <f t="shared" si="4"/>
        <v>0</v>
      </c>
      <c r="AK34" s="557">
        <f t="shared" si="5"/>
        <v>0</v>
      </c>
      <c r="AL34" s="557">
        <f t="shared" si="6"/>
        <v>0</v>
      </c>
      <c r="AM34" s="557">
        <f t="shared" si="7"/>
        <v>0</v>
      </c>
      <c r="AN34" s="557">
        <f t="shared" si="8"/>
        <v>0</v>
      </c>
      <c r="AO34" s="557">
        <f t="shared" si="9"/>
        <v>0</v>
      </c>
      <c r="AP34" s="557">
        <f t="shared" si="10"/>
        <v>0</v>
      </c>
      <c r="AQ34" s="557">
        <f t="shared" si="11"/>
        <v>0</v>
      </c>
      <c r="AR34" s="557">
        <f t="shared" si="12"/>
        <v>0</v>
      </c>
      <c r="AS34" s="469">
        <f t="shared" si="13"/>
        <v>0</v>
      </c>
    </row>
    <row r="35" spans="2:45" s="458" customFormat="1" x14ac:dyDescent="0.2">
      <c r="B35" s="464"/>
      <c r="C35" s="579"/>
      <c r="D35" s="580"/>
      <c r="E35" s="581"/>
      <c r="F35" s="581"/>
      <c r="G35" s="581"/>
      <c r="H35" s="581"/>
      <c r="I35" s="581"/>
      <c r="J35" s="581"/>
      <c r="K35" s="581"/>
      <c r="L35" s="581"/>
      <c r="M35" s="581"/>
      <c r="N35" s="581"/>
      <c r="O35" s="581"/>
      <c r="P35" s="582"/>
      <c r="Q35" s="599"/>
      <c r="R35" s="583"/>
      <c r="S35" s="584"/>
      <c r="T35" s="584"/>
      <c r="U35" s="584"/>
      <c r="V35" s="584"/>
      <c r="W35" s="584"/>
      <c r="X35" s="584"/>
      <c r="Y35" s="584"/>
      <c r="Z35" s="584"/>
      <c r="AA35" s="584"/>
      <c r="AB35" s="584"/>
      <c r="AC35" s="584"/>
      <c r="AD35" s="585"/>
      <c r="AF35" s="556">
        <f t="shared" si="0"/>
        <v>0</v>
      </c>
      <c r="AG35" s="557">
        <f t="shared" si="1"/>
        <v>0</v>
      </c>
      <c r="AH35" s="557">
        <f t="shared" si="2"/>
        <v>0</v>
      </c>
      <c r="AI35" s="557">
        <f t="shared" si="3"/>
        <v>0</v>
      </c>
      <c r="AJ35" s="557">
        <f t="shared" si="4"/>
        <v>0</v>
      </c>
      <c r="AK35" s="557">
        <f t="shared" si="5"/>
        <v>0</v>
      </c>
      <c r="AL35" s="557">
        <f t="shared" si="6"/>
        <v>0</v>
      </c>
      <c r="AM35" s="557">
        <f t="shared" si="7"/>
        <v>0</v>
      </c>
      <c r="AN35" s="557">
        <f t="shared" si="8"/>
        <v>0</v>
      </c>
      <c r="AO35" s="557">
        <f t="shared" si="9"/>
        <v>0</v>
      </c>
      <c r="AP35" s="557">
        <f t="shared" si="10"/>
        <v>0</v>
      </c>
      <c r="AQ35" s="557">
        <f t="shared" si="11"/>
        <v>0</v>
      </c>
      <c r="AR35" s="557">
        <f t="shared" si="12"/>
        <v>0</v>
      </c>
      <c r="AS35" s="469">
        <f t="shared" si="13"/>
        <v>0</v>
      </c>
    </row>
    <row r="36" spans="2:45" s="458" customFormat="1" x14ac:dyDescent="0.2">
      <c r="B36" s="464"/>
      <c r="C36" s="579"/>
      <c r="D36" s="580"/>
      <c r="E36" s="581"/>
      <c r="F36" s="581"/>
      <c r="G36" s="581"/>
      <c r="H36" s="581"/>
      <c r="I36" s="581"/>
      <c r="J36" s="581"/>
      <c r="K36" s="581"/>
      <c r="L36" s="581"/>
      <c r="M36" s="581"/>
      <c r="N36" s="581"/>
      <c r="O36" s="581"/>
      <c r="P36" s="582"/>
      <c r="Q36" s="599"/>
      <c r="R36" s="583"/>
      <c r="S36" s="584"/>
      <c r="T36" s="584"/>
      <c r="U36" s="584"/>
      <c r="V36" s="584"/>
      <c r="W36" s="584"/>
      <c r="X36" s="584"/>
      <c r="Y36" s="584"/>
      <c r="Z36" s="584"/>
      <c r="AA36" s="584"/>
      <c r="AB36" s="584"/>
      <c r="AC36" s="584"/>
      <c r="AD36" s="585"/>
      <c r="AF36" s="556">
        <f t="shared" si="0"/>
        <v>0</v>
      </c>
      <c r="AG36" s="557">
        <f t="shared" si="1"/>
        <v>0</v>
      </c>
      <c r="AH36" s="557">
        <f t="shared" si="2"/>
        <v>0</v>
      </c>
      <c r="AI36" s="557">
        <f t="shared" si="3"/>
        <v>0</v>
      </c>
      <c r="AJ36" s="557">
        <f t="shared" si="4"/>
        <v>0</v>
      </c>
      <c r="AK36" s="557">
        <f t="shared" si="5"/>
        <v>0</v>
      </c>
      <c r="AL36" s="557">
        <f t="shared" si="6"/>
        <v>0</v>
      </c>
      <c r="AM36" s="557">
        <f t="shared" si="7"/>
        <v>0</v>
      </c>
      <c r="AN36" s="557">
        <f t="shared" si="8"/>
        <v>0</v>
      </c>
      <c r="AO36" s="557">
        <f t="shared" si="9"/>
        <v>0</v>
      </c>
      <c r="AP36" s="557">
        <f t="shared" si="10"/>
        <v>0</v>
      </c>
      <c r="AQ36" s="557">
        <f t="shared" si="11"/>
        <v>0</v>
      </c>
      <c r="AR36" s="557">
        <f t="shared" si="12"/>
        <v>0</v>
      </c>
      <c r="AS36" s="469">
        <f t="shared" si="13"/>
        <v>0</v>
      </c>
    </row>
    <row r="37" spans="2:45" s="458" customFormat="1" x14ac:dyDescent="0.2">
      <c r="B37" s="464"/>
      <c r="C37" s="579"/>
      <c r="D37" s="580"/>
      <c r="E37" s="581"/>
      <c r="F37" s="581"/>
      <c r="G37" s="581"/>
      <c r="H37" s="581"/>
      <c r="I37" s="581"/>
      <c r="J37" s="581"/>
      <c r="K37" s="581"/>
      <c r="L37" s="581"/>
      <c r="M37" s="581"/>
      <c r="N37" s="581"/>
      <c r="O37" s="581"/>
      <c r="P37" s="582"/>
      <c r="Q37" s="599"/>
      <c r="R37" s="583"/>
      <c r="S37" s="584"/>
      <c r="T37" s="584"/>
      <c r="U37" s="584"/>
      <c r="V37" s="584"/>
      <c r="W37" s="584"/>
      <c r="X37" s="584"/>
      <c r="Y37" s="584"/>
      <c r="Z37" s="584"/>
      <c r="AA37" s="584"/>
      <c r="AB37" s="584"/>
      <c r="AC37" s="584"/>
      <c r="AD37" s="585"/>
      <c r="AF37" s="556">
        <f t="shared" si="0"/>
        <v>0</v>
      </c>
      <c r="AG37" s="557">
        <f t="shared" si="1"/>
        <v>0</v>
      </c>
      <c r="AH37" s="557">
        <f t="shared" si="2"/>
        <v>0</v>
      </c>
      <c r="AI37" s="557">
        <f t="shared" si="3"/>
        <v>0</v>
      </c>
      <c r="AJ37" s="557">
        <f t="shared" si="4"/>
        <v>0</v>
      </c>
      <c r="AK37" s="557">
        <f t="shared" si="5"/>
        <v>0</v>
      </c>
      <c r="AL37" s="557">
        <f t="shared" si="6"/>
        <v>0</v>
      </c>
      <c r="AM37" s="557">
        <f t="shared" si="7"/>
        <v>0</v>
      </c>
      <c r="AN37" s="557">
        <f t="shared" si="8"/>
        <v>0</v>
      </c>
      <c r="AO37" s="557">
        <f t="shared" si="9"/>
        <v>0</v>
      </c>
      <c r="AP37" s="557">
        <f t="shared" si="10"/>
        <v>0</v>
      </c>
      <c r="AQ37" s="557">
        <f t="shared" si="11"/>
        <v>0</v>
      </c>
      <c r="AR37" s="557">
        <f t="shared" si="12"/>
        <v>0</v>
      </c>
      <c r="AS37" s="469">
        <f t="shared" si="13"/>
        <v>0</v>
      </c>
    </row>
    <row r="38" spans="2:45" s="458" customFormat="1" x14ac:dyDescent="0.2">
      <c r="B38" s="464"/>
      <c r="C38" s="579"/>
      <c r="D38" s="580"/>
      <c r="E38" s="581"/>
      <c r="F38" s="581"/>
      <c r="G38" s="581"/>
      <c r="H38" s="581"/>
      <c r="I38" s="581"/>
      <c r="J38" s="581"/>
      <c r="K38" s="581"/>
      <c r="L38" s="581"/>
      <c r="M38" s="581"/>
      <c r="N38" s="581"/>
      <c r="O38" s="581"/>
      <c r="P38" s="582"/>
      <c r="Q38" s="599"/>
      <c r="R38" s="583"/>
      <c r="S38" s="584"/>
      <c r="T38" s="584"/>
      <c r="U38" s="584"/>
      <c r="V38" s="584"/>
      <c r="W38" s="584"/>
      <c r="X38" s="584"/>
      <c r="Y38" s="584"/>
      <c r="Z38" s="584"/>
      <c r="AA38" s="584"/>
      <c r="AB38" s="584"/>
      <c r="AC38" s="584"/>
      <c r="AD38" s="585"/>
      <c r="AF38" s="556">
        <f t="shared" si="0"/>
        <v>0</v>
      </c>
      <c r="AG38" s="557">
        <f t="shared" si="1"/>
        <v>0</v>
      </c>
      <c r="AH38" s="557">
        <f t="shared" si="2"/>
        <v>0</v>
      </c>
      <c r="AI38" s="557">
        <f t="shared" si="3"/>
        <v>0</v>
      </c>
      <c r="AJ38" s="557">
        <f t="shared" si="4"/>
        <v>0</v>
      </c>
      <c r="AK38" s="557">
        <f t="shared" si="5"/>
        <v>0</v>
      </c>
      <c r="AL38" s="557">
        <f t="shared" si="6"/>
        <v>0</v>
      </c>
      <c r="AM38" s="557">
        <f t="shared" si="7"/>
        <v>0</v>
      </c>
      <c r="AN38" s="557">
        <f t="shared" si="8"/>
        <v>0</v>
      </c>
      <c r="AO38" s="557">
        <f t="shared" si="9"/>
        <v>0</v>
      </c>
      <c r="AP38" s="557">
        <f t="shared" si="10"/>
        <v>0</v>
      </c>
      <c r="AQ38" s="557">
        <f t="shared" si="11"/>
        <v>0</v>
      </c>
      <c r="AR38" s="557">
        <f t="shared" si="12"/>
        <v>0</v>
      </c>
      <c r="AS38" s="469">
        <f t="shared" si="13"/>
        <v>0</v>
      </c>
    </row>
    <row r="39" spans="2:45" s="458" customFormat="1" x14ac:dyDescent="0.2">
      <c r="B39" s="464"/>
      <c r="C39" s="579"/>
      <c r="D39" s="580"/>
      <c r="E39" s="581"/>
      <c r="F39" s="581"/>
      <c r="G39" s="581"/>
      <c r="H39" s="581"/>
      <c r="I39" s="581"/>
      <c r="J39" s="581"/>
      <c r="K39" s="581"/>
      <c r="L39" s="581"/>
      <c r="M39" s="581"/>
      <c r="N39" s="581"/>
      <c r="O39" s="581"/>
      <c r="P39" s="582"/>
      <c r="Q39" s="599"/>
      <c r="R39" s="583"/>
      <c r="S39" s="584"/>
      <c r="T39" s="584"/>
      <c r="U39" s="584"/>
      <c r="V39" s="584"/>
      <c r="W39" s="584"/>
      <c r="X39" s="584"/>
      <c r="Y39" s="584"/>
      <c r="Z39" s="584"/>
      <c r="AA39" s="584"/>
      <c r="AB39" s="584"/>
      <c r="AC39" s="584"/>
      <c r="AD39" s="585"/>
      <c r="AF39" s="556">
        <f t="shared" si="0"/>
        <v>0</v>
      </c>
      <c r="AG39" s="557">
        <f t="shared" si="1"/>
        <v>0</v>
      </c>
      <c r="AH39" s="557">
        <f t="shared" si="2"/>
        <v>0</v>
      </c>
      <c r="AI39" s="557">
        <f t="shared" si="3"/>
        <v>0</v>
      </c>
      <c r="AJ39" s="557">
        <f t="shared" si="4"/>
        <v>0</v>
      </c>
      <c r="AK39" s="557">
        <f t="shared" si="5"/>
        <v>0</v>
      </c>
      <c r="AL39" s="557">
        <f t="shared" si="6"/>
        <v>0</v>
      </c>
      <c r="AM39" s="557">
        <f t="shared" si="7"/>
        <v>0</v>
      </c>
      <c r="AN39" s="557">
        <f t="shared" si="8"/>
        <v>0</v>
      </c>
      <c r="AO39" s="557">
        <f t="shared" si="9"/>
        <v>0</v>
      </c>
      <c r="AP39" s="557">
        <f t="shared" si="10"/>
        <v>0</v>
      </c>
      <c r="AQ39" s="557">
        <f t="shared" si="11"/>
        <v>0</v>
      </c>
      <c r="AR39" s="557">
        <f t="shared" si="12"/>
        <v>0</v>
      </c>
      <c r="AS39" s="469">
        <f t="shared" si="13"/>
        <v>0</v>
      </c>
    </row>
    <row r="40" spans="2:45" s="458" customFormat="1" x14ac:dyDescent="0.2">
      <c r="B40" s="464"/>
      <c r="C40" s="579"/>
      <c r="D40" s="580"/>
      <c r="E40" s="581"/>
      <c r="F40" s="581"/>
      <c r="G40" s="581"/>
      <c r="H40" s="581"/>
      <c r="I40" s="581"/>
      <c r="J40" s="581"/>
      <c r="K40" s="581"/>
      <c r="L40" s="581"/>
      <c r="M40" s="581"/>
      <c r="N40" s="581"/>
      <c r="O40" s="581"/>
      <c r="P40" s="582"/>
      <c r="Q40" s="599"/>
      <c r="R40" s="583"/>
      <c r="S40" s="584"/>
      <c r="T40" s="584"/>
      <c r="U40" s="584"/>
      <c r="V40" s="584"/>
      <c r="W40" s="584"/>
      <c r="X40" s="584"/>
      <c r="Y40" s="584"/>
      <c r="Z40" s="584"/>
      <c r="AA40" s="584"/>
      <c r="AB40" s="584"/>
      <c r="AC40" s="584"/>
      <c r="AD40" s="585"/>
      <c r="AF40" s="556">
        <f t="shared" si="0"/>
        <v>0</v>
      </c>
      <c r="AG40" s="557">
        <f t="shared" si="1"/>
        <v>0</v>
      </c>
      <c r="AH40" s="557">
        <f t="shared" si="2"/>
        <v>0</v>
      </c>
      <c r="AI40" s="557">
        <f t="shared" si="3"/>
        <v>0</v>
      </c>
      <c r="AJ40" s="557">
        <f t="shared" si="4"/>
        <v>0</v>
      </c>
      <c r="AK40" s="557">
        <f t="shared" si="5"/>
        <v>0</v>
      </c>
      <c r="AL40" s="557">
        <f t="shared" si="6"/>
        <v>0</v>
      </c>
      <c r="AM40" s="557">
        <f t="shared" si="7"/>
        <v>0</v>
      </c>
      <c r="AN40" s="557">
        <f t="shared" si="8"/>
        <v>0</v>
      </c>
      <c r="AO40" s="557">
        <f t="shared" si="9"/>
        <v>0</v>
      </c>
      <c r="AP40" s="557">
        <f t="shared" si="10"/>
        <v>0</v>
      </c>
      <c r="AQ40" s="557">
        <f t="shared" si="11"/>
        <v>0</v>
      </c>
      <c r="AR40" s="557">
        <f t="shared" si="12"/>
        <v>0</v>
      </c>
      <c r="AS40" s="469">
        <f t="shared" si="13"/>
        <v>0</v>
      </c>
    </row>
    <row r="41" spans="2:45" s="458" customFormat="1" x14ac:dyDescent="0.2">
      <c r="B41" s="464"/>
      <c r="C41" s="579"/>
      <c r="D41" s="580"/>
      <c r="E41" s="581"/>
      <c r="F41" s="581"/>
      <c r="G41" s="581"/>
      <c r="H41" s="581"/>
      <c r="I41" s="581"/>
      <c r="J41" s="581"/>
      <c r="K41" s="581"/>
      <c r="L41" s="581"/>
      <c r="M41" s="581"/>
      <c r="N41" s="581"/>
      <c r="O41" s="581"/>
      <c r="P41" s="582"/>
      <c r="Q41" s="599"/>
      <c r="R41" s="583"/>
      <c r="S41" s="584"/>
      <c r="T41" s="584"/>
      <c r="U41" s="584"/>
      <c r="V41" s="584"/>
      <c r="W41" s="584"/>
      <c r="X41" s="584"/>
      <c r="Y41" s="584"/>
      <c r="Z41" s="584"/>
      <c r="AA41" s="584"/>
      <c r="AB41" s="584"/>
      <c r="AC41" s="584"/>
      <c r="AD41" s="585"/>
      <c r="AF41" s="556">
        <f t="shared" si="0"/>
        <v>0</v>
      </c>
      <c r="AG41" s="557">
        <f t="shared" si="1"/>
        <v>0</v>
      </c>
      <c r="AH41" s="557">
        <f t="shared" si="2"/>
        <v>0</v>
      </c>
      <c r="AI41" s="557">
        <f t="shared" si="3"/>
        <v>0</v>
      </c>
      <c r="AJ41" s="557">
        <f t="shared" si="4"/>
        <v>0</v>
      </c>
      <c r="AK41" s="557">
        <f t="shared" si="5"/>
        <v>0</v>
      </c>
      <c r="AL41" s="557">
        <f t="shared" si="6"/>
        <v>0</v>
      </c>
      <c r="AM41" s="557">
        <f t="shared" si="7"/>
        <v>0</v>
      </c>
      <c r="AN41" s="557">
        <f t="shared" si="8"/>
        <v>0</v>
      </c>
      <c r="AO41" s="557">
        <f t="shared" si="9"/>
        <v>0</v>
      </c>
      <c r="AP41" s="557">
        <f t="shared" si="10"/>
        <v>0</v>
      </c>
      <c r="AQ41" s="557">
        <f t="shared" si="11"/>
        <v>0</v>
      </c>
      <c r="AR41" s="557">
        <f t="shared" si="12"/>
        <v>0</v>
      </c>
      <c r="AS41" s="469">
        <f t="shared" si="13"/>
        <v>0</v>
      </c>
    </row>
    <row r="42" spans="2:45" s="458" customFormat="1" x14ac:dyDescent="0.2">
      <c r="B42" s="464"/>
      <c r="C42" s="579"/>
      <c r="D42" s="580"/>
      <c r="E42" s="581"/>
      <c r="F42" s="581"/>
      <c r="G42" s="581"/>
      <c r="H42" s="581"/>
      <c r="I42" s="581"/>
      <c r="J42" s="581"/>
      <c r="K42" s="581"/>
      <c r="L42" s="581"/>
      <c r="M42" s="581"/>
      <c r="N42" s="581"/>
      <c r="O42" s="581"/>
      <c r="P42" s="582"/>
      <c r="Q42" s="599"/>
      <c r="R42" s="583"/>
      <c r="S42" s="584"/>
      <c r="T42" s="584"/>
      <c r="U42" s="584"/>
      <c r="V42" s="584"/>
      <c r="W42" s="584"/>
      <c r="X42" s="584"/>
      <c r="Y42" s="584"/>
      <c r="Z42" s="584"/>
      <c r="AA42" s="584"/>
      <c r="AB42" s="584"/>
      <c r="AC42" s="584"/>
      <c r="AD42" s="585"/>
      <c r="AF42" s="556">
        <f t="shared" si="0"/>
        <v>0</v>
      </c>
      <c r="AG42" s="557">
        <f t="shared" si="1"/>
        <v>0</v>
      </c>
      <c r="AH42" s="557">
        <f t="shared" si="2"/>
        <v>0</v>
      </c>
      <c r="AI42" s="557">
        <f t="shared" si="3"/>
        <v>0</v>
      </c>
      <c r="AJ42" s="557">
        <f t="shared" si="4"/>
        <v>0</v>
      </c>
      <c r="AK42" s="557">
        <f t="shared" si="5"/>
        <v>0</v>
      </c>
      <c r="AL42" s="557">
        <f t="shared" si="6"/>
        <v>0</v>
      </c>
      <c r="AM42" s="557">
        <f t="shared" si="7"/>
        <v>0</v>
      </c>
      <c r="AN42" s="557">
        <f t="shared" si="8"/>
        <v>0</v>
      </c>
      <c r="AO42" s="557">
        <f t="shared" si="9"/>
        <v>0</v>
      </c>
      <c r="AP42" s="557">
        <f t="shared" si="10"/>
        <v>0</v>
      </c>
      <c r="AQ42" s="557">
        <f t="shared" si="11"/>
        <v>0</v>
      </c>
      <c r="AR42" s="557">
        <f t="shared" si="12"/>
        <v>0</v>
      </c>
      <c r="AS42" s="469">
        <f t="shared" si="13"/>
        <v>0</v>
      </c>
    </row>
    <row r="43" spans="2:45" s="458" customFormat="1" x14ac:dyDescent="0.2">
      <c r="B43" s="464"/>
      <c r="C43" s="579"/>
      <c r="D43" s="580"/>
      <c r="E43" s="581"/>
      <c r="F43" s="581"/>
      <c r="G43" s="581"/>
      <c r="H43" s="581"/>
      <c r="I43" s="581"/>
      <c r="J43" s="581"/>
      <c r="K43" s="581"/>
      <c r="L43" s="581"/>
      <c r="M43" s="581"/>
      <c r="N43" s="581"/>
      <c r="O43" s="581"/>
      <c r="P43" s="582"/>
      <c r="Q43" s="599"/>
      <c r="R43" s="583"/>
      <c r="S43" s="584"/>
      <c r="T43" s="584"/>
      <c r="U43" s="584"/>
      <c r="V43" s="584"/>
      <c r="W43" s="584"/>
      <c r="X43" s="584"/>
      <c r="Y43" s="584"/>
      <c r="Z43" s="584"/>
      <c r="AA43" s="584"/>
      <c r="AB43" s="584"/>
      <c r="AC43" s="584"/>
      <c r="AD43" s="585"/>
      <c r="AF43" s="556">
        <f t="shared" si="0"/>
        <v>0</v>
      </c>
      <c r="AG43" s="557">
        <f t="shared" si="1"/>
        <v>0</v>
      </c>
      <c r="AH43" s="557">
        <f t="shared" si="2"/>
        <v>0</v>
      </c>
      <c r="AI43" s="557">
        <f t="shared" si="3"/>
        <v>0</v>
      </c>
      <c r="AJ43" s="557">
        <f t="shared" si="4"/>
        <v>0</v>
      </c>
      <c r="AK43" s="557">
        <f t="shared" si="5"/>
        <v>0</v>
      </c>
      <c r="AL43" s="557">
        <f t="shared" si="6"/>
        <v>0</v>
      </c>
      <c r="AM43" s="557">
        <f t="shared" si="7"/>
        <v>0</v>
      </c>
      <c r="AN43" s="557">
        <f t="shared" si="8"/>
        <v>0</v>
      </c>
      <c r="AO43" s="557">
        <f t="shared" si="9"/>
        <v>0</v>
      </c>
      <c r="AP43" s="557">
        <f t="shared" si="10"/>
        <v>0</v>
      </c>
      <c r="AQ43" s="557">
        <f t="shared" si="11"/>
        <v>0</v>
      </c>
      <c r="AR43" s="557">
        <f t="shared" si="12"/>
        <v>0</v>
      </c>
      <c r="AS43" s="469">
        <f t="shared" si="13"/>
        <v>0</v>
      </c>
    </row>
    <row r="44" spans="2:45" s="458" customFormat="1" x14ac:dyDescent="0.2">
      <c r="B44" s="464"/>
      <c r="C44" s="579"/>
      <c r="D44" s="580"/>
      <c r="E44" s="581"/>
      <c r="F44" s="581"/>
      <c r="G44" s="581"/>
      <c r="H44" s="581"/>
      <c r="I44" s="581"/>
      <c r="J44" s="581"/>
      <c r="K44" s="581"/>
      <c r="L44" s="581"/>
      <c r="M44" s="581"/>
      <c r="N44" s="581"/>
      <c r="O44" s="581"/>
      <c r="P44" s="582"/>
      <c r="Q44" s="599"/>
      <c r="R44" s="583"/>
      <c r="S44" s="584"/>
      <c r="T44" s="584"/>
      <c r="U44" s="584"/>
      <c r="V44" s="584"/>
      <c r="W44" s="584"/>
      <c r="X44" s="584"/>
      <c r="Y44" s="584"/>
      <c r="Z44" s="584"/>
      <c r="AA44" s="584"/>
      <c r="AB44" s="584"/>
      <c r="AC44" s="584"/>
      <c r="AD44" s="585"/>
      <c r="AF44" s="556">
        <f t="shared" si="0"/>
        <v>0</v>
      </c>
      <c r="AG44" s="557">
        <f t="shared" si="1"/>
        <v>0</v>
      </c>
      <c r="AH44" s="557">
        <f t="shared" si="2"/>
        <v>0</v>
      </c>
      <c r="AI44" s="557">
        <f t="shared" si="3"/>
        <v>0</v>
      </c>
      <c r="AJ44" s="557">
        <f t="shared" si="4"/>
        <v>0</v>
      </c>
      <c r="AK44" s="557">
        <f t="shared" si="5"/>
        <v>0</v>
      </c>
      <c r="AL44" s="557">
        <f t="shared" si="6"/>
        <v>0</v>
      </c>
      <c r="AM44" s="557">
        <f t="shared" si="7"/>
        <v>0</v>
      </c>
      <c r="AN44" s="557">
        <f t="shared" si="8"/>
        <v>0</v>
      </c>
      <c r="AO44" s="557">
        <f t="shared" si="9"/>
        <v>0</v>
      </c>
      <c r="AP44" s="557">
        <f t="shared" si="10"/>
        <v>0</v>
      </c>
      <c r="AQ44" s="557">
        <f t="shared" si="11"/>
        <v>0</v>
      </c>
      <c r="AR44" s="557">
        <f t="shared" si="12"/>
        <v>0</v>
      </c>
      <c r="AS44" s="469">
        <f t="shared" si="13"/>
        <v>0</v>
      </c>
    </row>
    <row r="45" spans="2:45" s="458" customFormat="1" x14ac:dyDescent="0.2">
      <c r="B45" s="464"/>
      <c r="C45" s="579"/>
      <c r="D45" s="580"/>
      <c r="E45" s="581"/>
      <c r="F45" s="581"/>
      <c r="G45" s="581"/>
      <c r="H45" s="581"/>
      <c r="I45" s="581"/>
      <c r="J45" s="581"/>
      <c r="K45" s="581"/>
      <c r="L45" s="581"/>
      <c r="M45" s="581"/>
      <c r="N45" s="581"/>
      <c r="O45" s="581"/>
      <c r="P45" s="582"/>
      <c r="Q45" s="599"/>
      <c r="R45" s="583"/>
      <c r="S45" s="584"/>
      <c r="T45" s="584"/>
      <c r="U45" s="584"/>
      <c r="V45" s="584"/>
      <c r="W45" s="584"/>
      <c r="X45" s="584"/>
      <c r="Y45" s="584"/>
      <c r="Z45" s="584"/>
      <c r="AA45" s="584"/>
      <c r="AB45" s="584"/>
      <c r="AC45" s="584"/>
      <c r="AD45" s="585"/>
      <c r="AF45" s="556">
        <f t="shared" si="0"/>
        <v>0</v>
      </c>
      <c r="AG45" s="557">
        <f t="shared" si="1"/>
        <v>0</v>
      </c>
      <c r="AH45" s="557">
        <f t="shared" si="2"/>
        <v>0</v>
      </c>
      <c r="AI45" s="557">
        <f t="shared" si="3"/>
        <v>0</v>
      </c>
      <c r="AJ45" s="557">
        <f t="shared" si="4"/>
        <v>0</v>
      </c>
      <c r="AK45" s="557">
        <f t="shared" si="5"/>
        <v>0</v>
      </c>
      <c r="AL45" s="557">
        <f t="shared" si="6"/>
        <v>0</v>
      </c>
      <c r="AM45" s="557">
        <f t="shared" si="7"/>
        <v>0</v>
      </c>
      <c r="AN45" s="557">
        <f t="shared" si="8"/>
        <v>0</v>
      </c>
      <c r="AO45" s="557">
        <f t="shared" si="9"/>
        <v>0</v>
      </c>
      <c r="AP45" s="557">
        <f t="shared" si="10"/>
        <v>0</v>
      </c>
      <c r="AQ45" s="557">
        <f t="shared" si="11"/>
        <v>0</v>
      </c>
      <c r="AR45" s="557">
        <f t="shared" si="12"/>
        <v>0</v>
      </c>
      <c r="AS45" s="469">
        <f t="shared" si="13"/>
        <v>0</v>
      </c>
    </row>
    <row r="46" spans="2:45" s="458" customFormat="1" x14ac:dyDescent="0.2">
      <c r="B46" s="464"/>
      <c r="C46" s="579"/>
      <c r="D46" s="580"/>
      <c r="E46" s="581"/>
      <c r="F46" s="581"/>
      <c r="G46" s="581"/>
      <c r="H46" s="581"/>
      <c r="I46" s="581"/>
      <c r="J46" s="581"/>
      <c r="K46" s="581"/>
      <c r="L46" s="581"/>
      <c r="M46" s="581"/>
      <c r="N46" s="581"/>
      <c r="O46" s="581"/>
      <c r="P46" s="582"/>
      <c r="Q46" s="599"/>
      <c r="R46" s="583"/>
      <c r="S46" s="584"/>
      <c r="T46" s="584"/>
      <c r="U46" s="584"/>
      <c r="V46" s="584"/>
      <c r="W46" s="584"/>
      <c r="X46" s="584"/>
      <c r="Y46" s="584"/>
      <c r="Z46" s="584"/>
      <c r="AA46" s="584"/>
      <c r="AB46" s="584"/>
      <c r="AC46" s="584"/>
      <c r="AD46" s="585"/>
      <c r="AF46" s="556">
        <f t="shared" si="0"/>
        <v>0</v>
      </c>
      <c r="AG46" s="557">
        <f t="shared" si="1"/>
        <v>0</v>
      </c>
      <c r="AH46" s="557">
        <f t="shared" si="2"/>
        <v>0</v>
      </c>
      <c r="AI46" s="557">
        <f t="shared" si="3"/>
        <v>0</v>
      </c>
      <c r="AJ46" s="557">
        <f t="shared" si="4"/>
        <v>0</v>
      </c>
      <c r="AK46" s="557">
        <f t="shared" si="5"/>
        <v>0</v>
      </c>
      <c r="AL46" s="557">
        <f t="shared" si="6"/>
        <v>0</v>
      </c>
      <c r="AM46" s="557">
        <f t="shared" si="7"/>
        <v>0</v>
      </c>
      <c r="AN46" s="557">
        <f t="shared" si="8"/>
        <v>0</v>
      </c>
      <c r="AO46" s="557">
        <f t="shared" si="9"/>
        <v>0</v>
      </c>
      <c r="AP46" s="557">
        <f t="shared" si="10"/>
        <v>0</v>
      </c>
      <c r="AQ46" s="557">
        <f t="shared" si="11"/>
        <v>0</v>
      </c>
      <c r="AR46" s="557">
        <f t="shared" si="12"/>
        <v>0</v>
      </c>
      <c r="AS46" s="469">
        <f t="shared" si="13"/>
        <v>0</v>
      </c>
    </row>
    <row r="47" spans="2:45" s="458" customFormat="1" x14ac:dyDescent="0.2">
      <c r="B47" s="464"/>
      <c r="C47" s="579"/>
      <c r="D47" s="586"/>
      <c r="E47" s="587"/>
      <c r="F47" s="587"/>
      <c r="G47" s="587"/>
      <c r="H47" s="587"/>
      <c r="I47" s="587"/>
      <c r="J47" s="587"/>
      <c r="K47" s="587"/>
      <c r="L47" s="587"/>
      <c r="M47" s="587"/>
      <c r="N47" s="587"/>
      <c r="O47" s="587"/>
      <c r="P47" s="588"/>
      <c r="Q47" s="599"/>
      <c r="R47" s="583"/>
      <c r="S47" s="584"/>
      <c r="T47" s="584"/>
      <c r="U47" s="584"/>
      <c r="V47" s="584"/>
      <c r="W47" s="584"/>
      <c r="X47" s="584"/>
      <c r="Y47" s="584"/>
      <c r="Z47" s="584"/>
      <c r="AA47" s="584"/>
      <c r="AB47" s="584"/>
      <c r="AC47" s="584"/>
      <c r="AD47" s="585"/>
      <c r="AF47" s="556">
        <f t="shared" si="0"/>
        <v>0</v>
      </c>
      <c r="AG47" s="557">
        <f t="shared" si="1"/>
        <v>0</v>
      </c>
      <c r="AH47" s="557">
        <f t="shared" si="2"/>
        <v>0</v>
      </c>
      <c r="AI47" s="557">
        <f t="shared" si="3"/>
        <v>0</v>
      </c>
      <c r="AJ47" s="557">
        <f t="shared" si="4"/>
        <v>0</v>
      </c>
      <c r="AK47" s="557">
        <f t="shared" si="5"/>
        <v>0</v>
      </c>
      <c r="AL47" s="557">
        <f t="shared" si="6"/>
        <v>0</v>
      </c>
      <c r="AM47" s="557">
        <f t="shared" si="7"/>
        <v>0</v>
      </c>
      <c r="AN47" s="557">
        <f t="shared" si="8"/>
        <v>0</v>
      </c>
      <c r="AO47" s="557">
        <f t="shared" si="9"/>
        <v>0</v>
      </c>
      <c r="AP47" s="557">
        <f t="shared" si="10"/>
        <v>0</v>
      </c>
      <c r="AQ47" s="557">
        <f t="shared" si="11"/>
        <v>0</v>
      </c>
      <c r="AR47" s="557">
        <f t="shared" si="12"/>
        <v>0</v>
      </c>
      <c r="AS47" s="469">
        <f t="shared" si="13"/>
        <v>0</v>
      </c>
    </row>
    <row r="48" spans="2:45" s="458" customFormat="1" x14ac:dyDescent="0.2">
      <c r="B48" s="464"/>
      <c r="C48" s="579"/>
      <c r="D48" s="586"/>
      <c r="E48" s="587"/>
      <c r="F48" s="587"/>
      <c r="G48" s="587"/>
      <c r="H48" s="587"/>
      <c r="I48" s="587"/>
      <c r="J48" s="587"/>
      <c r="K48" s="587"/>
      <c r="L48" s="587"/>
      <c r="M48" s="587"/>
      <c r="N48" s="587"/>
      <c r="O48" s="587"/>
      <c r="P48" s="588"/>
      <c r="Q48" s="599"/>
      <c r="R48" s="583"/>
      <c r="S48" s="584"/>
      <c r="T48" s="584"/>
      <c r="U48" s="584"/>
      <c r="V48" s="584"/>
      <c r="W48" s="584"/>
      <c r="X48" s="584"/>
      <c r="Y48" s="584"/>
      <c r="Z48" s="584"/>
      <c r="AA48" s="584"/>
      <c r="AB48" s="584"/>
      <c r="AC48" s="584"/>
      <c r="AD48" s="585"/>
      <c r="AF48" s="556">
        <f t="shared" si="0"/>
        <v>0</v>
      </c>
      <c r="AG48" s="557">
        <f t="shared" si="1"/>
        <v>0</v>
      </c>
      <c r="AH48" s="557">
        <f t="shared" si="2"/>
        <v>0</v>
      </c>
      <c r="AI48" s="557">
        <f t="shared" si="3"/>
        <v>0</v>
      </c>
      <c r="AJ48" s="557">
        <f t="shared" si="4"/>
        <v>0</v>
      </c>
      <c r="AK48" s="557">
        <f t="shared" si="5"/>
        <v>0</v>
      </c>
      <c r="AL48" s="557">
        <f t="shared" si="6"/>
        <v>0</v>
      </c>
      <c r="AM48" s="557">
        <f t="shared" si="7"/>
        <v>0</v>
      </c>
      <c r="AN48" s="557">
        <f t="shared" si="8"/>
        <v>0</v>
      </c>
      <c r="AO48" s="557">
        <f t="shared" si="9"/>
        <v>0</v>
      </c>
      <c r="AP48" s="557">
        <f t="shared" si="10"/>
        <v>0</v>
      </c>
      <c r="AQ48" s="557">
        <f t="shared" si="11"/>
        <v>0</v>
      </c>
      <c r="AR48" s="557">
        <f t="shared" si="12"/>
        <v>0</v>
      </c>
      <c r="AS48" s="469">
        <f t="shared" si="13"/>
        <v>0</v>
      </c>
    </row>
    <row r="49" spans="2:45" s="458" customFormat="1" x14ac:dyDescent="0.2">
      <c r="B49" s="464"/>
      <c r="C49" s="579"/>
      <c r="D49" s="586"/>
      <c r="E49" s="587"/>
      <c r="F49" s="587"/>
      <c r="G49" s="587"/>
      <c r="H49" s="587"/>
      <c r="I49" s="587"/>
      <c r="J49" s="587"/>
      <c r="K49" s="587"/>
      <c r="L49" s="587"/>
      <c r="M49" s="587"/>
      <c r="N49" s="587"/>
      <c r="O49" s="587"/>
      <c r="P49" s="588"/>
      <c r="Q49" s="599"/>
      <c r="R49" s="583"/>
      <c r="S49" s="584"/>
      <c r="T49" s="584"/>
      <c r="U49" s="584"/>
      <c r="V49" s="584"/>
      <c r="W49" s="584"/>
      <c r="X49" s="584"/>
      <c r="Y49" s="584"/>
      <c r="Z49" s="584"/>
      <c r="AA49" s="584"/>
      <c r="AB49" s="584"/>
      <c r="AC49" s="584"/>
      <c r="AD49" s="585"/>
      <c r="AF49" s="556">
        <f t="shared" si="0"/>
        <v>0</v>
      </c>
      <c r="AG49" s="557">
        <f t="shared" si="1"/>
        <v>0</v>
      </c>
      <c r="AH49" s="557">
        <f t="shared" si="2"/>
        <v>0</v>
      </c>
      <c r="AI49" s="557">
        <f t="shared" si="3"/>
        <v>0</v>
      </c>
      <c r="AJ49" s="557">
        <f t="shared" si="4"/>
        <v>0</v>
      </c>
      <c r="AK49" s="557">
        <f t="shared" si="5"/>
        <v>0</v>
      </c>
      <c r="AL49" s="557">
        <f t="shared" si="6"/>
        <v>0</v>
      </c>
      <c r="AM49" s="557">
        <f t="shared" si="7"/>
        <v>0</v>
      </c>
      <c r="AN49" s="557">
        <f t="shared" si="8"/>
        <v>0</v>
      </c>
      <c r="AO49" s="557">
        <f t="shared" si="9"/>
        <v>0</v>
      </c>
      <c r="AP49" s="557">
        <f t="shared" si="10"/>
        <v>0</v>
      </c>
      <c r="AQ49" s="557">
        <f t="shared" si="11"/>
        <v>0</v>
      </c>
      <c r="AR49" s="557">
        <f t="shared" si="12"/>
        <v>0</v>
      </c>
      <c r="AS49" s="469">
        <f t="shared" si="13"/>
        <v>0</v>
      </c>
    </row>
    <row r="50" spans="2:45" s="458" customFormat="1" x14ac:dyDescent="0.2">
      <c r="B50" s="464"/>
      <c r="C50" s="579"/>
      <c r="D50" s="586"/>
      <c r="E50" s="587"/>
      <c r="F50" s="587"/>
      <c r="G50" s="587"/>
      <c r="H50" s="587"/>
      <c r="I50" s="587"/>
      <c r="J50" s="587"/>
      <c r="K50" s="587"/>
      <c r="L50" s="587"/>
      <c r="M50" s="587"/>
      <c r="N50" s="587"/>
      <c r="O50" s="587"/>
      <c r="P50" s="588"/>
      <c r="Q50" s="599"/>
      <c r="R50" s="583"/>
      <c r="S50" s="584"/>
      <c r="T50" s="584"/>
      <c r="U50" s="584"/>
      <c r="V50" s="584"/>
      <c r="W50" s="584"/>
      <c r="X50" s="584"/>
      <c r="Y50" s="584"/>
      <c r="Z50" s="584"/>
      <c r="AA50" s="584"/>
      <c r="AB50" s="584"/>
      <c r="AC50" s="584"/>
      <c r="AD50" s="585"/>
      <c r="AF50" s="556">
        <f t="shared" si="0"/>
        <v>0</v>
      </c>
      <c r="AG50" s="557">
        <f t="shared" si="1"/>
        <v>0</v>
      </c>
      <c r="AH50" s="557">
        <f t="shared" si="2"/>
        <v>0</v>
      </c>
      <c r="AI50" s="557">
        <f t="shared" si="3"/>
        <v>0</v>
      </c>
      <c r="AJ50" s="557">
        <f t="shared" si="4"/>
        <v>0</v>
      </c>
      <c r="AK50" s="557">
        <f t="shared" si="5"/>
        <v>0</v>
      </c>
      <c r="AL50" s="557">
        <f t="shared" si="6"/>
        <v>0</v>
      </c>
      <c r="AM50" s="557">
        <f t="shared" si="7"/>
        <v>0</v>
      </c>
      <c r="AN50" s="557">
        <f t="shared" si="8"/>
        <v>0</v>
      </c>
      <c r="AO50" s="557">
        <f t="shared" si="9"/>
        <v>0</v>
      </c>
      <c r="AP50" s="557">
        <f t="shared" si="10"/>
        <v>0</v>
      </c>
      <c r="AQ50" s="557">
        <f t="shared" si="11"/>
        <v>0</v>
      </c>
      <c r="AR50" s="557">
        <f t="shared" si="12"/>
        <v>0</v>
      </c>
      <c r="AS50" s="469">
        <f t="shared" si="13"/>
        <v>0</v>
      </c>
    </row>
    <row r="51" spans="2:45" s="458" customFormat="1" x14ac:dyDescent="0.2">
      <c r="B51" s="464"/>
      <c r="C51" s="579"/>
      <c r="D51" s="586"/>
      <c r="E51" s="587"/>
      <c r="F51" s="587"/>
      <c r="G51" s="587"/>
      <c r="H51" s="587"/>
      <c r="I51" s="587"/>
      <c r="J51" s="587"/>
      <c r="K51" s="587"/>
      <c r="L51" s="587"/>
      <c r="M51" s="587"/>
      <c r="N51" s="587"/>
      <c r="O51" s="587"/>
      <c r="P51" s="588"/>
      <c r="Q51" s="599"/>
      <c r="R51" s="583"/>
      <c r="S51" s="584"/>
      <c r="T51" s="584"/>
      <c r="U51" s="584"/>
      <c r="V51" s="584"/>
      <c r="W51" s="584"/>
      <c r="X51" s="584"/>
      <c r="Y51" s="584"/>
      <c r="Z51" s="584"/>
      <c r="AA51" s="584"/>
      <c r="AB51" s="584"/>
      <c r="AC51" s="584"/>
      <c r="AD51" s="585"/>
      <c r="AF51" s="556">
        <f t="shared" si="0"/>
        <v>0</v>
      </c>
      <c r="AG51" s="557">
        <f t="shared" si="1"/>
        <v>0</v>
      </c>
      <c r="AH51" s="557">
        <f t="shared" si="2"/>
        <v>0</v>
      </c>
      <c r="AI51" s="557">
        <f t="shared" si="3"/>
        <v>0</v>
      </c>
      <c r="AJ51" s="557">
        <f t="shared" si="4"/>
        <v>0</v>
      </c>
      <c r="AK51" s="557">
        <f t="shared" si="5"/>
        <v>0</v>
      </c>
      <c r="AL51" s="557">
        <f t="shared" si="6"/>
        <v>0</v>
      </c>
      <c r="AM51" s="557">
        <f t="shared" si="7"/>
        <v>0</v>
      </c>
      <c r="AN51" s="557">
        <f t="shared" si="8"/>
        <v>0</v>
      </c>
      <c r="AO51" s="557">
        <f t="shared" si="9"/>
        <v>0</v>
      </c>
      <c r="AP51" s="557">
        <f t="shared" si="10"/>
        <v>0</v>
      </c>
      <c r="AQ51" s="557">
        <f t="shared" si="11"/>
        <v>0</v>
      </c>
      <c r="AR51" s="557">
        <f t="shared" si="12"/>
        <v>0</v>
      </c>
      <c r="AS51" s="469">
        <f t="shared" si="13"/>
        <v>0</v>
      </c>
    </row>
    <row r="52" spans="2:45" s="458" customFormat="1" x14ac:dyDescent="0.2">
      <c r="B52" s="464"/>
      <c r="C52" s="579"/>
      <c r="D52" s="586"/>
      <c r="E52" s="587"/>
      <c r="F52" s="587"/>
      <c r="G52" s="587"/>
      <c r="H52" s="587"/>
      <c r="I52" s="587"/>
      <c r="J52" s="587"/>
      <c r="K52" s="587"/>
      <c r="L52" s="587"/>
      <c r="M52" s="587"/>
      <c r="N52" s="587"/>
      <c r="O52" s="587"/>
      <c r="P52" s="588"/>
      <c r="Q52" s="599"/>
      <c r="R52" s="583"/>
      <c r="S52" s="584"/>
      <c r="T52" s="584"/>
      <c r="U52" s="584"/>
      <c r="V52" s="584"/>
      <c r="W52" s="584"/>
      <c r="X52" s="584"/>
      <c r="Y52" s="584"/>
      <c r="Z52" s="584"/>
      <c r="AA52" s="584"/>
      <c r="AB52" s="584"/>
      <c r="AC52" s="584"/>
      <c r="AD52" s="585"/>
      <c r="AF52" s="556">
        <f t="shared" si="0"/>
        <v>0</v>
      </c>
      <c r="AG52" s="557">
        <f t="shared" si="1"/>
        <v>0</v>
      </c>
      <c r="AH52" s="557">
        <f t="shared" si="2"/>
        <v>0</v>
      </c>
      <c r="AI52" s="557">
        <f t="shared" si="3"/>
        <v>0</v>
      </c>
      <c r="AJ52" s="557">
        <f t="shared" si="4"/>
        <v>0</v>
      </c>
      <c r="AK52" s="557">
        <f t="shared" si="5"/>
        <v>0</v>
      </c>
      <c r="AL52" s="557">
        <f t="shared" si="6"/>
        <v>0</v>
      </c>
      <c r="AM52" s="557">
        <f t="shared" si="7"/>
        <v>0</v>
      </c>
      <c r="AN52" s="557">
        <f t="shared" si="8"/>
        <v>0</v>
      </c>
      <c r="AO52" s="557">
        <f t="shared" si="9"/>
        <v>0</v>
      </c>
      <c r="AP52" s="557">
        <f t="shared" si="10"/>
        <v>0</v>
      </c>
      <c r="AQ52" s="557">
        <f t="shared" si="11"/>
        <v>0</v>
      </c>
      <c r="AR52" s="557">
        <f t="shared" si="12"/>
        <v>0</v>
      </c>
      <c r="AS52" s="469">
        <f t="shared" si="13"/>
        <v>0</v>
      </c>
    </row>
    <row r="53" spans="2:45" s="458" customFormat="1" x14ac:dyDescent="0.2">
      <c r="B53" s="464"/>
      <c r="C53" s="579"/>
      <c r="D53" s="586"/>
      <c r="E53" s="587"/>
      <c r="F53" s="587"/>
      <c r="G53" s="587"/>
      <c r="H53" s="587"/>
      <c r="I53" s="587"/>
      <c r="J53" s="587"/>
      <c r="K53" s="587"/>
      <c r="L53" s="587"/>
      <c r="M53" s="587"/>
      <c r="N53" s="587"/>
      <c r="O53" s="587"/>
      <c r="P53" s="588"/>
      <c r="Q53" s="599"/>
      <c r="R53" s="583"/>
      <c r="S53" s="584"/>
      <c r="T53" s="584"/>
      <c r="U53" s="584"/>
      <c r="V53" s="584"/>
      <c r="W53" s="584"/>
      <c r="X53" s="584"/>
      <c r="Y53" s="584"/>
      <c r="Z53" s="584"/>
      <c r="AA53" s="584"/>
      <c r="AB53" s="584"/>
      <c r="AC53" s="584"/>
      <c r="AD53" s="585"/>
      <c r="AF53" s="556">
        <f t="shared" si="0"/>
        <v>0</v>
      </c>
      <c r="AG53" s="557">
        <f t="shared" si="1"/>
        <v>0</v>
      </c>
      <c r="AH53" s="557">
        <f t="shared" si="2"/>
        <v>0</v>
      </c>
      <c r="AI53" s="557">
        <f t="shared" si="3"/>
        <v>0</v>
      </c>
      <c r="AJ53" s="557">
        <f t="shared" si="4"/>
        <v>0</v>
      </c>
      <c r="AK53" s="557">
        <f t="shared" si="5"/>
        <v>0</v>
      </c>
      <c r="AL53" s="557">
        <f t="shared" si="6"/>
        <v>0</v>
      </c>
      <c r="AM53" s="557">
        <f t="shared" si="7"/>
        <v>0</v>
      </c>
      <c r="AN53" s="557">
        <f t="shared" si="8"/>
        <v>0</v>
      </c>
      <c r="AO53" s="557">
        <f t="shared" si="9"/>
        <v>0</v>
      </c>
      <c r="AP53" s="557">
        <f t="shared" si="10"/>
        <v>0</v>
      </c>
      <c r="AQ53" s="557">
        <f t="shared" si="11"/>
        <v>0</v>
      </c>
      <c r="AR53" s="557">
        <f t="shared" si="12"/>
        <v>0</v>
      </c>
      <c r="AS53" s="469">
        <f t="shared" si="13"/>
        <v>0</v>
      </c>
    </row>
    <row r="54" spans="2:45" s="458" customFormat="1" x14ac:dyDescent="0.2">
      <c r="B54" s="464"/>
      <c r="C54" s="579"/>
      <c r="D54" s="586"/>
      <c r="E54" s="587"/>
      <c r="F54" s="587"/>
      <c r="G54" s="587"/>
      <c r="H54" s="587"/>
      <c r="I54" s="587"/>
      <c r="J54" s="587"/>
      <c r="K54" s="587"/>
      <c r="L54" s="587"/>
      <c r="M54" s="587"/>
      <c r="N54" s="587"/>
      <c r="O54" s="587"/>
      <c r="P54" s="588"/>
      <c r="Q54" s="599"/>
      <c r="R54" s="583"/>
      <c r="S54" s="584"/>
      <c r="T54" s="584"/>
      <c r="U54" s="584"/>
      <c r="V54" s="584"/>
      <c r="W54" s="584"/>
      <c r="X54" s="584"/>
      <c r="Y54" s="584"/>
      <c r="Z54" s="584"/>
      <c r="AA54" s="584"/>
      <c r="AB54" s="584"/>
      <c r="AC54" s="584"/>
      <c r="AD54" s="585"/>
      <c r="AF54" s="556">
        <f t="shared" si="0"/>
        <v>0</v>
      </c>
      <c r="AG54" s="557">
        <f t="shared" si="1"/>
        <v>0</v>
      </c>
      <c r="AH54" s="557">
        <f t="shared" si="2"/>
        <v>0</v>
      </c>
      <c r="AI54" s="557">
        <f t="shared" si="3"/>
        <v>0</v>
      </c>
      <c r="AJ54" s="557">
        <f t="shared" si="4"/>
        <v>0</v>
      </c>
      <c r="AK54" s="557">
        <f t="shared" si="5"/>
        <v>0</v>
      </c>
      <c r="AL54" s="557">
        <f t="shared" si="6"/>
        <v>0</v>
      </c>
      <c r="AM54" s="557">
        <f t="shared" si="7"/>
        <v>0</v>
      </c>
      <c r="AN54" s="557">
        <f t="shared" si="8"/>
        <v>0</v>
      </c>
      <c r="AO54" s="557">
        <f t="shared" si="9"/>
        <v>0</v>
      </c>
      <c r="AP54" s="557">
        <f t="shared" si="10"/>
        <v>0</v>
      </c>
      <c r="AQ54" s="557">
        <f t="shared" si="11"/>
        <v>0</v>
      </c>
      <c r="AR54" s="557">
        <f t="shared" si="12"/>
        <v>0</v>
      </c>
      <c r="AS54" s="469">
        <f t="shared" si="13"/>
        <v>0</v>
      </c>
    </row>
    <row r="55" spans="2:45" s="458" customFormat="1" x14ac:dyDescent="0.2">
      <c r="B55" s="464"/>
      <c r="C55" s="579"/>
      <c r="D55" s="586"/>
      <c r="E55" s="587"/>
      <c r="F55" s="587"/>
      <c r="G55" s="587"/>
      <c r="H55" s="587"/>
      <c r="I55" s="587"/>
      <c r="J55" s="587"/>
      <c r="K55" s="587"/>
      <c r="L55" s="587"/>
      <c r="M55" s="587"/>
      <c r="N55" s="587"/>
      <c r="O55" s="587"/>
      <c r="P55" s="588"/>
      <c r="Q55" s="599"/>
      <c r="R55" s="583"/>
      <c r="S55" s="584"/>
      <c r="T55" s="584"/>
      <c r="U55" s="584"/>
      <c r="V55" s="584"/>
      <c r="W55" s="584"/>
      <c r="X55" s="584"/>
      <c r="Y55" s="584"/>
      <c r="Z55" s="584"/>
      <c r="AA55" s="584"/>
      <c r="AB55" s="584"/>
      <c r="AC55" s="584"/>
      <c r="AD55" s="585"/>
      <c r="AF55" s="556">
        <f t="shared" si="0"/>
        <v>0</v>
      </c>
      <c r="AG55" s="557">
        <f t="shared" si="1"/>
        <v>0</v>
      </c>
      <c r="AH55" s="557">
        <f t="shared" si="2"/>
        <v>0</v>
      </c>
      <c r="AI55" s="557">
        <f t="shared" si="3"/>
        <v>0</v>
      </c>
      <c r="AJ55" s="557">
        <f t="shared" si="4"/>
        <v>0</v>
      </c>
      <c r="AK55" s="557">
        <f t="shared" si="5"/>
        <v>0</v>
      </c>
      <c r="AL55" s="557">
        <f t="shared" si="6"/>
        <v>0</v>
      </c>
      <c r="AM55" s="557">
        <f t="shared" si="7"/>
        <v>0</v>
      </c>
      <c r="AN55" s="557">
        <f t="shared" si="8"/>
        <v>0</v>
      </c>
      <c r="AO55" s="557">
        <f t="shared" si="9"/>
        <v>0</v>
      </c>
      <c r="AP55" s="557">
        <f t="shared" si="10"/>
        <v>0</v>
      </c>
      <c r="AQ55" s="557">
        <f t="shared" si="11"/>
        <v>0</v>
      </c>
      <c r="AR55" s="557">
        <f t="shared" si="12"/>
        <v>0</v>
      </c>
      <c r="AS55" s="469">
        <f t="shared" si="13"/>
        <v>0</v>
      </c>
    </row>
    <row r="56" spans="2:45" s="458" customFormat="1" x14ac:dyDescent="0.2">
      <c r="B56" s="464"/>
      <c r="C56" s="579"/>
      <c r="D56" s="586"/>
      <c r="E56" s="587"/>
      <c r="F56" s="587"/>
      <c r="G56" s="587"/>
      <c r="H56" s="587"/>
      <c r="I56" s="587"/>
      <c r="J56" s="587"/>
      <c r="K56" s="587"/>
      <c r="L56" s="587"/>
      <c r="M56" s="587"/>
      <c r="N56" s="587"/>
      <c r="O56" s="587"/>
      <c r="P56" s="588"/>
      <c r="Q56" s="599"/>
      <c r="R56" s="583"/>
      <c r="S56" s="584"/>
      <c r="T56" s="584"/>
      <c r="U56" s="584"/>
      <c r="V56" s="584"/>
      <c r="W56" s="584"/>
      <c r="X56" s="584"/>
      <c r="Y56" s="584"/>
      <c r="Z56" s="584"/>
      <c r="AA56" s="584"/>
      <c r="AB56" s="584"/>
      <c r="AC56" s="584"/>
      <c r="AD56" s="585"/>
      <c r="AF56" s="556">
        <f t="shared" si="0"/>
        <v>0</v>
      </c>
      <c r="AG56" s="557">
        <f t="shared" si="1"/>
        <v>0</v>
      </c>
      <c r="AH56" s="557">
        <f t="shared" si="2"/>
        <v>0</v>
      </c>
      <c r="AI56" s="557">
        <f t="shared" si="3"/>
        <v>0</v>
      </c>
      <c r="AJ56" s="557">
        <f t="shared" si="4"/>
        <v>0</v>
      </c>
      <c r="AK56" s="557">
        <f t="shared" si="5"/>
        <v>0</v>
      </c>
      <c r="AL56" s="557">
        <f t="shared" si="6"/>
        <v>0</v>
      </c>
      <c r="AM56" s="557">
        <f t="shared" si="7"/>
        <v>0</v>
      </c>
      <c r="AN56" s="557">
        <f t="shared" si="8"/>
        <v>0</v>
      </c>
      <c r="AO56" s="557">
        <f t="shared" si="9"/>
        <v>0</v>
      </c>
      <c r="AP56" s="557">
        <f t="shared" si="10"/>
        <v>0</v>
      </c>
      <c r="AQ56" s="557">
        <f t="shared" si="11"/>
        <v>0</v>
      </c>
      <c r="AR56" s="557">
        <f t="shared" si="12"/>
        <v>0</v>
      </c>
      <c r="AS56" s="469">
        <f t="shared" si="13"/>
        <v>0</v>
      </c>
    </row>
    <row r="57" spans="2:45" s="458" customFormat="1" x14ac:dyDescent="0.2">
      <c r="B57" s="464"/>
      <c r="C57" s="579"/>
      <c r="D57" s="586"/>
      <c r="E57" s="587"/>
      <c r="F57" s="587"/>
      <c r="G57" s="587"/>
      <c r="H57" s="587"/>
      <c r="I57" s="587"/>
      <c r="J57" s="587"/>
      <c r="K57" s="587"/>
      <c r="L57" s="587"/>
      <c r="M57" s="587"/>
      <c r="N57" s="587"/>
      <c r="O57" s="587"/>
      <c r="P57" s="588"/>
      <c r="Q57" s="599"/>
      <c r="R57" s="583"/>
      <c r="S57" s="584"/>
      <c r="T57" s="584"/>
      <c r="U57" s="584"/>
      <c r="V57" s="584"/>
      <c r="W57" s="584"/>
      <c r="X57" s="584"/>
      <c r="Y57" s="584"/>
      <c r="Z57" s="584"/>
      <c r="AA57" s="584"/>
      <c r="AB57" s="584"/>
      <c r="AC57" s="584"/>
      <c r="AD57" s="585"/>
      <c r="AF57" s="556">
        <f t="shared" si="0"/>
        <v>0</v>
      </c>
      <c r="AG57" s="557">
        <f t="shared" si="1"/>
        <v>0</v>
      </c>
      <c r="AH57" s="557">
        <f t="shared" si="2"/>
        <v>0</v>
      </c>
      <c r="AI57" s="557">
        <f t="shared" si="3"/>
        <v>0</v>
      </c>
      <c r="AJ57" s="557">
        <f t="shared" si="4"/>
        <v>0</v>
      </c>
      <c r="AK57" s="557">
        <f t="shared" si="5"/>
        <v>0</v>
      </c>
      <c r="AL57" s="557">
        <f t="shared" si="6"/>
        <v>0</v>
      </c>
      <c r="AM57" s="557">
        <f t="shared" si="7"/>
        <v>0</v>
      </c>
      <c r="AN57" s="557">
        <f t="shared" si="8"/>
        <v>0</v>
      </c>
      <c r="AO57" s="557">
        <f t="shared" si="9"/>
        <v>0</v>
      </c>
      <c r="AP57" s="557">
        <f t="shared" si="10"/>
        <v>0</v>
      </c>
      <c r="AQ57" s="557">
        <f t="shared" si="11"/>
        <v>0</v>
      </c>
      <c r="AR57" s="557">
        <f t="shared" si="12"/>
        <v>0</v>
      </c>
      <c r="AS57" s="469">
        <f t="shared" si="13"/>
        <v>0</v>
      </c>
    </row>
    <row r="58" spans="2:45" s="458" customFormat="1" x14ac:dyDescent="0.2">
      <c r="B58" s="464"/>
      <c r="C58" s="579"/>
      <c r="D58" s="586"/>
      <c r="E58" s="587"/>
      <c r="F58" s="587"/>
      <c r="G58" s="587"/>
      <c r="H58" s="587"/>
      <c r="I58" s="587"/>
      <c r="J58" s="587"/>
      <c r="K58" s="587"/>
      <c r="L58" s="587"/>
      <c r="M58" s="587"/>
      <c r="N58" s="587"/>
      <c r="O58" s="587"/>
      <c r="P58" s="588"/>
      <c r="Q58" s="599"/>
      <c r="R58" s="583"/>
      <c r="S58" s="584"/>
      <c r="T58" s="584"/>
      <c r="U58" s="584"/>
      <c r="V58" s="584"/>
      <c r="W58" s="584"/>
      <c r="X58" s="584"/>
      <c r="Y58" s="584"/>
      <c r="Z58" s="584"/>
      <c r="AA58" s="584"/>
      <c r="AB58" s="584"/>
      <c r="AC58" s="584"/>
      <c r="AD58" s="585"/>
      <c r="AF58" s="556">
        <f t="shared" si="0"/>
        <v>0</v>
      </c>
      <c r="AG58" s="557">
        <f t="shared" si="1"/>
        <v>0</v>
      </c>
      <c r="AH58" s="557">
        <f t="shared" si="2"/>
        <v>0</v>
      </c>
      <c r="AI58" s="557">
        <f t="shared" si="3"/>
        <v>0</v>
      </c>
      <c r="AJ58" s="557">
        <f t="shared" si="4"/>
        <v>0</v>
      </c>
      <c r="AK58" s="557">
        <f t="shared" si="5"/>
        <v>0</v>
      </c>
      <c r="AL58" s="557">
        <f t="shared" si="6"/>
        <v>0</v>
      </c>
      <c r="AM58" s="557">
        <f t="shared" si="7"/>
        <v>0</v>
      </c>
      <c r="AN58" s="557">
        <f t="shared" si="8"/>
        <v>0</v>
      </c>
      <c r="AO58" s="557">
        <f t="shared" si="9"/>
        <v>0</v>
      </c>
      <c r="AP58" s="557">
        <f t="shared" si="10"/>
        <v>0</v>
      </c>
      <c r="AQ58" s="557">
        <f t="shared" si="11"/>
        <v>0</v>
      </c>
      <c r="AR58" s="557">
        <f t="shared" si="12"/>
        <v>0</v>
      </c>
      <c r="AS58" s="469">
        <f t="shared" si="13"/>
        <v>0</v>
      </c>
    </row>
    <row r="59" spans="2:45" s="458" customFormat="1" x14ac:dyDescent="0.2">
      <c r="B59" s="464"/>
      <c r="C59" s="579"/>
      <c r="D59" s="586"/>
      <c r="E59" s="587"/>
      <c r="F59" s="587"/>
      <c r="G59" s="587"/>
      <c r="H59" s="587"/>
      <c r="I59" s="587"/>
      <c r="J59" s="587"/>
      <c r="K59" s="587"/>
      <c r="L59" s="587"/>
      <c r="M59" s="587"/>
      <c r="N59" s="587"/>
      <c r="O59" s="587"/>
      <c r="P59" s="588"/>
      <c r="Q59" s="599"/>
      <c r="R59" s="583"/>
      <c r="S59" s="584"/>
      <c r="T59" s="584"/>
      <c r="U59" s="584"/>
      <c r="V59" s="584"/>
      <c r="W59" s="584"/>
      <c r="X59" s="584"/>
      <c r="Y59" s="584"/>
      <c r="Z59" s="584"/>
      <c r="AA59" s="584"/>
      <c r="AB59" s="584"/>
      <c r="AC59" s="584"/>
      <c r="AD59" s="585"/>
      <c r="AF59" s="556">
        <f t="shared" si="0"/>
        <v>0</v>
      </c>
      <c r="AG59" s="557">
        <f t="shared" si="1"/>
        <v>0</v>
      </c>
      <c r="AH59" s="557">
        <f t="shared" si="2"/>
        <v>0</v>
      </c>
      <c r="AI59" s="557">
        <f t="shared" si="3"/>
        <v>0</v>
      </c>
      <c r="AJ59" s="557">
        <f t="shared" si="4"/>
        <v>0</v>
      </c>
      <c r="AK59" s="557">
        <f t="shared" si="5"/>
        <v>0</v>
      </c>
      <c r="AL59" s="557">
        <f t="shared" si="6"/>
        <v>0</v>
      </c>
      <c r="AM59" s="557">
        <f t="shared" si="7"/>
        <v>0</v>
      </c>
      <c r="AN59" s="557">
        <f t="shared" si="8"/>
        <v>0</v>
      </c>
      <c r="AO59" s="557">
        <f t="shared" si="9"/>
        <v>0</v>
      </c>
      <c r="AP59" s="557">
        <f t="shared" si="10"/>
        <v>0</v>
      </c>
      <c r="AQ59" s="557">
        <f t="shared" si="11"/>
        <v>0</v>
      </c>
      <c r="AR59" s="557">
        <f t="shared" si="12"/>
        <v>0</v>
      </c>
      <c r="AS59" s="469">
        <f t="shared" si="13"/>
        <v>0</v>
      </c>
    </row>
    <row r="60" spans="2:45" s="458" customFormat="1" x14ac:dyDescent="0.2">
      <c r="B60" s="464"/>
      <c r="C60" s="579"/>
      <c r="D60" s="586"/>
      <c r="E60" s="587"/>
      <c r="F60" s="587"/>
      <c r="G60" s="587"/>
      <c r="H60" s="587"/>
      <c r="I60" s="587"/>
      <c r="J60" s="587"/>
      <c r="K60" s="587"/>
      <c r="L60" s="587"/>
      <c r="M60" s="587"/>
      <c r="N60" s="587"/>
      <c r="O60" s="587"/>
      <c r="P60" s="588"/>
      <c r="Q60" s="599"/>
      <c r="R60" s="583"/>
      <c r="S60" s="584"/>
      <c r="T60" s="584"/>
      <c r="U60" s="584"/>
      <c r="V60" s="584"/>
      <c r="W60" s="584"/>
      <c r="X60" s="584"/>
      <c r="Y60" s="584"/>
      <c r="Z60" s="584"/>
      <c r="AA60" s="584"/>
      <c r="AB60" s="584"/>
      <c r="AC60" s="584"/>
      <c r="AD60" s="585"/>
      <c r="AF60" s="556">
        <f t="shared" si="0"/>
        <v>0</v>
      </c>
      <c r="AG60" s="557">
        <f t="shared" si="1"/>
        <v>0</v>
      </c>
      <c r="AH60" s="557">
        <f t="shared" si="2"/>
        <v>0</v>
      </c>
      <c r="AI60" s="557">
        <f t="shared" si="3"/>
        <v>0</v>
      </c>
      <c r="AJ60" s="557">
        <f t="shared" si="4"/>
        <v>0</v>
      </c>
      <c r="AK60" s="557">
        <f t="shared" si="5"/>
        <v>0</v>
      </c>
      <c r="AL60" s="557">
        <f t="shared" si="6"/>
        <v>0</v>
      </c>
      <c r="AM60" s="557">
        <f t="shared" si="7"/>
        <v>0</v>
      </c>
      <c r="AN60" s="557">
        <f t="shared" si="8"/>
        <v>0</v>
      </c>
      <c r="AO60" s="557">
        <f t="shared" si="9"/>
        <v>0</v>
      </c>
      <c r="AP60" s="557">
        <f t="shared" si="10"/>
        <v>0</v>
      </c>
      <c r="AQ60" s="557">
        <f t="shared" si="11"/>
        <v>0</v>
      </c>
      <c r="AR60" s="557">
        <f t="shared" si="12"/>
        <v>0</v>
      </c>
      <c r="AS60" s="469">
        <f t="shared" si="13"/>
        <v>0</v>
      </c>
    </row>
    <row r="61" spans="2:45" s="458" customFormat="1" x14ac:dyDescent="0.2">
      <c r="B61" s="464"/>
      <c r="C61" s="579"/>
      <c r="D61" s="586"/>
      <c r="E61" s="587"/>
      <c r="F61" s="587"/>
      <c r="G61" s="587"/>
      <c r="H61" s="587"/>
      <c r="I61" s="587"/>
      <c r="J61" s="587"/>
      <c r="K61" s="587"/>
      <c r="L61" s="587"/>
      <c r="M61" s="587"/>
      <c r="N61" s="587"/>
      <c r="O61" s="587"/>
      <c r="P61" s="588"/>
      <c r="Q61" s="599"/>
      <c r="R61" s="583"/>
      <c r="S61" s="584"/>
      <c r="T61" s="584"/>
      <c r="U61" s="584"/>
      <c r="V61" s="584"/>
      <c r="W61" s="584"/>
      <c r="X61" s="584"/>
      <c r="Y61" s="584"/>
      <c r="Z61" s="584"/>
      <c r="AA61" s="584"/>
      <c r="AB61" s="584"/>
      <c r="AC61" s="584"/>
      <c r="AD61" s="585"/>
      <c r="AF61" s="556">
        <f t="shared" si="0"/>
        <v>0</v>
      </c>
      <c r="AG61" s="557">
        <f t="shared" si="1"/>
        <v>0</v>
      </c>
      <c r="AH61" s="557">
        <f t="shared" si="2"/>
        <v>0</v>
      </c>
      <c r="AI61" s="557">
        <f t="shared" si="3"/>
        <v>0</v>
      </c>
      <c r="AJ61" s="557">
        <f t="shared" si="4"/>
        <v>0</v>
      </c>
      <c r="AK61" s="557">
        <f t="shared" si="5"/>
        <v>0</v>
      </c>
      <c r="AL61" s="557">
        <f t="shared" si="6"/>
        <v>0</v>
      </c>
      <c r="AM61" s="557">
        <f t="shared" si="7"/>
        <v>0</v>
      </c>
      <c r="AN61" s="557">
        <f t="shared" si="8"/>
        <v>0</v>
      </c>
      <c r="AO61" s="557">
        <f t="shared" si="9"/>
        <v>0</v>
      </c>
      <c r="AP61" s="557">
        <f t="shared" si="10"/>
        <v>0</v>
      </c>
      <c r="AQ61" s="557">
        <f t="shared" si="11"/>
        <v>0</v>
      </c>
      <c r="AR61" s="557">
        <f t="shared" si="12"/>
        <v>0</v>
      </c>
      <c r="AS61" s="469">
        <f t="shared" si="13"/>
        <v>0</v>
      </c>
    </row>
    <row r="62" spans="2:45" s="458" customFormat="1" x14ac:dyDescent="0.2">
      <c r="B62" s="464"/>
      <c r="C62" s="579"/>
      <c r="D62" s="586"/>
      <c r="E62" s="587"/>
      <c r="F62" s="587"/>
      <c r="G62" s="587"/>
      <c r="H62" s="587"/>
      <c r="I62" s="587"/>
      <c r="J62" s="587"/>
      <c r="K62" s="587"/>
      <c r="L62" s="587"/>
      <c r="M62" s="587"/>
      <c r="N62" s="587"/>
      <c r="O62" s="587"/>
      <c r="P62" s="588"/>
      <c r="Q62" s="599"/>
      <c r="R62" s="583"/>
      <c r="S62" s="584"/>
      <c r="T62" s="584"/>
      <c r="U62" s="584"/>
      <c r="V62" s="584"/>
      <c r="W62" s="584"/>
      <c r="X62" s="584"/>
      <c r="Y62" s="584"/>
      <c r="Z62" s="584"/>
      <c r="AA62" s="584"/>
      <c r="AB62" s="584"/>
      <c r="AC62" s="584"/>
      <c r="AD62" s="585"/>
      <c r="AF62" s="556">
        <f t="shared" si="0"/>
        <v>0</v>
      </c>
      <c r="AG62" s="557">
        <f t="shared" si="1"/>
        <v>0</v>
      </c>
      <c r="AH62" s="557">
        <f t="shared" si="2"/>
        <v>0</v>
      </c>
      <c r="AI62" s="557">
        <f t="shared" si="3"/>
        <v>0</v>
      </c>
      <c r="AJ62" s="557">
        <f t="shared" si="4"/>
        <v>0</v>
      </c>
      <c r="AK62" s="557">
        <f t="shared" si="5"/>
        <v>0</v>
      </c>
      <c r="AL62" s="557">
        <f t="shared" si="6"/>
        <v>0</v>
      </c>
      <c r="AM62" s="557">
        <f t="shared" si="7"/>
        <v>0</v>
      </c>
      <c r="AN62" s="557">
        <f t="shared" si="8"/>
        <v>0</v>
      </c>
      <c r="AO62" s="557">
        <f t="shared" si="9"/>
        <v>0</v>
      </c>
      <c r="AP62" s="557">
        <f t="shared" si="10"/>
        <v>0</v>
      </c>
      <c r="AQ62" s="557">
        <f t="shared" si="11"/>
        <v>0</v>
      </c>
      <c r="AR62" s="557">
        <f t="shared" si="12"/>
        <v>0</v>
      </c>
      <c r="AS62" s="469">
        <f t="shared" si="13"/>
        <v>0</v>
      </c>
    </row>
    <row r="63" spans="2:45" s="458" customFormat="1" x14ac:dyDescent="0.2">
      <c r="B63" s="464"/>
      <c r="C63" s="579"/>
      <c r="D63" s="586"/>
      <c r="E63" s="587"/>
      <c r="F63" s="587"/>
      <c r="G63" s="587"/>
      <c r="H63" s="587"/>
      <c r="I63" s="587"/>
      <c r="J63" s="587"/>
      <c r="K63" s="587"/>
      <c r="L63" s="587"/>
      <c r="M63" s="587"/>
      <c r="N63" s="587"/>
      <c r="O63" s="587"/>
      <c r="P63" s="588"/>
      <c r="Q63" s="599"/>
      <c r="R63" s="583"/>
      <c r="S63" s="584"/>
      <c r="T63" s="584"/>
      <c r="U63" s="584"/>
      <c r="V63" s="584"/>
      <c r="W63" s="584"/>
      <c r="X63" s="584"/>
      <c r="Y63" s="584"/>
      <c r="Z63" s="584"/>
      <c r="AA63" s="584"/>
      <c r="AB63" s="584"/>
      <c r="AC63" s="584"/>
      <c r="AD63" s="585"/>
      <c r="AF63" s="556">
        <f t="shared" si="0"/>
        <v>0</v>
      </c>
      <c r="AG63" s="557">
        <f t="shared" si="1"/>
        <v>0</v>
      </c>
      <c r="AH63" s="557">
        <f t="shared" si="2"/>
        <v>0</v>
      </c>
      <c r="AI63" s="557">
        <f t="shared" si="3"/>
        <v>0</v>
      </c>
      <c r="AJ63" s="557">
        <f t="shared" si="4"/>
        <v>0</v>
      </c>
      <c r="AK63" s="557">
        <f t="shared" si="5"/>
        <v>0</v>
      </c>
      <c r="AL63" s="557">
        <f t="shared" si="6"/>
        <v>0</v>
      </c>
      <c r="AM63" s="557">
        <f t="shared" si="7"/>
        <v>0</v>
      </c>
      <c r="AN63" s="557">
        <f t="shared" si="8"/>
        <v>0</v>
      </c>
      <c r="AO63" s="557">
        <f t="shared" si="9"/>
        <v>0</v>
      </c>
      <c r="AP63" s="557">
        <f t="shared" si="10"/>
        <v>0</v>
      </c>
      <c r="AQ63" s="557">
        <f t="shared" si="11"/>
        <v>0</v>
      </c>
      <c r="AR63" s="557">
        <f t="shared" si="12"/>
        <v>0</v>
      </c>
      <c r="AS63" s="469">
        <f t="shared" si="13"/>
        <v>0</v>
      </c>
    </row>
    <row r="64" spans="2:45" s="458" customFormat="1" x14ac:dyDescent="0.2">
      <c r="B64" s="464"/>
      <c r="C64" s="579"/>
      <c r="D64" s="586"/>
      <c r="E64" s="587"/>
      <c r="F64" s="587"/>
      <c r="G64" s="587"/>
      <c r="H64" s="587"/>
      <c r="I64" s="587"/>
      <c r="J64" s="587"/>
      <c r="K64" s="587"/>
      <c r="L64" s="587"/>
      <c r="M64" s="587"/>
      <c r="N64" s="587"/>
      <c r="O64" s="587"/>
      <c r="P64" s="588"/>
      <c r="Q64" s="599"/>
      <c r="R64" s="583"/>
      <c r="S64" s="584"/>
      <c r="T64" s="584"/>
      <c r="U64" s="584"/>
      <c r="V64" s="584"/>
      <c r="W64" s="584"/>
      <c r="X64" s="584"/>
      <c r="Y64" s="584"/>
      <c r="Z64" s="584"/>
      <c r="AA64" s="584"/>
      <c r="AB64" s="584"/>
      <c r="AC64" s="584"/>
      <c r="AD64" s="585"/>
      <c r="AF64" s="556">
        <f t="shared" si="0"/>
        <v>0</v>
      </c>
      <c r="AG64" s="557">
        <f t="shared" si="1"/>
        <v>0</v>
      </c>
      <c r="AH64" s="557">
        <f t="shared" si="2"/>
        <v>0</v>
      </c>
      <c r="AI64" s="557">
        <f t="shared" si="3"/>
        <v>0</v>
      </c>
      <c r="AJ64" s="557">
        <f t="shared" si="4"/>
        <v>0</v>
      </c>
      <c r="AK64" s="557">
        <f t="shared" si="5"/>
        <v>0</v>
      </c>
      <c r="AL64" s="557">
        <f t="shared" si="6"/>
        <v>0</v>
      </c>
      <c r="AM64" s="557">
        <f t="shared" si="7"/>
        <v>0</v>
      </c>
      <c r="AN64" s="557">
        <f t="shared" si="8"/>
        <v>0</v>
      </c>
      <c r="AO64" s="557">
        <f t="shared" si="9"/>
        <v>0</v>
      </c>
      <c r="AP64" s="557">
        <f t="shared" si="10"/>
        <v>0</v>
      </c>
      <c r="AQ64" s="557">
        <f t="shared" si="11"/>
        <v>0</v>
      </c>
      <c r="AR64" s="557">
        <f t="shared" si="12"/>
        <v>0</v>
      </c>
      <c r="AS64" s="469">
        <f t="shared" si="13"/>
        <v>0</v>
      </c>
    </row>
    <row r="65" spans="2:45" s="458" customFormat="1" ht="13.5" thickBot="1" x14ac:dyDescent="0.25">
      <c r="B65" s="486"/>
      <c r="C65" s="589"/>
      <c r="D65" s="590"/>
      <c r="E65" s="591"/>
      <c r="F65" s="591"/>
      <c r="G65" s="591"/>
      <c r="H65" s="591"/>
      <c r="I65" s="591"/>
      <c r="J65" s="591"/>
      <c r="K65" s="591"/>
      <c r="L65" s="591"/>
      <c r="M65" s="591"/>
      <c r="N65" s="591"/>
      <c r="O65" s="591"/>
      <c r="P65" s="592"/>
      <c r="Q65" s="600"/>
      <c r="R65" s="593"/>
      <c r="S65" s="594"/>
      <c r="T65" s="594"/>
      <c r="U65" s="594"/>
      <c r="V65" s="594"/>
      <c r="W65" s="594"/>
      <c r="X65" s="594"/>
      <c r="Y65" s="594"/>
      <c r="Z65" s="594"/>
      <c r="AA65" s="594"/>
      <c r="AB65" s="594"/>
      <c r="AC65" s="594"/>
      <c r="AD65" s="595"/>
      <c r="AF65" s="565">
        <f t="shared" si="0"/>
        <v>0</v>
      </c>
      <c r="AG65" s="566">
        <f t="shared" si="1"/>
        <v>0</v>
      </c>
      <c r="AH65" s="566">
        <f t="shared" si="2"/>
        <v>0</v>
      </c>
      <c r="AI65" s="566">
        <f t="shared" si="3"/>
        <v>0</v>
      </c>
      <c r="AJ65" s="566">
        <f t="shared" si="4"/>
        <v>0</v>
      </c>
      <c r="AK65" s="566">
        <f t="shared" si="5"/>
        <v>0</v>
      </c>
      <c r="AL65" s="566">
        <f t="shared" si="6"/>
        <v>0</v>
      </c>
      <c r="AM65" s="566">
        <f t="shared" si="7"/>
        <v>0</v>
      </c>
      <c r="AN65" s="566">
        <f t="shared" si="8"/>
        <v>0</v>
      </c>
      <c r="AO65" s="566">
        <f t="shared" si="9"/>
        <v>0</v>
      </c>
      <c r="AP65" s="566">
        <f t="shared" si="10"/>
        <v>0</v>
      </c>
      <c r="AQ65" s="566">
        <f t="shared" si="11"/>
        <v>0</v>
      </c>
      <c r="AR65" s="566">
        <f t="shared" si="12"/>
        <v>0</v>
      </c>
      <c r="AS65" s="500">
        <f t="shared" si="13"/>
        <v>0</v>
      </c>
    </row>
    <row r="66" spans="2:45" ht="13.5" thickBot="1" x14ac:dyDescent="0.25">
      <c r="B66" s="260"/>
      <c r="C66" s="167"/>
      <c r="Q66" s="196"/>
      <c r="R66" s="261">
        <f t="shared" ref="R66:X66" si="14">SUM(R6:R65)</f>
        <v>251870585.43828374</v>
      </c>
      <c r="S66" s="261">
        <f t="shared" si="14"/>
        <v>1105073281.1039526</v>
      </c>
      <c r="T66" s="261">
        <f t="shared" si="14"/>
        <v>13590995.171930563</v>
      </c>
      <c r="U66" s="261">
        <f t="shared" si="14"/>
        <v>1070758535.8825854</v>
      </c>
      <c r="V66" s="261">
        <f t="shared" si="14"/>
        <v>1769485306.2105303</v>
      </c>
      <c r="W66" s="261">
        <f t="shared" si="14"/>
        <v>0</v>
      </c>
      <c r="X66" s="261">
        <f t="shared" si="14"/>
        <v>1535616518.1730585</v>
      </c>
      <c r="Y66" s="261">
        <f t="shared" ref="Y66:AD66" si="15">SUM(Y6:Y65)</f>
        <v>2366381227.3844643</v>
      </c>
      <c r="Z66" s="261">
        <f t="shared" si="15"/>
        <v>27719428.929923877</v>
      </c>
      <c r="AA66" s="261">
        <f t="shared" si="15"/>
        <v>434885104.18464965</v>
      </c>
      <c r="AB66" s="261">
        <f t="shared" si="15"/>
        <v>131258313.60085636</v>
      </c>
      <c r="AC66" s="261">
        <f t="shared" si="15"/>
        <v>27840603.376435239</v>
      </c>
      <c r="AD66" s="261">
        <f t="shared" si="15"/>
        <v>50131603.072093338</v>
      </c>
      <c r="AF66" s="261">
        <f t="shared" ref="AF66:AL66" si="16">SUM(AF6:AF65)</f>
        <v>13115987.688594991</v>
      </c>
      <c r="AG66" s="261">
        <f t="shared" si="16"/>
        <v>0</v>
      </c>
      <c r="AH66" s="261">
        <f t="shared" si="16"/>
        <v>0</v>
      </c>
      <c r="AI66" s="261">
        <f t="shared" si="16"/>
        <v>0</v>
      </c>
      <c r="AJ66" s="261">
        <f t="shared" si="16"/>
        <v>0</v>
      </c>
      <c r="AK66" s="261">
        <f t="shared" si="16"/>
        <v>0</v>
      </c>
      <c r="AL66" s="261">
        <f t="shared" si="16"/>
        <v>0</v>
      </c>
      <c r="AM66" s="261">
        <f t="shared" ref="AM66:AS66" si="17">SUM(AM6:AM65)</f>
        <v>0</v>
      </c>
      <c r="AN66" s="261">
        <f t="shared" si="17"/>
        <v>0</v>
      </c>
      <c r="AO66" s="261">
        <f t="shared" si="17"/>
        <v>0</v>
      </c>
      <c r="AP66" s="261">
        <f t="shared" si="17"/>
        <v>0</v>
      </c>
      <c r="AQ66" s="261">
        <f t="shared" si="17"/>
        <v>0</v>
      </c>
      <c r="AR66" s="261">
        <f t="shared" si="17"/>
        <v>0</v>
      </c>
      <c r="AS66" s="261">
        <f t="shared" si="17"/>
        <v>13115987.688594991</v>
      </c>
    </row>
    <row r="67" spans="2:45" ht="13.5" thickTop="1" x14ac:dyDescent="0.2">
      <c r="B67" s="260"/>
      <c r="C67" s="167"/>
      <c r="Q67" s="196"/>
    </row>
    <row r="68" spans="2:45" x14ac:dyDescent="0.2">
      <c r="B68" s="260"/>
      <c r="C68" s="167"/>
      <c r="AS68" s="263"/>
    </row>
    <row r="69" spans="2:45" x14ac:dyDescent="0.2">
      <c r="B69" s="260"/>
      <c r="C69" s="167"/>
    </row>
    <row r="70" spans="2:45" x14ac:dyDescent="0.2">
      <c r="B70" s="260"/>
      <c r="C70" s="167"/>
    </row>
    <row r="71" spans="2:45" x14ac:dyDescent="0.2">
      <c r="B71" s="260"/>
      <c r="C71" s="167"/>
    </row>
    <row r="72" spans="2:45" x14ac:dyDescent="0.2">
      <c r="B72" s="260"/>
      <c r="C72" s="167"/>
    </row>
    <row r="73" spans="2:45" x14ac:dyDescent="0.2">
      <c r="B73" s="260"/>
      <c r="C73" s="167"/>
    </row>
    <row r="74" spans="2:45" x14ac:dyDescent="0.2">
      <c r="B74" s="260"/>
      <c r="C74" s="167"/>
    </row>
    <row r="75" spans="2:45" x14ac:dyDescent="0.2">
      <c r="B75" s="260"/>
      <c r="C75" s="167"/>
    </row>
    <row r="76" spans="2:45" x14ac:dyDescent="0.2">
      <c r="B76" s="260"/>
      <c r="C76" s="167"/>
    </row>
    <row r="77" spans="2:45" x14ac:dyDescent="0.2">
      <c r="B77" s="260"/>
      <c r="C77" s="167"/>
    </row>
    <row r="78" spans="2:45" x14ac:dyDescent="0.2">
      <c r="B78" s="260"/>
      <c r="C78" s="167"/>
    </row>
    <row r="79" spans="2:45" x14ac:dyDescent="0.2">
      <c r="B79" s="260"/>
      <c r="C79" s="167"/>
    </row>
    <row r="80" spans="2:45" x14ac:dyDescent="0.2">
      <c r="B80" s="260"/>
      <c r="C80" s="167"/>
    </row>
    <row r="81" spans="2:3" x14ac:dyDescent="0.2">
      <c r="B81" s="260"/>
      <c r="C81" s="167"/>
    </row>
    <row r="82" spans="2:3" x14ac:dyDescent="0.2">
      <c r="B82" s="260"/>
      <c r="C82" s="167"/>
    </row>
    <row r="83" spans="2:3" x14ac:dyDescent="0.2">
      <c r="B83" s="260"/>
      <c r="C83" s="167"/>
    </row>
    <row r="84" spans="2:3" x14ac:dyDescent="0.2">
      <c r="B84" s="260"/>
      <c r="C84" s="167"/>
    </row>
    <row r="85" spans="2:3" x14ac:dyDescent="0.2">
      <c r="B85" s="260"/>
      <c r="C85" s="167"/>
    </row>
    <row r="86" spans="2:3" x14ac:dyDescent="0.2">
      <c r="B86" s="260"/>
      <c r="C86" s="167"/>
    </row>
    <row r="87" spans="2:3" x14ac:dyDescent="0.2">
      <c r="B87" s="260"/>
      <c r="C87" s="167"/>
    </row>
    <row r="88" spans="2:3" x14ac:dyDescent="0.2">
      <c r="B88" s="260"/>
      <c r="C88" s="167"/>
    </row>
    <row r="89" spans="2:3" x14ac:dyDescent="0.2">
      <c r="B89" s="260"/>
      <c r="C89" s="167"/>
    </row>
    <row r="90" spans="2:3" x14ac:dyDescent="0.2">
      <c r="B90" s="260"/>
      <c r="C90" s="167"/>
    </row>
    <row r="91" spans="2:3" x14ac:dyDescent="0.2">
      <c r="B91" s="260"/>
      <c r="C91" s="167"/>
    </row>
    <row r="92" spans="2:3" x14ac:dyDescent="0.2">
      <c r="B92" s="260"/>
      <c r="C92" s="167"/>
    </row>
    <row r="93" spans="2:3" x14ac:dyDescent="0.2">
      <c r="B93" s="260"/>
      <c r="C93" s="167"/>
    </row>
    <row r="94" spans="2:3" x14ac:dyDescent="0.2">
      <c r="B94" s="260"/>
      <c r="C94" s="167"/>
    </row>
    <row r="95" spans="2:3" x14ac:dyDescent="0.2">
      <c r="B95" s="260"/>
      <c r="C95" s="167"/>
    </row>
    <row r="96" spans="2:3" x14ac:dyDescent="0.2">
      <c r="B96" s="260"/>
      <c r="C96" s="167"/>
    </row>
    <row r="97" spans="2:3" x14ac:dyDescent="0.2">
      <c r="B97" s="260"/>
      <c r="C97" s="167"/>
    </row>
    <row r="98" spans="2:3" x14ac:dyDescent="0.2">
      <c r="B98" s="260"/>
      <c r="C98" s="167"/>
    </row>
    <row r="99" spans="2:3" x14ac:dyDescent="0.2">
      <c r="B99" s="260"/>
      <c r="C99" s="167"/>
    </row>
    <row r="100" spans="2:3" x14ac:dyDescent="0.2">
      <c r="B100" s="260"/>
      <c r="C100" s="167"/>
    </row>
    <row r="101" spans="2:3" x14ac:dyDescent="0.2">
      <c r="B101" s="260"/>
      <c r="C101" s="167"/>
    </row>
    <row r="102" spans="2:3" x14ac:dyDescent="0.2">
      <c r="B102" s="260"/>
      <c r="C102" s="167"/>
    </row>
    <row r="103" spans="2:3" x14ac:dyDescent="0.2">
      <c r="B103" s="260"/>
      <c r="C103" s="167"/>
    </row>
    <row r="104" spans="2:3" x14ac:dyDescent="0.2">
      <c r="B104" s="260"/>
      <c r="C104" s="167"/>
    </row>
    <row r="105" spans="2:3" x14ac:dyDescent="0.2">
      <c r="B105" s="260"/>
      <c r="C105" s="167"/>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15"/>
    <pageSetUpPr autoPageBreaks="0"/>
  </sheetPr>
  <dimension ref="B1:AS102"/>
  <sheetViews>
    <sheetView zoomScale="80" zoomScaleNormal="80" workbookViewId="0">
      <pane xSplit="3" ySplit="5" topLeftCell="D6" activePane="bottomRight" state="frozen"/>
      <selection activeCell="C18" sqref="C18"/>
      <selection pane="topRight" activeCell="C18" sqref="C18"/>
      <selection pane="bottomLeft" activeCell="C18" sqref="C18"/>
      <selection pane="bottomRight"/>
    </sheetView>
  </sheetViews>
  <sheetFormatPr defaultRowHeight="12.75" x14ac:dyDescent="0.2"/>
  <cols>
    <col min="1" max="1" width="1.85546875" style="210" customWidth="1"/>
    <col min="2" max="2" width="45" style="210" customWidth="1"/>
    <col min="3" max="3" width="2.85546875" style="210" customWidth="1"/>
    <col min="4" max="4" width="15.28515625" style="210" customWidth="1"/>
    <col min="5" max="6" width="11.5703125" style="210" customWidth="1"/>
    <col min="7" max="7" width="15" style="210" customWidth="1"/>
    <col min="8" max="8" width="14.140625" style="210" customWidth="1"/>
    <col min="9" max="9" width="11.5703125" style="210" customWidth="1"/>
    <col min="10" max="10" width="13.85546875" style="210" customWidth="1"/>
    <col min="11" max="16" width="12.28515625" style="210" customWidth="1"/>
    <col min="17" max="17" width="4.28515625" style="210" customWidth="1"/>
    <col min="18" max="18" width="16" style="210" customWidth="1"/>
    <col min="19" max="19" width="17.28515625" style="210" customWidth="1"/>
    <col min="20" max="20" width="14.28515625" style="210" customWidth="1"/>
    <col min="21" max="21" width="16" style="210" customWidth="1"/>
    <col min="22" max="22" width="19.42578125" style="210" customWidth="1"/>
    <col min="23" max="23" width="17.140625" style="210" customWidth="1"/>
    <col min="24" max="24" width="19.140625" style="210" customWidth="1"/>
    <col min="25" max="25" width="20.5703125" style="210" customWidth="1"/>
    <col min="26" max="26" width="17.5703125" style="210" customWidth="1"/>
    <col min="27" max="27" width="18.7109375" style="210" bestFit="1" customWidth="1"/>
    <col min="28" max="28" width="18" style="210" customWidth="1"/>
    <col min="29" max="30" width="16.7109375" style="210" bestFit="1" customWidth="1"/>
    <col min="31" max="31" width="7.7109375" style="210" customWidth="1"/>
    <col min="32" max="33" width="16.7109375" style="210" bestFit="1" customWidth="1"/>
    <col min="34" max="34" width="11" style="210" customWidth="1"/>
    <col min="35" max="36" width="14.85546875" style="210" bestFit="1" customWidth="1"/>
    <col min="37" max="37" width="15.42578125" style="210" customWidth="1"/>
    <col min="38" max="38" width="12.28515625" style="210" customWidth="1"/>
    <col min="39" max="41" width="14.85546875" style="210" bestFit="1" customWidth="1"/>
    <col min="42" max="42" width="11.28515625" style="210" customWidth="1"/>
    <col min="43" max="43" width="15.85546875" style="210" customWidth="1"/>
    <col min="44" max="45" width="14.85546875" style="210" customWidth="1"/>
    <col min="46" max="16384" width="9.140625" style="210"/>
  </cols>
  <sheetData>
    <row r="1" spans="2:45" ht="15" x14ac:dyDescent="0.25">
      <c r="B1" s="166" t="str">
        <f>"Tariff Approval - "&amp;'Model update'!C3</f>
        <v>Tariff Approval - United Energy</v>
      </c>
      <c r="C1" s="166"/>
    </row>
    <row r="2" spans="2:45" x14ac:dyDescent="0.2">
      <c r="G2" s="514"/>
    </row>
    <row r="3" spans="2:45" x14ac:dyDescent="0.2">
      <c r="B3" s="250" t="str">
        <f>"ESTIMATED "&amp;'Model update'!C8&amp;" JURISDICTIONAL SCHEME REVENUE"</f>
        <v>ESTIMATED 2018 JURISDICTIONAL SCHEME REVENUE</v>
      </c>
      <c r="C3" s="250"/>
    </row>
    <row r="4" spans="2:45" ht="13.5" thickBot="1" x14ac:dyDescent="0.25">
      <c r="D4" s="252" t="str">
        <f>"Current Jurisdictional scheme Tariffs (Pt-1) for "&amp;'Model update'!$C$8</f>
        <v>Current Jurisdictional scheme Tariffs (Pt-1) for 2018</v>
      </c>
      <c r="E4" s="253"/>
      <c r="F4" s="253"/>
      <c r="G4" s="253"/>
      <c r="H4" s="196"/>
      <c r="I4" s="196"/>
      <c r="J4" s="196"/>
      <c r="R4" s="254" t="str">
        <f>"Estimated Quantities (Qt-1) for "&amp;'Model update'!$C$8</f>
        <v>Estimated Quantities (Qt-1) for 2018</v>
      </c>
      <c r="S4" s="253"/>
      <c r="T4" s="255"/>
      <c r="U4" s="196"/>
      <c r="V4" s="196"/>
      <c r="AF4" s="254" t="str">
        <f>"Estimated Revenue (Pt-1 "&amp;'Model update'!$C$8&amp;")*(Qt-1 " &amp;'Model update'!$C$8&amp;")"</f>
        <v>Estimated Revenue (Pt-1 2018)*(Qt-1 2018)</v>
      </c>
      <c r="AG4" s="253"/>
      <c r="AH4" s="253"/>
      <c r="AI4" s="196"/>
    </row>
    <row r="5" spans="2:45" s="458" customFormat="1" ht="38.25" x14ac:dyDescent="0.2">
      <c r="B5" s="256" t="str">
        <f>"Tariffs "&amp;'Model update'!C8</f>
        <v>Tariffs 2018</v>
      </c>
      <c r="C5" s="568"/>
      <c r="D5" s="461" t="s">
        <v>435</v>
      </c>
      <c r="E5" s="462" t="s">
        <v>436</v>
      </c>
      <c r="F5" s="462" t="s">
        <v>437</v>
      </c>
      <c r="G5" s="462" t="s">
        <v>438</v>
      </c>
      <c r="H5" s="462" t="s">
        <v>439</v>
      </c>
      <c r="I5" s="462" t="s">
        <v>440</v>
      </c>
      <c r="J5" s="462" t="s">
        <v>441</v>
      </c>
      <c r="K5" s="462" t="s">
        <v>442</v>
      </c>
      <c r="L5" s="462" t="s">
        <v>443</v>
      </c>
      <c r="M5" s="462" t="s">
        <v>444</v>
      </c>
      <c r="N5" s="462" t="s">
        <v>445</v>
      </c>
      <c r="O5" s="462" t="s">
        <v>446</v>
      </c>
      <c r="P5" s="463" t="s">
        <v>447</v>
      </c>
      <c r="R5" s="461" t="s">
        <v>250</v>
      </c>
      <c r="S5" s="462" t="s">
        <v>251</v>
      </c>
      <c r="T5" s="462" t="s">
        <v>448</v>
      </c>
      <c r="U5" s="462" t="s">
        <v>449</v>
      </c>
      <c r="V5" s="462" t="s">
        <v>450</v>
      </c>
      <c r="W5" s="462" t="s">
        <v>252</v>
      </c>
      <c r="X5" s="462" t="s">
        <v>451</v>
      </c>
      <c r="Y5" s="462" t="s">
        <v>253</v>
      </c>
      <c r="Z5" s="462" t="s">
        <v>254</v>
      </c>
      <c r="AA5" s="462" t="s">
        <v>255</v>
      </c>
      <c r="AB5" s="462" t="s">
        <v>256</v>
      </c>
      <c r="AC5" s="462" t="s">
        <v>257</v>
      </c>
      <c r="AD5" s="463" t="s">
        <v>258</v>
      </c>
      <c r="AF5" s="461" t="s">
        <v>240</v>
      </c>
      <c r="AG5" s="462" t="s">
        <v>241</v>
      </c>
      <c r="AH5" s="462" t="s">
        <v>452</v>
      </c>
      <c r="AI5" s="462" t="s">
        <v>453</v>
      </c>
      <c r="AJ5" s="462" t="s">
        <v>454</v>
      </c>
      <c r="AK5" s="462" t="s">
        <v>242</v>
      </c>
      <c r="AL5" s="462" t="s">
        <v>455</v>
      </c>
      <c r="AM5" s="462" t="s">
        <v>243</v>
      </c>
      <c r="AN5" s="462" t="s">
        <v>244</v>
      </c>
      <c r="AO5" s="462" t="s">
        <v>245</v>
      </c>
      <c r="AP5" s="462" t="s">
        <v>246</v>
      </c>
      <c r="AQ5" s="462" t="s">
        <v>247</v>
      </c>
      <c r="AR5" s="462" t="s">
        <v>248</v>
      </c>
      <c r="AS5" s="463" t="s">
        <v>249</v>
      </c>
    </row>
    <row r="6" spans="2:45" s="458" customFormat="1" x14ac:dyDescent="0.2">
      <c r="B6" s="464" t="str">
        <f>Est2018TransRev!B6</f>
        <v>Low voltage small 1 rate</v>
      </c>
      <c r="C6" s="569"/>
      <c r="D6" s="612">
        <v>5.4089999999999998</v>
      </c>
      <c r="E6" s="597">
        <v>0</v>
      </c>
      <c r="F6" s="597">
        <v>0</v>
      </c>
      <c r="G6" s="597">
        <v>0</v>
      </c>
      <c r="H6" s="597">
        <v>0</v>
      </c>
      <c r="I6" s="597">
        <v>0</v>
      </c>
      <c r="J6" s="597">
        <v>0</v>
      </c>
      <c r="K6" s="597">
        <v>0</v>
      </c>
      <c r="L6" s="597">
        <v>0</v>
      </c>
      <c r="M6" s="597">
        <v>0</v>
      </c>
      <c r="N6" s="597">
        <v>0</v>
      </c>
      <c r="O6" s="597">
        <v>0</v>
      </c>
      <c r="P6" s="636">
        <v>0</v>
      </c>
      <c r="R6" s="573">
        <f>Est2018TransRev!R6</f>
        <v>200952788.42021027</v>
      </c>
      <c r="S6" s="574">
        <f>Est2018TransRev!S6</f>
        <v>928008318.47282875</v>
      </c>
      <c r="T6" s="574">
        <f>Est2018TransRev!T6</f>
        <v>0</v>
      </c>
      <c r="U6" s="574">
        <f>Est2018TransRev!U6</f>
        <v>0</v>
      </c>
      <c r="V6" s="574">
        <f>Est2018TransRev!V6</f>
        <v>1503738154.9662266</v>
      </c>
      <c r="W6" s="574">
        <f>Est2018TransRev!W6</f>
        <v>0</v>
      </c>
      <c r="X6" s="574">
        <f>Est2018TransRev!X6</f>
        <v>0</v>
      </c>
      <c r="Y6" s="574">
        <f>Est2018TransRev!Y6</f>
        <v>0</v>
      </c>
      <c r="Z6" s="574">
        <f>Est2018TransRev!Z6</f>
        <v>0</v>
      </c>
      <c r="AA6" s="574">
        <f>Est2018TransRev!AA6</f>
        <v>0</v>
      </c>
      <c r="AB6" s="574">
        <f>Est2018TransRev!AB6</f>
        <v>0</v>
      </c>
      <c r="AC6" s="574">
        <f>Est2018TransRev!AC6</f>
        <v>0</v>
      </c>
      <c r="AD6" s="575">
        <f>Est2018TransRev!AD6</f>
        <v>0</v>
      </c>
      <c r="AF6" s="576">
        <f t="shared" ref="AF6:AF65" si="0">D6/100*R6</f>
        <v>10869536.325649174</v>
      </c>
      <c r="AG6" s="577">
        <f t="shared" ref="AG6:AG65" si="1">E6/100*S6</f>
        <v>0</v>
      </c>
      <c r="AH6" s="577">
        <f t="shared" ref="AH6:AH65" si="2">F6/100*T6</f>
        <v>0</v>
      </c>
      <c r="AI6" s="577">
        <f t="shared" ref="AI6:AI65" si="3">G6/100*U6</f>
        <v>0</v>
      </c>
      <c r="AJ6" s="577">
        <f t="shared" ref="AJ6:AJ65" si="4">H6/100*V6</f>
        <v>0</v>
      </c>
      <c r="AK6" s="577">
        <f t="shared" ref="AK6:AK65" si="5">I6/100*W6</f>
        <v>0</v>
      </c>
      <c r="AL6" s="577">
        <f t="shared" ref="AL6:AL65" si="6">J6/100*X6</f>
        <v>0</v>
      </c>
      <c r="AM6" s="577">
        <f t="shared" ref="AM6:AM65" si="7">K6/100*Y6</f>
        <v>0</v>
      </c>
      <c r="AN6" s="577">
        <f t="shared" ref="AN6:AN65" si="8">L6/100*Z6</f>
        <v>0</v>
      </c>
      <c r="AO6" s="577">
        <f t="shared" ref="AO6:AO65" si="9">M6/100*AA6</f>
        <v>0</v>
      </c>
      <c r="AP6" s="577">
        <f t="shared" ref="AP6:AP65" si="10">N6/100*AB6</f>
        <v>0</v>
      </c>
      <c r="AQ6" s="577">
        <f t="shared" ref="AQ6:AQ65" si="11">O6/100*AC6</f>
        <v>0</v>
      </c>
      <c r="AR6" s="577">
        <f t="shared" ref="AR6:AR65" si="12">P6/100*AD6</f>
        <v>0</v>
      </c>
      <c r="AS6" s="578">
        <f t="shared" ref="AS6:AS65" si="13">SUM(AF6:AR6)</f>
        <v>10869536.325649174</v>
      </c>
    </row>
    <row r="7" spans="2:45" s="458" customFormat="1" x14ac:dyDescent="0.2">
      <c r="B7" s="464" t="str">
        <f>Est2018TransRev!B7</f>
        <v>Winter economy tariff</v>
      </c>
      <c r="C7" s="579"/>
      <c r="D7" s="478">
        <v>5.4089999999999998</v>
      </c>
      <c r="E7" s="473">
        <v>0</v>
      </c>
      <c r="F7" s="473">
        <v>0</v>
      </c>
      <c r="G7" s="473">
        <v>0</v>
      </c>
      <c r="H7" s="473">
        <v>0</v>
      </c>
      <c r="I7" s="473">
        <v>0</v>
      </c>
      <c r="J7" s="473">
        <v>0</v>
      </c>
      <c r="K7" s="473">
        <v>0</v>
      </c>
      <c r="L7" s="473">
        <v>0</v>
      </c>
      <c r="M7" s="473">
        <v>0</v>
      </c>
      <c r="N7" s="473">
        <v>0</v>
      </c>
      <c r="O7" s="473">
        <v>0</v>
      </c>
      <c r="P7" s="596">
        <v>0</v>
      </c>
      <c r="R7" s="583">
        <f>Est2018TransRev!R7</f>
        <v>45377.16506450923</v>
      </c>
      <c r="S7" s="584">
        <f>Est2018TransRev!S7</f>
        <v>302993.89143638534</v>
      </c>
      <c r="T7" s="584">
        <f>Est2018TransRev!T7</f>
        <v>0</v>
      </c>
      <c r="U7" s="584">
        <f>Est2018TransRev!U7</f>
        <v>0</v>
      </c>
      <c r="V7" s="584">
        <f>Est2018TransRev!V7</f>
        <v>578609.48262818658</v>
      </c>
      <c r="W7" s="584">
        <f>Est2018TransRev!W7</f>
        <v>0</v>
      </c>
      <c r="X7" s="584">
        <f>Est2018TransRev!X7</f>
        <v>0</v>
      </c>
      <c r="Y7" s="584">
        <f>Est2018TransRev!Y7</f>
        <v>0</v>
      </c>
      <c r="Z7" s="584">
        <f>Est2018TransRev!Z7</f>
        <v>0</v>
      </c>
      <c r="AA7" s="584">
        <f>Est2018TransRev!AA7</f>
        <v>0</v>
      </c>
      <c r="AB7" s="584">
        <f>Est2018TransRev!AB7</f>
        <v>0</v>
      </c>
      <c r="AC7" s="584">
        <f>Est2018TransRev!AC7</f>
        <v>0</v>
      </c>
      <c r="AD7" s="585">
        <f>Est2018TransRev!AD7</f>
        <v>0</v>
      </c>
      <c r="AF7" s="556">
        <f t="shared" si="0"/>
        <v>2454.4508583393044</v>
      </c>
      <c r="AG7" s="557">
        <f t="shared" si="1"/>
        <v>0</v>
      </c>
      <c r="AH7" s="557">
        <f t="shared" si="2"/>
        <v>0</v>
      </c>
      <c r="AI7" s="557">
        <f t="shared" si="3"/>
        <v>0</v>
      </c>
      <c r="AJ7" s="557">
        <f t="shared" si="4"/>
        <v>0</v>
      </c>
      <c r="AK7" s="557">
        <f t="shared" si="5"/>
        <v>0</v>
      </c>
      <c r="AL7" s="557">
        <f t="shared" si="6"/>
        <v>0</v>
      </c>
      <c r="AM7" s="557">
        <f t="shared" si="7"/>
        <v>0</v>
      </c>
      <c r="AN7" s="557">
        <f t="shared" si="8"/>
        <v>0</v>
      </c>
      <c r="AO7" s="557">
        <f t="shared" si="9"/>
        <v>0</v>
      </c>
      <c r="AP7" s="557">
        <f t="shared" si="10"/>
        <v>0</v>
      </c>
      <c r="AQ7" s="557">
        <f t="shared" si="11"/>
        <v>0</v>
      </c>
      <c r="AR7" s="557">
        <f t="shared" si="12"/>
        <v>0</v>
      </c>
      <c r="AS7" s="469">
        <f t="shared" si="13"/>
        <v>2454.4508583393044</v>
      </c>
    </row>
    <row r="8" spans="2:45" s="458" customFormat="1" x14ac:dyDescent="0.2">
      <c r="B8" s="464" t="str">
        <f>Est2018TransRev!B8</f>
        <v>Reverse cycle airconditioning time of use</v>
      </c>
      <c r="C8" s="579"/>
      <c r="D8" s="478">
        <v>5.4089999999999998</v>
      </c>
      <c r="E8" s="473">
        <v>0</v>
      </c>
      <c r="F8" s="473">
        <v>0</v>
      </c>
      <c r="G8" s="473">
        <v>0</v>
      </c>
      <c r="H8" s="473">
        <v>0</v>
      </c>
      <c r="I8" s="473">
        <v>0</v>
      </c>
      <c r="J8" s="473">
        <v>0</v>
      </c>
      <c r="K8" s="473">
        <v>0</v>
      </c>
      <c r="L8" s="473">
        <v>0</v>
      </c>
      <c r="M8" s="473">
        <v>0</v>
      </c>
      <c r="N8" s="473">
        <v>0</v>
      </c>
      <c r="O8" s="473">
        <v>0</v>
      </c>
      <c r="P8" s="596">
        <v>0</v>
      </c>
      <c r="R8" s="583">
        <f>Est2018TransRev!R8</f>
        <v>0</v>
      </c>
      <c r="S8" s="584">
        <f>Est2018TransRev!S8</f>
        <v>0</v>
      </c>
      <c r="T8" s="584">
        <f>Est2018TransRev!T8</f>
        <v>0</v>
      </c>
      <c r="U8" s="584">
        <f>Est2018TransRev!U8</f>
        <v>0</v>
      </c>
      <c r="V8" s="584">
        <f>Est2018TransRev!V8</f>
        <v>0</v>
      </c>
      <c r="W8" s="584">
        <f>Est2018TransRev!W8</f>
        <v>0</v>
      </c>
      <c r="X8" s="584">
        <f>Est2018TransRev!X8</f>
        <v>0</v>
      </c>
      <c r="Y8" s="584">
        <f>Est2018TransRev!Y8</f>
        <v>0</v>
      </c>
      <c r="Z8" s="584">
        <f>Est2018TransRev!Z8</f>
        <v>0</v>
      </c>
      <c r="AA8" s="584">
        <f>Est2018TransRev!AA8</f>
        <v>0</v>
      </c>
      <c r="AB8" s="584">
        <f>Est2018TransRev!AB8</f>
        <v>0</v>
      </c>
      <c r="AC8" s="584">
        <f>Est2018TransRev!AC8</f>
        <v>0</v>
      </c>
      <c r="AD8" s="585">
        <f>Est2018TransRev!AD8</f>
        <v>0</v>
      </c>
      <c r="AF8" s="556">
        <f t="shared" si="0"/>
        <v>0</v>
      </c>
      <c r="AG8" s="557">
        <f t="shared" si="1"/>
        <v>0</v>
      </c>
      <c r="AH8" s="557">
        <f t="shared" si="2"/>
        <v>0</v>
      </c>
      <c r="AI8" s="557">
        <f t="shared" si="3"/>
        <v>0</v>
      </c>
      <c r="AJ8" s="557">
        <f t="shared" si="4"/>
        <v>0</v>
      </c>
      <c r="AK8" s="557">
        <f t="shared" si="5"/>
        <v>0</v>
      </c>
      <c r="AL8" s="557">
        <f t="shared" si="6"/>
        <v>0</v>
      </c>
      <c r="AM8" s="557">
        <f t="shared" si="7"/>
        <v>0</v>
      </c>
      <c r="AN8" s="557">
        <f t="shared" si="8"/>
        <v>0</v>
      </c>
      <c r="AO8" s="557">
        <f t="shared" si="9"/>
        <v>0</v>
      </c>
      <c r="AP8" s="557">
        <f t="shared" si="10"/>
        <v>0</v>
      </c>
      <c r="AQ8" s="557">
        <f t="shared" si="11"/>
        <v>0</v>
      </c>
      <c r="AR8" s="557">
        <f t="shared" si="12"/>
        <v>0</v>
      </c>
      <c r="AS8" s="469">
        <f t="shared" si="13"/>
        <v>0</v>
      </c>
    </row>
    <row r="9" spans="2:45" s="458" customFormat="1" x14ac:dyDescent="0.2">
      <c r="B9" s="464" t="str">
        <f>Est2018TransRev!B9</f>
        <v>Low voltage small 2 rate</v>
      </c>
      <c r="C9" s="579"/>
      <c r="D9" s="478">
        <v>5.4089999999999998</v>
      </c>
      <c r="E9" s="473">
        <v>0</v>
      </c>
      <c r="F9" s="473">
        <v>0</v>
      </c>
      <c r="G9" s="473">
        <v>0</v>
      </c>
      <c r="H9" s="473">
        <v>0</v>
      </c>
      <c r="I9" s="473">
        <v>0</v>
      </c>
      <c r="J9" s="473">
        <v>0</v>
      </c>
      <c r="K9" s="473">
        <v>0</v>
      </c>
      <c r="L9" s="473">
        <v>0</v>
      </c>
      <c r="M9" s="473">
        <v>0</v>
      </c>
      <c r="N9" s="473">
        <v>0</v>
      </c>
      <c r="O9" s="473">
        <v>0</v>
      </c>
      <c r="P9" s="596">
        <v>0</v>
      </c>
      <c r="R9" s="583">
        <f>Est2018TransRev!R9</f>
        <v>1512412.6828954241</v>
      </c>
      <c r="S9" s="584">
        <f>Est2018TransRev!S9</f>
        <v>0</v>
      </c>
      <c r="T9" s="584">
        <f>Est2018TransRev!T9</f>
        <v>0</v>
      </c>
      <c r="U9" s="584">
        <f>Est2018TransRev!U9</f>
        <v>4357801.8995413752</v>
      </c>
      <c r="V9" s="584">
        <f>Est2018TransRev!V9</f>
        <v>0</v>
      </c>
      <c r="W9" s="584">
        <f>Est2018TransRev!W9</f>
        <v>0</v>
      </c>
      <c r="X9" s="584">
        <f>Est2018TransRev!X9</f>
        <v>6953080.2419008315</v>
      </c>
      <c r="Y9" s="584">
        <f>Est2018TransRev!Y9</f>
        <v>14873749.96422084</v>
      </c>
      <c r="Z9" s="584">
        <f>Est2018TransRev!Z9</f>
        <v>0</v>
      </c>
      <c r="AA9" s="584">
        <f>Est2018TransRev!AA9</f>
        <v>0</v>
      </c>
      <c r="AB9" s="584">
        <f>Est2018TransRev!AB9</f>
        <v>0</v>
      </c>
      <c r="AC9" s="584">
        <f>Est2018TransRev!AC9</f>
        <v>0</v>
      </c>
      <c r="AD9" s="585">
        <f>Est2018TransRev!AD9</f>
        <v>0</v>
      </c>
      <c r="AF9" s="556">
        <f t="shared" si="0"/>
        <v>81806.402017813482</v>
      </c>
      <c r="AG9" s="557">
        <f t="shared" si="1"/>
        <v>0</v>
      </c>
      <c r="AH9" s="557">
        <f t="shared" si="2"/>
        <v>0</v>
      </c>
      <c r="AI9" s="557">
        <f t="shared" si="3"/>
        <v>0</v>
      </c>
      <c r="AJ9" s="557">
        <f t="shared" si="4"/>
        <v>0</v>
      </c>
      <c r="AK9" s="557">
        <f t="shared" si="5"/>
        <v>0</v>
      </c>
      <c r="AL9" s="557">
        <f t="shared" si="6"/>
        <v>0</v>
      </c>
      <c r="AM9" s="557">
        <f t="shared" si="7"/>
        <v>0</v>
      </c>
      <c r="AN9" s="557">
        <f t="shared" si="8"/>
        <v>0</v>
      </c>
      <c r="AO9" s="557">
        <f t="shared" si="9"/>
        <v>0</v>
      </c>
      <c r="AP9" s="557">
        <f t="shared" si="10"/>
        <v>0</v>
      </c>
      <c r="AQ9" s="557">
        <f t="shared" si="11"/>
        <v>0</v>
      </c>
      <c r="AR9" s="557">
        <f t="shared" si="12"/>
        <v>0</v>
      </c>
      <c r="AS9" s="469">
        <f t="shared" si="13"/>
        <v>81806.402017813482</v>
      </c>
    </row>
    <row r="10" spans="2:45" s="458" customFormat="1" x14ac:dyDescent="0.2">
      <c r="B10" s="464" t="str">
        <f>Est2018TransRev!B10</f>
        <v>Dedicated circuit</v>
      </c>
      <c r="C10" s="579"/>
      <c r="D10" s="478">
        <v>0</v>
      </c>
      <c r="E10" s="473">
        <v>0</v>
      </c>
      <c r="F10" s="473">
        <v>0</v>
      </c>
      <c r="G10" s="473">
        <v>0</v>
      </c>
      <c r="H10" s="473">
        <v>0</v>
      </c>
      <c r="I10" s="473">
        <v>0</v>
      </c>
      <c r="J10" s="473">
        <v>0</v>
      </c>
      <c r="K10" s="473">
        <v>0</v>
      </c>
      <c r="L10" s="473">
        <v>0</v>
      </c>
      <c r="M10" s="473">
        <v>0</v>
      </c>
      <c r="N10" s="473">
        <v>0</v>
      </c>
      <c r="O10" s="473">
        <v>0</v>
      </c>
      <c r="P10" s="596">
        <v>0</v>
      </c>
      <c r="R10" s="583">
        <f>Est2018TransRev!R10</f>
        <v>1960437.019180858</v>
      </c>
      <c r="S10" s="584">
        <f>Est2018TransRev!S10</f>
        <v>0</v>
      </c>
      <c r="T10" s="584">
        <f>Est2018TransRev!T10</f>
        <v>0</v>
      </c>
      <c r="U10" s="584">
        <f>Est2018TransRev!U10</f>
        <v>0</v>
      </c>
      <c r="V10" s="584">
        <f>Est2018TransRev!V10</f>
        <v>0</v>
      </c>
      <c r="W10" s="584">
        <f>Est2018TransRev!W10</f>
        <v>0</v>
      </c>
      <c r="X10" s="584">
        <f>Est2018TransRev!X10</f>
        <v>0</v>
      </c>
      <c r="Y10" s="584">
        <f>Est2018TransRev!Y10</f>
        <v>89664408.336873919</v>
      </c>
      <c r="Z10" s="584">
        <f>Est2018TransRev!Z10</f>
        <v>0</v>
      </c>
      <c r="AA10" s="584">
        <f>Est2018TransRev!AA10</f>
        <v>0</v>
      </c>
      <c r="AB10" s="584">
        <f>Est2018TransRev!AB10</f>
        <v>0</v>
      </c>
      <c r="AC10" s="584">
        <f>Est2018TransRev!AC10</f>
        <v>0</v>
      </c>
      <c r="AD10" s="585">
        <f>Est2018TransRev!AD10</f>
        <v>0</v>
      </c>
      <c r="AF10" s="556">
        <f t="shared" si="0"/>
        <v>0</v>
      </c>
      <c r="AG10" s="557">
        <f t="shared" si="1"/>
        <v>0</v>
      </c>
      <c r="AH10" s="557">
        <f t="shared" si="2"/>
        <v>0</v>
      </c>
      <c r="AI10" s="557">
        <f t="shared" si="3"/>
        <v>0</v>
      </c>
      <c r="AJ10" s="557">
        <f t="shared" si="4"/>
        <v>0</v>
      </c>
      <c r="AK10" s="557">
        <f t="shared" si="5"/>
        <v>0</v>
      </c>
      <c r="AL10" s="557">
        <f t="shared" si="6"/>
        <v>0</v>
      </c>
      <c r="AM10" s="557">
        <f t="shared" si="7"/>
        <v>0</v>
      </c>
      <c r="AN10" s="557">
        <f t="shared" si="8"/>
        <v>0</v>
      </c>
      <c r="AO10" s="557">
        <f t="shared" si="9"/>
        <v>0</v>
      </c>
      <c r="AP10" s="557">
        <f t="shared" si="10"/>
        <v>0</v>
      </c>
      <c r="AQ10" s="557">
        <f t="shared" si="11"/>
        <v>0</v>
      </c>
      <c r="AR10" s="557">
        <f t="shared" si="12"/>
        <v>0</v>
      </c>
      <c r="AS10" s="469">
        <f t="shared" si="13"/>
        <v>0</v>
      </c>
    </row>
    <row r="11" spans="2:45" s="458" customFormat="1" x14ac:dyDescent="0.2">
      <c r="B11" s="464" t="str">
        <f>Est2018TransRev!B11</f>
        <v>Low voltage medium 1 rate</v>
      </c>
      <c r="C11" s="579"/>
      <c r="D11" s="478">
        <v>5.4089999999999998</v>
      </c>
      <c r="E11" s="473">
        <v>0</v>
      </c>
      <c r="F11" s="473">
        <v>0</v>
      </c>
      <c r="G11" s="473">
        <v>0</v>
      </c>
      <c r="H11" s="473">
        <v>0</v>
      </c>
      <c r="I11" s="473">
        <v>0</v>
      </c>
      <c r="J11" s="473">
        <v>0</v>
      </c>
      <c r="K11" s="473">
        <v>0</v>
      </c>
      <c r="L11" s="473">
        <v>0</v>
      </c>
      <c r="M11" s="473">
        <v>0</v>
      </c>
      <c r="N11" s="473">
        <v>0</v>
      </c>
      <c r="O11" s="473">
        <v>0</v>
      </c>
      <c r="P11" s="596">
        <v>0</v>
      </c>
      <c r="R11" s="583">
        <f>Est2018TransRev!R11</f>
        <v>12103894.642855167</v>
      </c>
      <c r="S11" s="584">
        <f>Est2018TransRev!S11</f>
        <v>163534676.50539243</v>
      </c>
      <c r="T11" s="584">
        <f>Est2018TransRev!T11</f>
        <v>0</v>
      </c>
      <c r="U11" s="584">
        <f>Est2018TransRev!U11</f>
        <v>0</v>
      </c>
      <c r="V11" s="584">
        <f>Est2018TransRev!V11</f>
        <v>244508549.48999846</v>
      </c>
      <c r="W11" s="584">
        <f>Est2018TransRev!W11</f>
        <v>0</v>
      </c>
      <c r="X11" s="584">
        <f>Est2018TransRev!X11</f>
        <v>0</v>
      </c>
      <c r="Y11" s="584">
        <f>Est2018TransRev!Y11</f>
        <v>0</v>
      </c>
      <c r="Z11" s="584">
        <f>Est2018TransRev!Z11</f>
        <v>0</v>
      </c>
      <c r="AA11" s="584">
        <f>Est2018TransRev!AA11</f>
        <v>0</v>
      </c>
      <c r="AB11" s="584">
        <f>Est2018TransRev!AB11</f>
        <v>0</v>
      </c>
      <c r="AC11" s="584">
        <f>Est2018TransRev!AC11</f>
        <v>0</v>
      </c>
      <c r="AD11" s="585">
        <f>Est2018TransRev!AD11</f>
        <v>0</v>
      </c>
      <c r="AF11" s="556">
        <f t="shared" si="0"/>
        <v>654699.66123203596</v>
      </c>
      <c r="AG11" s="557">
        <f t="shared" si="1"/>
        <v>0</v>
      </c>
      <c r="AH11" s="557">
        <f t="shared" si="2"/>
        <v>0</v>
      </c>
      <c r="AI11" s="557">
        <f t="shared" si="3"/>
        <v>0</v>
      </c>
      <c r="AJ11" s="557">
        <f t="shared" si="4"/>
        <v>0</v>
      </c>
      <c r="AK11" s="557">
        <f t="shared" si="5"/>
        <v>0</v>
      </c>
      <c r="AL11" s="557">
        <f t="shared" si="6"/>
        <v>0</v>
      </c>
      <c r="AM11" s="557">
        <f t="shared" si="7"/>
        <v>0</v>
      </c>
      <c r="AN11" s="557">
        <f t="shared" si="8"/>
        <v>0</v>
      </c>
      <c r="AO11" s="557">
        <f t="shared" si="9"/>
        <v>0</v>
      </c>
      <c r="AP11" s="557">
        <f t="shared" si="10"/>
        <v>0</v>
      </c>
      <c r="AQ11" s="557">
        <f t="shared" si="11"/>
        <v>0</v>
      </c>
      <c r="AR11" s="557">
        <f t="shared" si="12"/>
        <v>0</v>
      </c>
      <c r="AS11" s="469">
        <f t="shared" si="13"/>
        <v>654699.66123203596</v>
      </c>
    </row>
    <row r="12" spans="2:45" s="458" customFormat="1" x14ac:dyDescent="0.2">
      <c r="B12" s="464" t="str">
        <f>Est2018TransRev!B12</f>
        <v>Low voltage medium 2 rate 5 day</v>
      </c>
      <c r="C12" s="579"/>
      <c r="D12" s="478">
        <v>5.4089999999999998</v>
      </c>
      <c r="E12" s="473">
        <v>0</v>
      </c>
      <c r="F12" s="473">
        <v>0</v>
      </c>
      <c r="G12" s="473">
        <v>0</v>
      </c>
      <c r="H12" s="473">
        <v>0</v>
      </c>
      <c r="I12" s="473">
        <v>0</v>
      </c>
      <c r="J12" s="473">
        <v>0</v>
      </c>
      <c r="K12" s="473">
        <v>0</v>
      </c>
      <c r="L12" s="473">
        <v>0</v>
      </c>
      <c r="M12" s="473">
        <v>0</v>
      </c>
      <c r="N12" s="473">
        <v>0</v>
      </c>
      <c r="O12" s="473">
        <v>0</v>
      </c>
      <c r="P12" s="596">
        <v>0</v>
      </c>
      <c r="R12" s="583">
        <f>Est2018TransRev!R12</f>
        <v>3269874.0172774848</v>
      </c>
      <c r="S12" s="584">
        <f>Est2018TransRev!S12</f>
        <v>0</v>
      </c>
      <c r="T12" s="584">
        <f>Est2018TransRev!T12</f>
        <v>0</v>
      </c>
      <c r="U12" s="584">
        <f>Est2018TransRev!U12</f>
        <v>48815797.803827435</v>
      </c>
      <c r="V12" s="584">
        <f>Est2018TransRev!V12</f>
        <v>0</v>
      </c>
      <c r="W12" s="584">
        <f>Est2018TransRev!W12</f>
        <v>0</v>
      </c>
      <c r="X12" s="584">
        <f>Est2018TransRev!X12</f>
        <v>76642995.376129091</v>
      </c>
      <c r="Y12" s="584">
        <f>Est2018TransRev!Y12</f>
        <v>73750815.478119001</v>
      </c>
      <c r="Z12" s="584">
        <f>Est2018TransRev!Z12</f>
        <v>0</v>
      </c>
      <c r="AA12" s="584">
        <f>Est2018TransRev!AA12</f>
        <v>0</v>
      </c>
      <c r="AB12" s="584">
        <f>Est2018TransRev!AB12</f>
        <v>0</v>
      </c>
      <c r="AC12" s="584">
        <f>Est2018TransRev!AC12</f>
        <v>0</v>
      </c>
      <c r="AD12" s="585">
        <f>Est2018TransRev!AD12</f>
        <v>0</v>
      </c>
      <c r="AF12" s="556">
        <f t="shared" si="0"/>
        <v>176867.48559453915</v>
      </c>
      <c r="AG12" s="557">
        <f t="shared" si="1"/>
        <v>0</v>
      </c>
      <c r="AH12" s="557">
        <f t="shared" si="2"/>
        <v>0</v>
      </c>
      <c r="AI12" s="557">
        <f t="shared" si="3"/>
        <v>0</v>
      </c>
      <c r="AJ12" s="557">
        <f t="shared" si="4"/>
        <v>0</v>
      </c>
      <c r="AK12" s="557">
        <f t="shared" si="5"/>
        <v>0</v>
      </c>
      <c r="AL12" s="557">
        <f t="shared" si="6"/>
        <v>0</v>
      </c>
      <c r="AM12" s="557">
        <f t="shared" si="7"/>
        <v>0</v>
      </c>
      <c r="AN12" s="557">
        <f t="shared" si="8"/>
        <v>0</v>
      </c>
      <c r="AO12" s="557">
        <f t="shared" si="9"/>
        <v>0</v>
      </c>
      <c r="AP12" s="557">
        <f t="shared" si="10"/>
        <v>0</v>
      </c>
      <c r="AQ12" s="557">
        <f t="shared" si="11"/>
        <v>0</v>
      </c>
      <c r="AR12" s="557">
        <f t="shared" si="12"/>
        <v>0</v>
      </c>
      <c r="AS12" s="469">
        <f t="shared" si="13"/>
        <v>176867.48559453915</v>
      </c>
    </row>
    <row r="13" spans="2:45" s="458" customFormat="1" x14ac:dyDescent="0.2">
      <c r="B13" s="464" t="str">
        <f>Est2018TransRev!B13</f>
        <v>Low voltage medium 2 rate 7 day</v>
      </c>
      <c r="C13" s="579"/>
      <c r="D13" s="478">
        <v>5.4089999999999998</v>
      </c>
      <c r="E13" s="473">
        <v>0</v>
      </c>
      <c r="F13" s="473">
        <v>0</v>
      </c>
      <c r="G13" s="473">
        <v>0</v>
      </c>
      <c r="H13" s="473">
        <v>0</v>
      </c>
      <c r="I13" s="473">
        <v>0</v>
      </c>
      <c r="J13" s="473">
        <v>0</v>
      </c>
      <c r="K13" s="473">
        <v>0</v>
      </c>
      <c r="L13" s="473">
        <v>0</v>
      </c>
      <c r="M13" s="473">
        <v>0</v>
      </c>
      <c r="N13" s="473">
        <v>0</v>
      </c>
      <c r="O13" s="473">
        <v>0</v>
      </c>
      <c r="P13" s="596">
        <v>0</v>
      </c>
      <c r="R13" s="583">
        <f>Est2018TransRev!R13</f>
        <v>1655208.3921497124</v>
      </c>
      <c r="S13" s="584">
        <f>Est2018TransRev!S13</f>
        <v>0</v>
      </c>
      <c r="T13" s="584">
        <f>Est2018TransRev!T13</f>
        <v>0</v>
      </c>
      <c r="U13" s="584">
        <f>Est2018TransRev!U13</f>
        <v>21784409.061092354</v>
      </c>
      <c r="V13" s="584">
        <f>Est2018TransRev!V13</f>
        <v>0</v>
      </c>
      <c r="W13" s="584">
        <f>Est2018TransRev!W13</f>
        <v>0</v>
      </c>
      <c r="X13" s="584">
        <f>Est2018TransRev!X13</f>
        <v>35541857.096002646</v>
      </c>
      <c r="Y13" s="584">
        <f>Est2018TransRev!Y13</f>
        <v>15171726.589555863</v>
      </c>
      <c r="Z13" s="584">
        <f>Est2018TransRev!Z13</f>
        <v>0</v>
      </c>
      <c r="AA13" s="584">
        <f>Est2018TransRev!AA13</f>
        <v>0</v>
      </c>
      <c r="AB13" s="584">
        <f>Est2018TransRev!AB13</f>
        <v>0</v>
      </c>
      <c r="AC13" s="584">
        <f>Est2018TransRev!AC13</f>
        <v>0</v>
      </c>
      <c r="AD13" s="585">
        <f>Est2018TransRev!AD13</f>
        <v>0</v>
      </c>
      <c r="AF13" s="556">
        <f t="shared" si="0"/>
        <v>89530.22193137795</v>
      </c>
      <c r="AG13" s="557">
        <f t="shared" si="1"/>
        <v>0</v>
      </c>
      <c r="AH13" s="557">
        <f t="shared" si="2"/>
        <v>0</v>
      </c>
      <c r="AI13" s="557">
        <f t="shared" si="3"/>
        <v>0</v>
      </c>
      <c r="AJ13" s="557">
        <f t="shared" si="4"/>
        <v>0</v>
      </c>
      <c r="AK13" s="557">
        <f t="shared" si="5"/>
        <v>0</v>
      </c>
      <c r="AL13" s="557">
        <f t="shared" si="6"/>
        <v>0</v>
      </c>
      <c r="AM13" s="557">
        <f t="shared" si="7"/>
        <v>0</v>
      </c>
      <c r="AN13" s="557">
        <f t="shared" si="8"/>
        <v>0</v>
      </c>
      <c r="AO13" s="557">
        <f t="shared" si="9"/>
        <v>0</v>
      </c>
      <c r="AP13" s="557">
        <f t="shared" si="10"/>
        <v>0</v>
      </c>
      <c r="AQ13" s="557">
        <f t="shared" si="11"/>
        <v>0</v>
      </c>
      <c r="AR13" s="557">
        <f t="shared" si="12"/>
        <v>0</v>
      </c>
      <c r="AS13" s="469">
        <f t="shared" si="13"/>
        <v>89530.22193137795</v>
      </c>
    </row>
    <row r="14" spans="2:45" s="458" customFormat="1" x14ac:dyDescent="0.2">
      <c r="B14" s="464" t="str">
        <f>Est2018TransRev!B14</f>
        <v>Unmetered supplies</v>
      </c>
      <c r="C14" s="579"/>
      <c r="D14" s="478">
        <v>0</v>
      </c>
      <c r="E14" s="473">
        <v>0</v>
      </c>
      <c r="F14" s="473">
        <v>0</v>
      </c>
      <c r="G14" s="473">
        <v>0</v>
      </c>
      <c r="H14" s="473">
        <v>0</v>
      </c>
      <c r="I14" s="473">
        <v>0</v>
      </c>
      <c r="J14" s="473">
        <v>0</v>
      </c>
      <c r="K14" s="473">
        <v>0</v>
      </c>
      <c r="L14" s="473">
        <v>0</v>
      </c>
      <c r="M14" s="473">
        <v>0</v>
      </c>
      <c r="N14" s="473">
        <v>0</v>
      </c>
      <c r="O14" s="473">
        <v>0</v>
      </c>
      <c r="P14" s="596">
        <v>0</v>
      </c>
      <c r="R14" s="583">
        <f>Est2018TransRev!R14</f>
        <v>1969509.4767538456</v>
      </c>
      <c r="S14" s="584">
        <f>Est2018TransRev!S14</f>
        <v>0</v>
      </c>
      <c r="T14" s="584">
        <f>Est2018TransRev!T14</f>
        <v>0</v>
      </c>
      <c r="U14" s="584">
        <f>Est2018TransRev!U14</f>
        <v>13849579.425705153</v>
      </c>
      <c r="V14" s="584">
        <f>Est2018TransRev!V14</f>
        <v>0</v>
      </c>
      <c r="W14" s="584">
        <f>Est2018TransRev!W14</f>
        <v>0</v>
      </c>
      <c r="X14" s="584">
        <f>Est2018TransRev!X14</f>
        <v>26202949.438063513</v>
      </c>
      <c r="Y14" s="584">
        <f>Est2018TransRev!Y14</f>
        <v>60264599.840833753</v>
      </c>
      <c r="Z14" s="584">
        <f>Est2018TransRev!Z14</f>
        <v>0</v>
      </c>
      <c r="AA14" s="584">
        <f>Est2018TransRev!AA14</f>
        <v>0</v>
      </c>
      <c r="AB14" s="584">
        <f>Est2018TransRev!AB14</f>
        <v>0</v>
      </c>
      <c r="AC14" s="584">
        <f>Est2018TransRev!AC14</f>
        <v>0</v>
      </c>
      <c r="AD14" s="585">
        <f>Est2018TransRev!AD14</f>
        <v>0</v>
      </c>
      <c r="AF14" s="556">
        <f t="shared" si="0"/>
        <v>0</v>
      </c>
      <c r="AG14" s="557">
        <f t="shared" si="1"/>
        <v>0</v>
      </c>
      <c r="AH14" s="557">
        <f t="shared" si="2"/>
        <v>0</v>
      </c>
      <c r="AI14" s="557">
        <f t="shared" si="3"/>
        <v>0</v>
      </c>
      <c r="AJ14" s="557">
        <f t="shared" si="4"/>
        <v>0</v>
      </c>
      <c r="AK14" s="557">
        <f t="shared" si="5"/>
        <v>0</v>
      </c>
      <c r="AL14" s="557">
        <f t="shared" si="6"/>
        <v>0</v>
      </c>
      <c r="AM14" s="557">
        <f t="shared" si="7"/>
        <v>0</v>
      </c>
      <c r="AN14" s="557">
        <f t="shared" si="8"/>
        <v>0</v>
      </c>
      <c r="AO14" s="557">
        <f t="shared" si="9"/>
        <v>0</v>
      </c>
      <c r="AP14" s="557">
        <f t="shared" si="10"/>
        <v>0</v>
      </c>
      <c r="AQ14" s="557">
        <f t="shared" si="11"/>
        <v>0</v>
      </c>
      <c r="AR14" s="557">
        <f t="shared" si="12"/>
        <v>0</v>
      </c>
      <c r="AS14" s="469">
        <f t="shared" si="13"/>
        <v>0</v>
      </c>
    </row>
    <row r="15" spans="2:45" s="458" customFormat="1" x14ac:dyDescent="0.2">
      <c r="B15" s="464" t="str">
        <f>Est2018TransRev!B15</f>
        <v>Low voltage large 1 rate</v>
      </c>
      <c r="C15" s="579"/>
      <c r="D15" s="478">
        <v>5.4089999999999998</v>
      </c>
      <c r="E15" s="473">
        <v>0</v>
      </c>
      <c r="F15" s="473">
        <v>0</v>
      </c>
      <c r="G15" s="473">
        <v>0</v>
      </c>
      <c r="H15" s="473">
        <v>0</v>
      </c>
      <c r="I15" s="473">
        <v>0</v>
      </c>
      <c r="J15" s="473">
        <v>0</v>
      </c>
      <c r="K15" s="473">
        <v>0</v>
      </c>
      <c r="L15" s="473">
        <v>0</v>
      </c>
      <c r="M15" s="473">
        <v>0</v>
      </c>
      <c r="N15" s="473">
        <v>0</v>
      </c>
      <c r="O15" s="473">
        <v>0</v>
      </c>
      <c r="P15" s="596">
        <v>0</v>
      </c>
      <c r="R15" s="583">
        <f>Est2018TransRev!R15</f>
        <v>2284.06611547582</v>
      </c>
      <c r="S15" s="584">
        <f>Est2018TransRev!S15</f>
        <v>593575.62292224064</v>
      </c>
      <c r="T15" s="584">
        <f>Est2018TransRev!T15</f>
        <v>0</v>
      </c>
      <c r="U15" s="584">
        <f>Est2018TransRev!U15</f>
        <v>0</v>
      </c>
      <c r="V15" s="584">
        <f>Est2018TransRev!V15</f>
        <v>787538.80436954857</v>
      </c>
      <c r="W15" s="584">
        <f>Est2018TransRev!W15</f>
        <v>0</v>
      </c>
      <c r="X15" s="584">
        <f>Est2018TransRev!X15</f>
        <v>0</v>
      </c>
      <c r="Y15" s="584">
        <f>Est2018TransRev!Y15</f>
        <v>0</v>
      </c>
      <c r="Z15" s="584">
        <f>Est2018TransRev!Z15</f>
        <v>0</v>
      </c>
      <c r="AA15" s="584">
        <f>Est2018TransRev!AA15</f>
        <v>0</v>
      </c>
      <c r="AB15" s="584">
        <f>Est2018TransRev!AB15</f>
        <v>0</v>
      </c>
      <c r="AC15" s="584">
        <f>Est2018TransRev!AC15</f>
        <v>0</v>
      </c>
      <c r="AD15" s="585">
        <f>Est2018TransRev!AD15</f>
        <v>0</v>
      </c>
      <c r="AF15" s="556">
        <f t="shared" si="0"/>
        <v>123.54513618608711</v>
      </c>
      <c r="AG15" s="557">
        <f t="shared" si="1"/>
        <v>0</v>
      </c>
      <c r="AH15" s="557">
        <f t="shared" si="2"/>
        <v>0</v>
      </c>
      <c r="AI15" s="557">
        <f t="shared" si="3"/>
        <v>0</v>
      </c>
      <c r="AJ15" s="557">
        <f t="shared" si="4"/>
        <v>0</v>
      </c>
      <c r="AK15" s="557">
        <f t="shared" si="5"/>
        <v>0</v>
      </c>
      <c r="AL15" s="557">
        <f t="shared" si="6"/>
        <v>0</v>
      </c>
      <c r="AM15" s="557">
        <f t="shared" si="7"/>
        <v>0</v>
      </c>
      <c r="AN15" s="557">
        <f t="shared" si="8"/>
        <v>0</v>
      </c>
      <c r="AO15" s="557">
        <f t="shared" si="9"/>
        <v>0</v>
      </c>
      <c r="AP15" s="557">
        <f t="shared" si="10"/>
        <v>0</v>
      </c>
      <c r="AQ15" s="557">
        <f t="shared" si="11"/>
        <v>0</v>
      </c>
      <c r="AR15" s="557">
        <f t="shared" si="12"/>
        <v>0</v>
      </c>
      <c r="AS15" s="469">
        <f t="shared" si="13"/>
        <v>123.54513618608711</v>
      </c>
    </row>
    <row r="16" spans="2:45" s="458" customFormat="1" x14ac:dyDescent="0.2">
      <c r="B16" s="464" t="str">
        <f>Est2018TransRev!B16</f>
        <v>Low voltage large 2 rate</v>
      </c>
      <c r="C16" s="579"/>
      <c r="D16" s="478">
        <v>5.4089999999999998</v>
      </c>
      <c r="E16" s="473">
        <v>0</v>
      </c>
      <c r="F16" s="473">
        <v>0</v>
      </c>
      <c r="G16" s="473">
        <v>0</v>
      </c>
      <c r="H16" s="473">
        <v>0</v>
      </c>
      <c r="I16" s="473">
        <v>0</v>
      </c>
      <c r="J16" s="473">
        <v>0</v>
      </c>
      <c r="K16" s="473">
        <v>0</v>
      </c>
      <c r="L16" s="473">
        <v>0</v>
      </c>
      <c r="M16" s="473">
        <v>0</v>
      </c>
      <c r="N16" s="473">
        <v>0</v>
      </c>
      <c r="O16" s="473">
        <v>0</v>
      </c>
      <c r="P16" s="596">
        <v>0</v>
      </c>
      <c r="R16" s="583">
        <f>Est2018TransRev!R16</f>
        <v>6546.679367207641</v>
      </c>
      <c r="S16" s="584">
        <f>Est2018TransRev!S16</f>
        <v>0</v>
      </c>
      <c r="T16" s="584">
        <f>Est2018TransRev!T16</f>
        <v>0</v>
      </c>
      <c r="U16" s="584">
        <f>Est2018TransRev!U16</f>
        <v>849445.1711176812</v>
      </c>
      <c r="V16" s="584">
        <f>Est2018TransRev!V16</f>
        <v>0</v>
      </c>
      <c r="W16" s="584">
        <f>Est2018TransRev!W16</f>
        <v>0</v>
      </c>
      <c r="X16" s="584">
        <f>Est2018TransRev!X16</f>
        <v>1153521.6860541257</v>
      </c>
      <c r="Y16" s="584">
        <f>Est2018TransRev!Y16</f>
        <v>1508497.2585641092</v>
      </c>
      <c r="Z16" s="584">
        <f>Est2018TransRev!Z16</f>
        <v>0</v>
      </c>
      <c r="AA16" s="584">
        <f>Est2018TransRev!AA16</f>
        <v>0</v>
      </c>
      <c r="AB16" s="584">
        <f>Est2018TransRev!AB16</f>
        <v>0</v>
      </c>
      <c r="AC16" s="584">
        <f>Est2018TransRev!AC16</f>
        <v>0</v>
      </c>
      <c r="AD16" s="585">
        <f>Est2018TransRev!AD16</f>
        <v>0</v>
      </c>
      <c r="AF16" s="556">
        <f t="shared" si="0"/>
        <v>354.10988697226128</v>
      </c>
      <c r="AG16" s="557">
        <f t="shared" si="1"/>
        <v>0</v>
      </c>
      <c r="AH16" s="557">
        <f t="shared" si="2"/>
        <v>0</v>
      </c>
      <c r="AI16" s="557">
        <f t="shared" si="3"/>
        <v>0</v>
      </c>
      <c r="AJ16" s="557">
        <f t="shared" si="4"/>
        <v>0</v>
      </c>
      <c r="AK16" s="557">
        <f t="shared" si="5"/>
        <v>0</v>
      </c>
      <c r="AL16" s="557">
        <f t="shared" si="6"/>
        <v>0</v>
      </c>
      <c r="AM16" s="557">
        <f t="shared" si="7"/>
        <v>0</v>
      </c>
      <c r="AN16" s="557">
        <f t="shared" si="8"/>
        <v>0</v>
      </c>
      <c r="AO16" s="557">
        <f t="shared" si="9"/>
        <v>0</v>
      </c>
      <c r="AP16" s="557">
        <f t="shared" si="10"/>
        <v>0</v>
      </c>
      <c r="AQ16" s="557">
        <f t="shared" si="11"/>
        <v>0</v>
      </c>
      <c r="AR16" s="557">
        <f t="shared" si="12"/>
        <v>0</v>
      </c>
      <c r="AS16" s="469">
        <f t="shared" si="13"/>
        <v>354.10988697226128</v>
      </c>
    </row>
    <row r="17" spans="2:45" s="458" customFormat="1" x14ac:dyDescent="0.2">
      <c r="B17" s="464" t="str">
        <f>Est2018TransRev!B17</f>
        <v>Low voltage KW time of use</v>
      </c>
      <c r="C17" s="579"/>
      <c r="D17" s="478">
        <v>5.4089999999999998</v>
      </c>
      <c r="E17" s="473">
        <v>0</v>
      </c>
      <c r="F17" s="473">
        <v>0</v>
      </c>
      <c r="G17" s="473">
        <v>0</v>
      </c>
      <c r="H17" s="473">
        <v>0</v>
      </c>
      <c r="I17" s="473">
        <v>0</v>
      </c>
      <c r="J17" s="473">
        <v>0</v>
      </c>
      <c r="K17" s="473">
        <v>0</v>
      </c>
      <c r="L17" s="473">
        <v>0</v>
      </c>
      <c r="M17" s="473">
        <v>0</v>
      </c>
      <c r="N17" s="473">
        <v>0</v>
      </c>
      <c r="O17" s="473">
        <v>0</v>
      </c>
      <c r="P17" s="596">
        <v>0</v>
      </c>
      <c r="R17" s="583">
        <f>Est2018TransRev!R17</f>
        <v>48172.706514614823</v>
      </c>
      <c r="S17" s="584">
        <f>Est2018TransRev!S17</f>
        <v>0</v>
      </c>
      <c r="T17" s="584">
        <f>Est2018TransRev!T17</f>
        <v>0</v>
      </c>
      <c r="U17" s="584">
        <f>Est2018TransRev!U17</f>
        <v>3089851.3218058241</v>
      </c>
      <c r="V17" s="584">
        <f>Est2018TransRev!V17</f>
        <v>0</v>
      </c>
      <c r="W17" s="584">
        <f>Est2018TransRev!W17</f>
        <v>0</v>
      </c>
      <c r="X17" s="584">
        <f>Est2018TransRev!X17</f>
        <v>4905638.0836019199</v>
      </c>
      <c r="Y17" s="584">
        <f>Est2018TransRev!Y17</f>
        <v>7484286.2595233629</v>
      </c>
      <c r="Z17" s="584">
        <f>Est2018TransRev!Z17</f>
        <v>0</v>
      </c>
      <c r="AA17" s="584">
        <f>Est2018TransRev!AA17</f>
        <v>0</v>
      </c>
      <c r="AB17" s="584">
        <f>Est2018TransRev!AB17</f>
        <v>593374.18803061428</v>
      </c>
      <c r="AC17" s="584">
        <f>Est2018TransRev!AC17</f>
        <v>0</v>
      </c>
      <c r="AD17" s="585">
        <f>Est2018TransRev!AD17</f>
        <v>0</v>
      </c>
      <c r="AF17" s="556">
        <f t="shared" si="0"/>
        <v>2605.6616953755156</v>
      </c>
      <c r="AG17" s="557">
        <f t="shared" si="1"/>
        <v>0</v>
      </c>
      <c r="AH17" s="557">
        <f t="shared" si="2"/>
        <v>0</v>
      </c>
      <c r="AI17" s="557">
        <f t="shared" si="3"/>
        <v>0</v>
      </c>
      <c r="AJ17" s="557">
        <f t="shared" si="4"/>
        <v>0</v>
      </c>
      <c r="AK17" s="557">
        <f t="shared" si="5"/>
        <v>0</v>
      </c>
      <c r="AL17" s="557">
        <f t="shared" si="6"/>
        <v>0</v>
      </c>
      <c r="AM17" s="557">
        <f t="shared" si="7"/>
        <v>0</v>
      </c>
      <c r="AN17" s="557">
        <f t="shared" si="8"/>
        <v>0</v>
      </c>
      <c r="AO17" s="557">
        <f t="shared" si="9"/>
        <v>0</v>
      </c>
      <c r="AP17" s="557">
        <f t="shared" si="10"/>
        <v>0</v>
      </c>
      <c r="AQ17" s="557">
        <f t="shared" si="11"/>
        <v>0</v>
      </c>
      <c r="AR17" s="557">
        <f t="shared" si="12"/>
        <v>0</v>
      </c>
      <c r="AS17" s="469">
        <f t="shared" si="13"/>
        <v>2605.6616953755156</v>
      </c>
    </row>
    <row r="18" spans="2:45" s="458" customFormat="1" x14ac:dyDescent="0.2">
      <c r="B18" s="464" t="str">
        <f>Est2018TransRev!B18</f>
        <v>Low voltage KW time of use - HOT</v>
      </c>
      <c r="C18" s="579"/>
      <c r="D18" s="478">
        <v>5.4089999999999998</v>
      </c>
      <c r="E18" s="473">
        <v>0</v>
      </c>
      <c r="F18" s="473">
        <v>0</v>
      </c>
      <c r="G18" s="473">
        <v>0</v>
      </c>
      <c r="H18" s="473">
        <v>0</v>
      </c>
      <c r="I18" s="473">
        <v>0</v>
      </c>
      <c r="J18" s="473">
        <v>0</v>
      </c>
      <c r="K18" s="473">
        <v>0</v>
      </c>
      <c r="L18" s="473">
        <v>0</v>
      </c>
      <c r="M18" s="473">
        <v>0</v>
      </c>
      <c r="N18" s="473">
        <v>0</v>
      </c>
      <c r="O18" s="473">
        <v>0</v>
      </c>
      <c r="P18" s="596">
        <v>0</v>
      </c>
      <c r="R18" s="583">
        <f>Est2018TransRev!R18</f>
        <v>3377.2963478435508</v>
      </c>
      <c r="S18" s="584">
        <f>Est2018TransRev!S18</f>
        <v>0</v>
      </c>
      <c r="T18" s="584">
        <f>Est2018TransRev!T18</f>
        <v>0</v>
      </c>
      <c r="U18" s="584">
        <f>Est2018TransRev!U18</f>
        <v>108342.11368740152</v>
      </c>
      <c r="V18" s="584">
        <f>Est2018TransRev!V18</f>
        <v>0</v>
      </c>
      <c r="W18" s="584">
        <f>Est2018TransRev!W18</f>
        <v>0</v>
      </c>
      <c r="X18" s="584">
        <f>Est2018TransRev!X18</f>
        <v>359846.06235580798</v>
      </c>
      <c r="Y18" s="584">
        <f>Est2018TransRev!Y18</f>
        <v>701806.42737128097</v>
      </c>
      <c r="Z18" s="584">
        <f>Est2018TransRev!Z18</f>
        <v>0</v>
      </c>
      <c r="AA18" s="584">
        <f>Est2018TransRev!AA18</f>
        <v>0</v>
      </c>
      <c r="AB18" s="584">
        <f>Est2018TransRev!AB18</f>
        <v>83234.846769077732</v>
      </c>
      <c r="AC18" s="584">
        <f>Est2018TransRev!AC18</f>
        <v>0</v>
      </c>
      <c r="AD18" s="585">
        <f>Est2018TransRev!AD18</f>
        <v>0</v>
      </c>
      <c r="AF18" s="556">
        <f t="shared" si="0"/>
        <v>182.67795945485767</v>
      </c>
      <c r="AG18" s="557">
        <f t="shared" si="1"/>
        <v>0</v>
      </c>
      <c r="AH18" s="557">
        <f t="shared" si="2"/>
        <v>0</v>
      </c>
      <c r="AI18" s="557">
        <f t="shared" si="3"/>
        <v>0</v>
      </c>
      <c r="AJ18" s="557">
        <f t="shared" si="4"/>
        <v>0</v>
      </c>
      <c r="AK18" s="557">
        <f t="shared" si="5"/>
        <v>0</v>
      </c>
      <c r="AL18" s="557">
        <f t="shared" si="6"/>
        <v>0</v>
      </c>
      <c r="AM18" s="557">
        <f t="shared" si="7"/>
        <v>0</v>
      </c>
      <c r="AN18" s="557">
        <f t="shared" si="8"/>
        <v>0</v>
      </c>
      <c r="AO18" s="557">
        <f t="shared" si="9"/>
        <v>0</v>
      </c>
      <c r="AP18" s="557">
        <f t="shared" si="10"/>
        <v>0</v>
      </c>
      <c r="AQ18" s="557">
        <f t="shared" si="11"/>
        <v>0</v>
      </c>
      <c r="AR18" s="557">
        <f t="shared" si="12"/>
        <v>0</v>
      </c>
      <c r="AS18" s="469">
        <f t="shared" si="13"/>
        <v>182.67795945485767</v>
      </c>
    </row>
    <row r="19" spans="2:45" s="458" customFormat="1" x14ac:dyDescent="0.2">
      <c r="B19" s="464" t="str">
        <f>Est2018TransRev!B19</f>
        <v>Low voltage large KVA time of use</v>
      </c>
      <c r="C19" s="579"/>
      <c r="D19" s="478">
        <v>5.4089999999999998</v>
      </c>
      <c r="E19" s="473">
        <v>0</v>
      </c>
      <c r="F19" s="473">
        <v>0</v>
      </c>
      <c r="G19" s="473">
        <v>0</v>
      </c>
      <c r="H19" s="473">
        <v>0</v>
      </c>
      <c r="I19" s="473">
        <v>0</v>
      </c>
      <c r="J19" s="473">
        <v>0</v>
      </c>
      <c r="K19" s="473">
        <v>0</v>
      </c>
      <c r="L19" s="473">
        <v>0</v>
      </c>
      <c r="M19" s="473">
        <v>0</v>
      </c>
      <c r="N19" s="473">
        <v>0</v>
      </c>
      <c r="O19" s="473">
        <v>0</v>
      </c>
      <c r="P19" s="596">
        <v>0</v>
      </c>
      <c r="R19" s="583">
        <f>Est2018TransRev!R19</f>
        <v>764344.95686236827</v>
      </c>
      <c r="S19" s="584">
        <f>Est2018TransRev!S19</f>
        <v>0</v>
      </c>
      <c r="T19" s="584">
        <f>Est2018TransRev!T19</f>
        <v>0</v>
      </c>
      <c r="U19" s="584">
        <f>Est2018TransRev!U19</f>
        <v>460132576.88722563</v>
      </c>
      <c r="V19" s="584">
        <f>Est2018TransRev!V19</f>
        <v>0</v>
      </c>
      <c r="W19" s="584">
        <f>Est2018TransRev!W19</f>
        <v>0</v>
      </c>
      <c r="X19" s="584">
        <f>Est2018TransRev!X19</f>
        <v>673775020.51341701</v>
      </c>
      <c r="Y19" s="584">
        <f>Est2018TransRev!Y19</f>
        <v>1285828208.3606589</v>
      </c>
      <c r="Z19" s="584">
        <f>Est2018TransRev!Z19</f>
        <v>0</v>
      </c>
      <c r="AA19" s="584">
        <f>Est2018TransRev!AA19</f>
        <v>322292593.38509929</v>
      </c>
      <c r="AB19" s="584">
        <f>Est2018TransRev!AB19</f>
        <v>94706335.244417608</v>
      </c>
      <c r="AC19" s="584">
        <f>Est2018TransRev!AC19</f>
        <v>0</v>
      </c>
      <c r="AD19" s="585">
        <f>Est2018TransRev!AD19</f>
        <v>0</v>
      </c>
      <c r="AF19" s="556">
        <f t="shared" si="0"/>
        <v>41343.418716685497</v>
      </c>
      <c r="AG19" s="557">
        <f t="shared" si="1"/>
        <v>0</v>
      </c>
      <c r="AH19" s="557">
        <f t="shared" si="2"/>
        <v>0</v>
      </c>
      <c r="AI19" s="557">
        <f t="shared" si="3"/>
        <v>0</v>
      </c>
      <c r="AJ19" s="557">
        <f t="shared" si="4"/>
        <v>0</v>
      </c>
      <c r="AK19" s="557">
        <f t="shared" si="5"/>
        <v>0</v>
      </c>
      <c r="AL19" s="557">
        <f t="shared" si="6"/>
        <v>0</v>
      </c>
      <c r="AM19" s="557">
        <f t="shared" si="7"/>
        <v>0</v>
      </c>
      <c r="AN19" s="557">
        <f t="shared" si="8"/>
        <v>0</v>
      </c>
      <c r="AO19" s="557">
        <f t="shared" si="9"/>
        <v>0</v>
      </c>
      <c r="AP19" s="557">
        <f t="shared" si="10"/>
        <v>0</v>
      </c>
      <c r="AQ19" s="557">
        <f t="shared" si="11"/>
        <v>0</v>
      </c>
      <c r="AR19" s="557">
        <f t="shared" si="12"/>
        <v>0</v>
      </c>
      <c r="AS19" s="469">
        <f t="shared" si="13"/>
        <v>41343.418716685497</v>
      </c>
    </row>
    <row r="20" spans="2:45" s="458" customFormat="1" x14ac:dyDescent="0.2">
      <c r="B20" s="464" t="str">
        <f>Est2018TransRev!B20</f>
        <v>Low voltage large KVA time of use - HOT</v>
      </c>
      <c r="C20" s="579"/>
      <c r="D20" s="478">
        <v>5.4089999999999998</v>
      </c>
      <c r="E20" s="473">
        <v>0</v>
      </c>
      <c r="F20" s="473">
        <v>0</v>
      </c>
      <c r="G20" s="473">
        <v>0</v>
      </c>
      <c r="H20" s="473">
        <v>0</v>
      </c>
      <c r="I20" s="473">
        <v>0</v>
      </c>
      <c r="J20" s="473">
        <v>0</v>
      </c>
      <c r="K20" s="473">
        <v>0</v>
      </c>
      <c r="L20" s="473">
        <v>0</v>
      </c>
      <c r="M20" s="473">
        <v>0</v>
      </c>
      <c r="N20" s="473">
        <v>0</v>
      </c>
      <c r="O20" s="473">
        <v>0</v>
      </c>
      <c r="P20" s="596">
        <v>0</v>
      </c>
      <c r="R20" s="583">
        <f>Est2018TransRev!R20</f>
        <v>0</v>
      </c>
      <c r="S20" s="584">
        <f>Est2018TransRev!S20</f>
        <v>0</v>
      </c>
      <c r="T20" s="584">
        <f>Est2018TransRev!T20</f>
        <v>0</v>
      </c>
      <c r="U20" s="584">
        <f>Est2018TransRev!U20</f>
        <v>0</v>
      </c>
      <c r="V20" s="584">
        <f>Est2018TransRev!V20</f>
        <v>0</v>
      </c>
      <c r="W20" s="584">
        <f>Est2018TransRev!W20</f>
        <v>0</v>
      </c>
      <c r="X20" s="584">
        <f>Est2018TransRev!X20</f>
        <v>0</v>
      </c>
      <c r="Y20" s="584">
        <f>Est2018TransRev!Y20</f>
        <v>0</v>
      </c>
      <c r="Z20" s="584">
        <f>Est2018TransRev!Z20</f>
        <v>0</v>
      </c>
      <c r="AA20" s="584">
        <f>Est2018TransRev!AA20</f>
        <v>0</v>
      </c>
      <c r="AB20" s="584">
        <f>Est2018TransRev!AB20</f>
        <v>0</v>
      </c>
      <c r="AC20" s="584">
        <f>Est2018TransRev!AC20</f>
        <v>0</v>
      </c>
      <c r="AD20" s="585">
        <f>Est2018TransRev!AD20</f>
        <v>0</v>
      </c>
      <c r="AF20" s="556">
        <f t="shared" si="0"/>
        <v>0</v>
      </c>
      <c r="AG20" s="557">
        <f t="shared" si="1"/>
        <v>0</v>
      </c>
      <c r="AH20" s="557">
        <f t="shared" si="2"/>
        <v>0</v>
      </c>
      <c r="AI20" s="557">
        <f t="shared" si="3"/>
        <v>0</v>
      </c>
      <c r="AJ20" s="557">
        <f t="shared" si="4"/>
        <v>0</v>
      </c>
      <c r="AK20" s="557">
        <f t="shared" si="5"/>
        <v>0</v>
      </c>
      <c r="AL20" s="557">
        <f t="shared" si="6"/>
        <v>0</v>
      </c>
      <c r="AM20" s="557">
        <f t="shared" si="7"/>
        <v>0</v>
      </c>
      <c r="AN20" s="557">
        <f t="shared" si="8"/>
        <v>0</v>
      </c>
      <c r="AO20" s="557">
        <f t="shared" si="9"/>
        <v>0</v>
      </c>
      <c r="AP20" s="557">
        <f t="shared" si="10"/>
        <v>0</v>
      </c>
      <c r="AQ20" s="557">
        <f t="shared" si="11"/>
        <v>0</v>
      </c>
      <c r="AR20" s="557">
        <f t="shared" si="12"/>
        <v>0</v>
      </c>
      <c r="AS20" s="469">
        <f t="shared" si="13"/>
        <v>0</v>
      </c>
    </row>
    <row r="21" spans="2:45" s="458" customFormat="1" x14ac:dyDescent="0.2">
      <c r="B21" s="464" t="str">
        <f>Est2018TransRev!B21</f>
        <v>High voltage KVA time of use</v>
      </c>
      <c r="C21" s="579"/>
      <c r="D21" s="478">
        <v>5.4089999999999998</v>
      </c>
      <c r="E21" s="473">
        <v>0</v>
      </c>
      <c r="F21" s="473">
        <v>0</v>
      </c>
      <c r="G21" s="473">
        <v>0</v>
      </c>
      <c r="H21" s="473">
        <v>0</v>
      </c>
      <c r="I21" s="473">
        <v>0</v>
      </c>
      <c r="J21" s="473">
        <v>0</v>
      </c>
      <c r="K21" s="473">
        <v>0</v>
      </c>
      <c r="L21" s="473">
        <v>0</v>
      </c>
      <c r="M21" s="473">
        <v>0</v>
      </c>
      <c r="N21" s="473">
        <v>0</v>
      </c>
      <c r="O21" s="473">
        <v>0</v>
      </c>
      <c r="P21" s="596">
        <v>0</v>
      </c>
      <c r="R21" s="583">
        <f>Est2018TransRev!R21</f>
        <v>23617.124230962414</v>
      </c>
      <c r="S21" s="584">
        <f>Est2018TransRev!S21</f>
        <v>0</v>
      </c>
      <c r="T21" s="584">
        <f>Est2018TransRev!T21</f>
        <v>0</v>
      </c>
      <c r="U21" s="584">
        <f>Est2018TransRev!U21</f>
        <v>174081366.56664249</v>
      </c>
      <c r="V21" s="584">
        <f>Est2018TransRev!V21</f>
        <v>0</v>
      </c>
      <c r="W21" s="584">
        <f>Est2018TransRev!W21</f>
        <v>0</v>
      </c>
      <c r="X21" s="584">
        <f>Est2018TransRev!X21</f>
        <v>259668945.42942247</v>
      </c>
      <c r="Y21" s="584">
        <f>Est2018TransRev!Y21</f>
        <v>644419593.14659941</v>
      </c>
      <c r="Z21" s="584">
        <f>Est2018TransRev!Z21</f>
        <v>0</v>
      </c>
      <c r="AA21" s="584">
        <f>Est2018TransRev!AA21</f>
        <v>104174290.29862042</v>
      </c>
      <c r="AB21" s="584">
        <f>Est2018TransRev!AB21</f>
        <v>32696351.560311582</v>
      </c>
      <c r="AC21" s="584">
        <f>Est2018TransRev!AC21</f>
        <v>0</v>
      </c>
      <c r="AD21" s="585">
        <f>Est2018TransRev!AD21</f>
        <v>0</v>
      </c>
      <c r="AF21" s="556">
        <f t="shared" si="0"/>
        <v>1277.4502496527571</v>
      </c>
      <c r="AG21" s="557">
        <f t="shared" si="1"/>
        <v>0</v>
      </c>
      <c r="AH21" s="557">
        <f t="shared" si="2"/>
        <v>0</v>
      </c>
      <c r="AI21" s="557">
        <f t="shared" si="3"/>
        <v>0</v>
      </c>
      <c r="AJ21" s="557">
        <f t="shared" si="4"/>
        <v>0</v>
      </c>
      <c r="AK21" s="557">
        <f t="shared" si="5"/>
        <v>0</v>
      </c>
      <c r="AL21" s="557">
        <f t="shared" si="6"/>
        <v>0</v>
      </c>
      <c r="AM21" s="557">
        <f t="shared" si="7"/>
        <v>0</v>
      </c>
      <c r="AN21" s="557">
        <f t="shared" si="8"/>
        <v>0</v>
      </c>
      <c r="AO21" s="557">
        <f t="shared" si="9"/>
        <v>0</v>
      </c>
      <c r="AP21" s="557">
        <f t="shared" si="10"/>
        <v>0</v>
      </c>
      <c r="AQ21" s="557">
        <f t="shared" si="11"/>
        <v>0</v>
      </c>
      <c r="AR21" s="557">
        <f t="shared" si="12"/>
        <v>0</v>
      </c>
      <c r="AS21" s="469">
        <f t="shared" si="13"/>
        <v>1277.4502496527571</v>
      </c>
    </row>
    <row r="22" spans="2:45" s="458" customFormat="1" x14ac:dyDescent="0.2">
      <c r="B22" s="477" t="str">
        <f>Est2018TransRev!B22</f>
        <v>High voltage KVA time of use - HOT</v>
      </c>
      <c r="C22" s="579"/>
      <c r="D22" s="478">
        <v>5.4089999999999998</v>
      </c>
      <c r="E22" s="473">
        <v>0</v>
      </c>
      <c r="F22" s="473">
        <v>0</v>
      </c>
      <c r="G22" s="473">
        <v>0</v>
      </c>
      <c r="H22" s="473">
        <v>0</v>
      </c>
      <c r="I22" s="473">
        <v>0</v>
      </c>
      <c r="J22" s="473">
        <v>0</v>
      </c>
      <c r="K22" s="473">
        <v>0</v>
      </c>
      <c r="L22" s="473">
        <v>0</v>
      </c>
      <c r="M22" s="473">
        <v>0</v>
      </c>
      <c r="N22" s="473">
        <v>0</v>
      </c>
      <c r="O22" s="473">
        <v>0</v>
      </c>
      <c r="P22" s="596">
        <v>0</v>
      </c>
      <c r="R22" s="583">
        <f>Est2018TransRev!R22</f>
        <v>0</v>
      </c>
      <c r="S22" s="584">
        <f>Est2018TransRev!S22</f>
        <v>0</v>
      </c>
      <c r="T22" s="584">
        <f>Est2018TransRev!T22</f>
        <v>0</v>
      </c>
      <c r="U22" s="584">
        <f>Est2018TransRev!U22</f>
        <v>0</v>
      </c>
      <c r="V22" s="584">
        <f>Est2018TransRev!V22</f>
        <v>0</v>
      </c>
      <c r="W22" s="584">
        <f>Est2018TransRev!W22</f>
        <v>0</v>
      </c>
      <c r="X22" s="584">
        <f>Est2018TransRev!X22</f>
        <v>0</v>
      </c>
      <c r="Y22" s="584">
        <f>Est2018TransRev!Y22</f>
        <v>0</v>
      </c>
      <c r="Z22" s="584">
        <f>Est2018TransRev!Z22</f>
        <v>0</v>
      </c>
      <c r="AA22" s="584">
        <f>Est2018TransRev!AA22</f>
        <v>0</v>
      </c>
      <c r="AB22" s="584">
        <f>Est2018TransRev!AB22</f>
        <v>0</v>
      </c>
      <c r="AC22" s="584">
        <f>Est2018TransRev!AC22</f>
        <v>0</v>
      </c>
      <c r="AD22" s="585">
        <f>Est2018TransRev!AD22</f>
        <v>0</v>
      </c>
      <c r="AF22" s="556">
        <f t="shared" si="0"/>
        <v>0</v>
      </c>
      <c r="AG22" s="557">
        <f t="shared" si="1"/>
        <v>0</v>
      </c>
      <c r="AH22" s="557">
        <f t="shared" si="2"/>
        <v>0</v>
      </c>
      <c r="AI22" s="557">
        <f t="shared" si="3"/>
        <v>0</v>
      </c>
      <c r="AJ22" s="557">
        <f t="shared" si="4"/>
        <v>0</v>
      </c>
      <c r="AK22" s="557">
        <f t="shared" si="5"/>
        <v>0</v>
      </c>
      <c r="AL22" s="557">
        <f t="shared" si="6"/>
        <v>0</v>
      </c>
      <c r="AM22" s="557">
        <f t="shared" si="7"/>
        <v>0</v>
      </c>
      <c r="AN22" s="557">
        <f t="shared" si="8"/>
        <v>0</v>
      </c>
      <c r="AO22" s="557">
        <f t="shared" si="9"/>
        <v>0</v>
      </c>
      <c r="AP22" s="557">
        <f t="shared" si="10"/>
        <v>0</v>
      </c>
      <c r="AQ22" s="557">
        <f t="shared" si="11"/>
        <v>0</v>
      </c>
      <c r="AR22" s="557">
        <f t="shared" si="12"/>
        <v>0</v>
      </c>
      <c r="AS22" s="469">
        <f t="shared" si="13"/>
        <v>0</v>
      </c>
    </row>
    <row r="23" spans="2:45" s="458" customFormat="1" x14ac:dyDescent="0.2">
      <c r="B23" s="464" t="str">
        <f>Est2018TransRev!B23</f>
        <v>Subtransmission KVA time of use</v>
      </c>
      <c r="C23" s="579"/>
      <c r="D23" s="478">
        <v>5.4089999999999998</v>
      </c>
      <c r="E23" s="473">
        <v>0</v>
      </c>
      <c r="F23" s="473">
        <v>0</v>
      </c>
      <c r="G23" s="473">
        <v>0</v>
      </c>
      <c r="H23" s="473">
        <v>0</v>
      </c>
      <c r="I23" s="473">
        <v>0</v>
      </c>
      <c r="J23" s="473">
        <v>0</v>
      </c>
      <c r="K23" s="473">
        <v>0</v>
      </c>
      <c r="L23" s="473">
        <v>0</v>
      </c>
      <c r="M23" s="473">
        <v>0</v>
      </c>
      <c r="N23" s="473">
        <v>0</v>
      </c>
      <c r="O23" s="473">
        <v>0</v>
      </c>
      <c r="P23" s="596">
        <v>0</v>
      </c>
      <c r="R23" s="583">
        <f>Est2018TransRev!R23</f>
        <v>254.9822872220187</v>
      </c>
      <c r="S23" s="584">
        <f>Est2018TransRev!S23</f>
        <v>0</v>
      </c>
      <c r="T23" s="584">
        <f>Est2018TransRev!T23</f>
        <v>0</v>
      </c>
      <c r="U23" s="584">
        <f>Est2018TransRev!U23</f>
        <v>8490617.7384865712</v>
      </c>
      <c r="V23" s="584">
        <f>Est2018TransRev!V23</f>
        <v>0</v>
      </c>
      <c r="W23" s="584">
        <f>Est2018TransRev!W23</f>
        <v>0</v>
      </c>
      <c r="X23" s="584">
        <f>Est2018TransRev!X23</f>
        <v>11592624.597042518</v>
      </c>
      <c r="Y23" s="584">
        <f>Est2018TransRev!Y23</f>
        <v>16560893.601771353</v>
      </c>
      <c r="Z23" s="584">
        <f>Est2018TransRev!Z23</f>
        <v>0</v>
      </c>
      <c r="AA23" s="584">
        <f>Est2018TransRev!AA23</f>
        <v>4295974.8330156021</v>
      </c>
      <c r="AB23" s="584">
        <f>Est2018TransRev!AB23</f>
        <v>1468306.6399210575</v>
      </c>
      <c r="AC23" s="584">
        <f>Est2018TransRev!AC23</f>
        <v>0</v>
      </c>
      <c r="AD23" s="585">
        <f>Est2018TransRev!AD23</f>
        <v>0</v>
      </c>
      <c r="AF23" s="556">
        <f t="shared" si="0"/>
        <v>13.791991915838992</v>
      </c>
      <c r="AG23" s="557">
        <f t="shared" si="1"/>
        <v>0</v>
      </c>
      <c r="AH23" s="557">
        <f t="shared" si="2"/>
        <v>0</v>
      </c>
      <c r="AI23" s="557">
        <f t="shared" si="3"/>
        <v>0</v>
      </c>
      <c r="AJ23" s="557">
        <f t="shared" si="4"/>
        <v>0</v>
      </c>
      <c r="AK23" s="557">
        <f t="shared" si="5"/>
        <v>0</v>
      </c>
      <c r="AL23" s="557">
        <f t="shared" si="6"/>
        <v>0</v>
      </c>
      <c r="AM23" s="557">
        <f t="shared" si="7"/>
        <v>0</v>
      </c>
      <c r="AN23" s="557">
        <f t="shared" si="8"/>
        <v>0</v>
      </c>
      <c r="AO23" s="557">
        <f t="shared" si="9"/>
        <v>0</v>
      </c>
      <c r="AP23" s="557">
        <f t="shared" si="10"/>
        <v>0</v>
      </c>
      <c r="AQ23" s="557">
        <f t="shared" si="11"/>
        <v>0</v>
      </c>
      <c r="AR23" s="557">
        <f t="shared" si="12"/>
        <v>0</v>
      </c>
      <c r="AS23" s="469">
        <f t="shared" si="13"/>
        <v>13.791991915838992</v>
      </c>
    </row>
    <row r="24" spans="2:45" s="458" customFormat="1" x14ac:dyDescent="0.2">
      <c r="B24" s="464" t="str">
        <f>Est2018TransRev!B24</f>
        <v>TOD</v>
      </c>
      <c r="C24" s="579"/>
      <c r="D24" s="478">
        <v>5.4089999999999998</v>
      </c>
      <c r="E24" s="473">
        <v>0</v>
      </c>
      <c r="F24" s="473">
        <v>0</v>
      </c>
      <c r="G24" s="473">
        <v>0</v>
      </c>
      <c r="H24" s="473">
        <v>0</v>
      </c>
      <c r="I24" s="473">
        <v>0</v>
      </c>
      <c r="J24" s="473">
        <v>0</v>
      </c>
      <c r="K24" s="473">
        <v>0</v>
      </c>
      <c r="L24" s="473">
        <v>0</v>
      </c>
      <c r="M24" s="473">
        <v>0</v>
      </c>
      <c r="N24" s="473">
        <v>0</v>
      </c>
      <c r="O24" s="473">
        <v>0</v>
      </c>
      <c r="P24" s="596">
        <v>0</v>
      </c>
      <c r="R24" s="583">
        <f>Est2018TransRev!R24</f>
        <v>15646965.572124485</v>
      </c>
      <c r="S24" s="584">
        <f>Est2018TransRev!S24</f>
        <v>0</v>
      </c>
      <c r="T24" s="584">
        <f>Est2018TransRev!T24</f>
        <v>12981338.044567086</v>
      </c>
      <c r="U24" s="584">
        <f>Est2018TransRev!U24</f>
        <v>24005631.63872676</v>
      </c>
      <c r="V24" s="584">
        <f>Est2018TransRev!V24</f>
        <v>0</v>
      </c>
      <c r="W24" s="584">
        <f>Est2018TransRev!W24</f>
        <v>0</v>
      </c>
      <c r="X24" s="584">
        <f>Est2018TransRev!X24</f>
        <v>44926998.687545806</v>
      </c>
      <c r="Y24" s="584">
        <f>Est2018TransRev!Y24</f>
        <v>113601967.92548038</v>
      </c>
      <c r="Z24" s="584">
        <f>Est2018TransRev!Z24</f>
        <v>24041636.918775704</v>
      </c>
      <c r="AA24" s="584">
        <f>Est2018TransRev!AA24</f>
        <v>0</v>
      </c>
      <c r="AB24" s="584">
        <f>Est2018TransRev!AB24</f>
        <v>0</v>
      </c>
      <c r="AC24" s="584">
        <f>Est2018TransRev!AC24</f>
        <v>0</v>
      </c>
      <c r="AD24" s="585">
        <f>Est2018TransRev!AD24</f>
        <v>0</v>
      </c>
      <c r="AF24" s="556">
        <f t="shared" si="0"/>
        <v>846344.36779621337</v>
      </c>
      <c r="AG24" s="557">
        <f t="shared" si="1"/>
        <v>0</v>
      </c>
      <c r="AH24" s="557">
        <f t="shared" si="2"/>
        <v>0</v>
      </c>
      <c r="AI24" s="557">
        <f t="shared" si="3"/>
        <v>0</v>
      </c>
      <c r="AJ24" s="557">
        <f t="shared" si="4"/>
        <v>0</v>
      </c>
      <c r="AK24" s="557">
        <f t="shared" si="5"/>
        <v>0</v>
      </c>
      <c r="AL24" s="557">
        <f t="shared" si="6"/>
        <v>0</v>
      </c>
      <c r="AM24" s="557">
        <f t="shared" si="7"/>
        <v>0</v>
      </c>
      <c r="AN24" s="557">
        <f t="shared" si="8"/>
        <v>0</v>
      </c>
      <c r="AO24" s="557">
        <f t="shared" si="9"/>
        <v>0</v>
      </c>
      <c r="AP24" s="557">
        <f t="shared" si="10"/>
        <v>0</v>
      </c>
      <c r="AQ24" s="557">
        <f t="shared" si="11"/>
        <v>0</v>
      </c>
      <c r="AR24" s="557">
        <f t="shared" si="12"/>
        <v>0</v>
      </c>
      <c r="AS24" s="469">
        <f t="shared" si="13"/>
        <v>846344.36779621337</v>
      </c>
    </row>
    <row r="25" spans="2:45" s="458" customFormat="1" x14ac:dyDescent="0.2">
      <c r="B25" s="464" t="str">
        <f>Est2018TransRev!B25</f>
        <v>TOD9</v>
      </c>
      <c r="C25" s="579"/>
      <c r="D25" s="478">
        <v>5.4089999999999998</v>
      </c>
      <c r="E25" s="473">
        <v>0</v>
      </c>
      <c r="F25" s="473">
        <v>0</v>
      </c>
      <c r="G25" s="473">
        <v>0</v>
      </c>
      <c r="H25" s="473">
        <v>0</v>
      </c>
      <c r="I25" s="473">
        <v>0</v>
      </c>
      <c r="J25" s="473">
        <v>0</v>
      </c>
      <c r="K25" s="473">
        <v>0</v>
      </c>
      <c r="L25" s="473">
        <v>0</v>
      </c>
      <c r="M25" s="473">
        <v>0</v>
      </c>
      <c r="N25" s="473">
        <v>0</v>
      </c>
      <c r="O25" s="473">
        <v>0</v>
      </c>
      <c r="P25" s="596">
        <v>0</v>
      </c>
      <c r="R25" s="583">
        <f>Est2018TransRev!R25</f>
        <v>698982.3764513043</v>
      </c>
      <c r="S25" s="584">
        <f>Est2018TransRev!S25</f>
        <v>0</v>
      </c>
      <c r="T25" s="584">
        <f>Est2018TransRev!T25</f>
        <v>458383.27284907468</v>
      </c>
      <c r="U25" s="584">
        <f>Est2018TransRev!U25</f>
        <v>704379.18300563958</v>
      </c>
      <c r="V25" s="584">
        <f>Est2018TransRev!V25</f>
        <v>0</v>
      </c>
      <c r="W25" s="584">
        <f>Est2018TransRev!W25</f>
        <v>0</v>
      </c>
      <c r="X25" s="584">
        <f>Est2018TransRev!X25</f>
        <v>1715045.284054603</v>
      </c>
      <c r="Y25" s="584">
        <f>Est2018TransRev!Y25</f>
        <v>5147486.2983944518</v>
      </c>
      <c r="Z25" s="584">
        <f>Est2018TransRev!Z25</f>
        <v>1156234.759408884</v>
      </c>
      <c r="AA25" s="584">
        <f>Est2018TransRev!AA25</f>
        <v>0</v>
      </c>
      <c r="AB25" s="584">
        <f>Est2018TransRev!AB25</f>
        <v>0</v>
      </c>
      <c r="AC25" s="584">
        <f>Est2018TransRev!AC25</f>
        <v>0</v>
      </c>
      <c r="AD25" s="585">
        <f>Est2018TransRev!AD25</f>
        <v>0</v>
      </c>
      <c r="AF25" s="556">
        <f t="shared" si="0"/>
        <v>37807.956742251052</v>
      </c>
      <c r="AG25" s="557">
        <f t="shared" si="1"/>
        <v>0</v>
      </c>
      <c r="AH25" s="557">
        <f t="shared" si="2"/>
        <v>0</v>
      </c>
      <c r="AI25" s="557">
        <f t="shared" si="3"/>
        <v>0</v>
      </c>
      <c r="AJ25" s="557">
        <f t="shared" si="4"/>
        <v>0</v>
      </c>
      <c r="AK25" s="557">
        <f t="shared" si="5"/>
        <v>0</v>
      </c>
      <c r="AL25" s="557">
        <f t="shared" si="6"/>
        <v>0</v>
      </c>
      <c r="AM25" s="557">
        <f t="shared" si="7"/>
        <v>0</v>
      </c>
      <c r="AN25" s="557">
        <f t="shared" si="8"/>
        <v>0</v>
      </c>
      <c r="AO25" s="557">
        <f t="shared" si="9"/>
        <v>0</v>
      </c>
      <c r="AP25" s="557">
        <f t="shared" si="10"/>
        <v>0</v>
      </c>
      <c r="AQ25" s="557">
        <f t="shared" si="11"/>
        <v>0</v>
      </c>
      <c r="AR25" s="557">
        <f t="shared" si="12"/>
        <v>0</v>
      </c>
      <c r="AS25" s="469">
        <f t="shared" si="13"/>
        <v>37807.956742251052</v>
      </c>
    </row>
    <row r="26" spans="2:45" s="458" customFormat="1" x14ac:dyDescent="0.2">
      <c r="B26" s="464" t="str">
        <f>Est2018TransRev!B26</f>
        <v>TOU</v>
      </c>
      <c r="C26" s="579"/>
      <c r="D26" s="478">
        <v>5.4089999999999998</v>
      </c>
      <c r="E26" s="473">
        <v>0</v>
      </c>
      <c r="F26" s="473">
        <v>0</v>
      </c>
      <c r="G26" s="473">
        <v>0</v>
      </c>
      <c r="H26" s="473">
        <v>0</v>
      </c>
      <c r="I26" s="473">
        <v>0</v>
      </c>
      <c r="J26" s="473">
        <v>0</v>
      </c>
      <c r="K26" s="473">
        <v>0</v>
      </c>
      <c r="L26" s="473">
        <v>0</v>
      </c>
      <c r="M26" s="473">
        <v>0</v>
      </c>
      <c r="N26" s="473">
        <v>0</v>
      </c>
      <c r="O26" s="473">
        <v>0</v>
      </c>
      <c r="P26" s="596">
        <v>0</v>
      </c>
      <c r="R26" s="583">
        <f>Est2018TransRev!R26</f>
        <v>168848.19915218107</v>
      </c>
      <c r="S26" s="584">
        <f>Est2018TransRev!S26</f>
        <v>0</v>
      </c>
      <c r="T26" s="584">
        <f>Est2018TransRev!T26</f>
        <v>0</v>
      </c>
      <c r="U26" s="584">
        <f>Est2018TransRev!U26</f>
        <v>4805127.267966155</v>
      </c>
      <c r="V26" s="584">
        <f>Est2018TransRev!V26</f>
        <v>0</v>
      </c>
      <c r="W26" s="584">
        <f>Est2018TransRev!W26</f>
        <v>0</v>
      </c>
      <c r="X26" s="584">
        <f>Est2018TransRev!X26</f>
        <v>8039117.8005384253</v>
      </c>
      <c r="Y26" s="584">
        <f>Est2018TransRev!Y26</f>
        <v>9760139.2286830526</v>
      </c>
      <c r="Z26" s="584">
        <f>Est2018TransRev!Z26</f>
        <v>0</v>
      </c>
      <c r="AA26" s="584">
        <f>Est2018TransRev!AA26</f>
        <v>0</v>
      </c>
      <c r="AB26" s="584">
        <f>Est2018TransRev!AB26</f>
        <v>812870.66145761427</v>
      </c>
      <c r="AC26" s="584">
        <f>Est2018TransRev!AC26</f>
        <v>0</v>
      </c>
      <c r="AD26" s="585">
        <f>Est2018TransRev!AD26</f>
        <v>0</v>
      </c>
      <c r="AF26" s="556">
        <f t="shared" si="0"/>
        <v>9132.9990921414737</v>
      </c>
      <c r="AG26" s="557">
        <f t="shared" si="1"/>
        <v>0</v>
      </c>
      <c r="AH26" s="557">
        <f t="shared" si="2"/>
        <v>0</v>
      </c>
      <c r="AI26" s="557">
        <f t="shared" si="3"/>
        <v>0</v>
      </c>
      <c r="AJ26" s="557">
        <f t="shared" si="4"/>
        <v>0</v>
      </c>
      <c r="AK26" s="557">
        <f t="shared" si="5"/>
        <v>0</v>
      </c>
      <c r="AL26" s="557">
        <f t="shared" si="6"/>
        <v>0</v>
      </c>
      <c r="AM26" s="557">
        <f t="shared" si="7"/>
        <v>0</v>
      </c>
      <c r="AN26" s="557">
        <f t="shared" si="8"/>
        <v>0</v>
      </c>
      <c r="AO26" s="557">
        <f t="shared" si="9"/>
        <v>0</v>
      </c>
      <c r="AP26" s="557">
        <f t="shared" si="10"/>
        <v>0</v>
      </c>
      <c r="AQ26" s="557">
        <f t="shared" si="11"/>
        <v>0</v>
      </c>
      <c r="AR26" s="557">
        <f t="shared" si="12"/>
        <v>0</v>
      </c>
      <c r="AS26" s="469">
        <f t="shared" si="13"/>
        <v>9132.9990921414737</v>
      </c>
    </row>
    <row r="27" spans="2:45" s="458" customFormat="1" x14ac:dyDescent="0.2">
      <c r="B27" s="477" t="str">
        <f>Est2018TransRev!B27</f>
        <v>TODFLEX</v>
      </c>
      <c r="C27" s="579"/>
      <c r="D27" s="478">
        <v>5.4089999999999998</v>
      </c>
      <c r="E27" s="473">
        <v>0</v>
      </c>
      <c r="F27" s="473">
        <v>0</v>
      </c>
      <c r="G27" s="473">
        <v>0</v>
      </c>
      <c r="H27" s="473">
        <v>0</v>
      </c>
      <c r="I27" s="473">
        <v>0</v>
      </c>
      <c r="J27" s="473">
        <v>0</v>
      </c>
      <c r="K27" s="473">
        <v>0</v>
      </c>
      <c r="L27" s="473">
        <v>0</v>
      </c>
      <c r="M27" s="473">
        <v>0</v>
      </c>
      <c r="N27" s="473">
        <v>0</v>
      </c>
      <c r="O27" s="473">
        <v>0</v>
      </c>
      <c r="P27" s="596">
        <v>0</v>
      </c>
      <c r="R27" s="583">
        <f>Est2018TransRev!R27</f>
        <v>707665.9845626707</v>
      </c>
      <c r="S27" s="584">
        <f>Est2018TransRev!S27</f>
        <v>0</v>
      </c>
      <c r="T27" s="584">
        <f>Est2018TransRev!T27</f>
        <v>1751306.7666805629</v>
      </c>
      <c r="U27" s="584">
        <f>Est2018TransRev!U27</f>
        <v>851710.93174947728</v>
      </c>
      <c r="V27" s="584">
        <f>Est2018TransRev!V27</f>
        <v>0</v>
      </c>
      <c r="W27" s="584">
        <f>Est2018TransRev!W27</f>
        <v>0</v>
      </c>
      <c r="X27" s="584">
        <f>Est2018TransRev!X27</f>
        <v>1453136.0320939666</v>
      </c>
      <c r="Y27" s="584">
        <f>Est2018TransRev!Y27</f>
        <v>3614429.9433507249</v>
      </c>
      <c r="Z27" s="584">
        <f>Est2018TransRev!Z27</f>
        <v>3021129.6229164279</v>
      </c>
      <c r="AA27" s="584">
        <f>Est2018TransRev!AA27</f>
        <v>0</v>
      </c>
      <c r="AB27" s="584">
        <f>Est2018TransRev!AB27</f>
        <v>0</v>
      </c>
      <c r="AC27" s="584">
        <f>Est2018TransRev!AC27</f>
        <v>0</v>
      </c>
      <c r="AD27" s="585">
        <f>Est2018TransRev!AD27</f>
        <v>0</v>
      </c>
      <c r="AF27" s="556">
        <f t="shared" si="0"/>
        <v>38277.653104994861</v>
      </c>
      <c r="AG27" s="557">
        <f t="shared" si="1"/>
        <v>0</v>
      </c>
      <c r="AH27" s="557">
        <f t="shared" si="2"/>
        <v>0</v>
      </c>
      <c r="AI27" s="557">
        <f t="shared" si="3"/>
        <v>0</v>
      </c>
      <c r="AJ27" s="557">
        <f t="shared" si="4"/>
        <v>0</v>
      </c>
      <c r="AK27" s="557">
        <f t="shared" si="5"/>
        <v>0</v>
      </c>
      <c r="AL27" s="557">
        <f t="shared" si="6"/>
        <v>0</v>
      </c>
      <c r="AM27" s="557">
        <f t="shared" si="7"/>
        <v>0</v>
      </c>
      <c r="AN27" s="557">
        <f t="shared" si="8"/>
        <v>0</v>
      </c>
      <c r="AO27" s="557">
        <f t="shared" si="9"/>
        <v>0</v>
      </c>
      <c r="AP27" s="557">
        <f t="shared" si="10"/>
        <v>0</v>
      </c>
      <c r="AQ27" s="557">
        <f t="shared" si="11"/>
        <v>0</v>
      </c>
      <c r="AR27" s="557">
        <f t="shared" si="12"/>
        <v>0</v>
      </c>
      <c r="AS27" s="469">
        <f t="shared" si="13"/>
        <v>38277.653104994861</v>
      </c>
    </row>
    <row r="28" spans="2:45" s="458" customFormat="1" x14ac:dyDescent="0.2">
      <c r="B28" s="464" t="str">
        <f>Est2018TransRev!B28</f>
        <v>Low Voltage KW 1 rate</v>
      </c>
      <c r="C28" s="579"/>
      <c r="D28" s="478">
        <v>5.4089999999999998</v>
      </c>
      <c r="E28" s="473">
        <v>0</v>
      </c>
      <c r="F28" s="473">
        <v>0</v>
      </c>
      <c r="G28" s="473">
        <v>0</v>
      </c>
      <c r="H28" s="473">
        <v>0</v>
      </c>
      <c r="I28" s="473">
        <v>0</v>
      </c>
      <c r="J28" s="473">
        <v>0</v>
      </c>
      <c r="K28" s="473">
        <v>0</v>
      </c>
      <c r="L28" s="473">
        <v>0</v>
      </c>
      <c r="M28" s="473">
        <v>0</v>
      </c>
      <c r="N28" s="473">
        <v>0</v>
      </c>
      <c r="O28" s="473">
        <v>0</v>
      </c>
      <c r="P28" s="596">
        <v>0</v>
      </c>
      <c r="R28" s="583">
        <f>Est2018TransRev!R28</f>
        <v>2826.3547375973726</v>
      </c>
      <c r="S28" s="584">
        <f>Est2018TransRev!S28</f>
        <v>0</v>
      </c>
      <c r="T28" s="584">
        <f>Est2018TransRev!T28</f>
        <v>0</v>
      </c>
      <c r="U28" s="584">
        <f>Est2018TransRev!U28</f>
        <v>13329.577355123805</v>
      </c>
      <c r="V28" s="584">
        <f>Est2018TransRev!V28</f>
        <v>0</v>
      </c>
      <c r="W28" s="584">
        <f>Est2018TransRev!W28</f>
        <v>0</v>
      </c>
      <c r="X28" s="584">
        <f>Est2018TransRev!X28</f>
        <v>24988.071743663233</v>
      </c>
      <c r="Y28" s="584">
        <f>Est2018TransRev!Y28</f>
        <v>0</v>
      </c>
      <c r="Z28" s="584">
        <f>Est2018TransRev!Z28</f>
        <v>0</v>
      </c>
      <c r="AA28" s="584">
        <f>Est2018TransRev!AA28</f>
        <v>0</v>
      </c>
      <c r="AB28" s="584">
        <f>Est2018TransRev!AB28</f>
        <v>0</v>
      </c>
      <c r="AC28" s="584">
        <f>Est2018TransRev!AC28</f>
        <v>3245.4217658789721</v>
      </c>
      <c r="AD28" s="585">
        <f>Est2018TransRev!AD28</f>
        <v>5347.9291775978709</v>
      </c>
      <c r="AF28" s="556">
        <f t="shared" si="0"/>
        <v>152.87752775664188</v>
      </c>
      <c r="AG28" s="557">
        <f t="shared" si="1"/>
        <v>0</v>
      </c>
      <c r="AH28" s="557">
        <f t="shared" si="2"/>
        <v>0</v>
      </c>
      <c r="AI28" s="557">
        <f t="shared" si="3"/>
        <v>0</v>
      </c>
      <c r="AJ28" s="557">
        <f t="shared" si="4"/>
        <v>0</v>
      </c>
      <c r="AK28" s="557">
        <f t="shared" si="5"/>
        <v>0</v>
      </c>
      <c r="AL28" s="557">
        <f t="shared" si="6"/>
        <v>0</v>
      </c>
      <c r="AM28" s="557">
        <f t="shared" si="7"/>
        <v>0</v>
      </c>
      <c r="AN28" s="557">
        <f t="shared" si="8"/>
        <v>0</v>
      </c>
      <c r="AO28" s="557">
        <f t="shared" si="9"/>
        <v>0</v>
      </c>
      <c r="AP28" s="557">
        <f t="shared" si="10"/>
        <v>0</v>
      </c>
      <c r="AQ28" s="557">
        <f t="shared" si="11"/>
        <v>0</v>
      </c>
      <c r="AR28" s="557">
        <f t="shared" si="12"/>
        <v>0</v>
      </c>
      <c r="AS28" s="469">
        <f t="shared" si="13"/>
        <v>152.87752775664188</v>
      </c>
    </row>
    <row r="29" spans="2:45" s="458" customFormat="1" x14ac:dyDescent="0.2">
      <c r="B29" s="464" t="str">
        <f>Est2018TransRev!B29</f>
        <v>Low voltage medium KW time of use (opt-in)</v>
      </c>
      <c r="C29" s="579"/>
      <c r="D29" s="478">
        <v>5.4089999999999998</v>
      </c>
      <c r="E29" s="473">
        <v>0</v>
      </c>
      <c r="F29" s="473">
        <v>0</v>
      </c>
      <c r="G29" s="473">
        <v>0</v>
      </c>
      <c r="H29" s="473">
        <v>0</v>
      </c>
      <c r="I29" s="473">
        <v>0</v>
      </c>
      <c r="J29" s="473">
        <v>0</v>
      </c>
      <c r="K29" s="473">
        <v>0</v>
      </c>
      <c r="L29" s="473">
        <v>0</v>
      </c>
      <c r="M29" s="473">
        <v>0</v>
      </c>
      <c r="N29" s="473">
        <v>0</v>
      </c>
      <c r="O29" s="473">
        <v>0</v>
      </c>
      <c r="P29" s="596">
        <v>0</v>
      </c>
      <c r="R29" s="583">
        <f>Est2018TransRev!R29</f>
        <v>90787.080051499332</v>
      </c>
      <c r="S29" s="584">
        <f>Est2018TransRev!S29</f>
        <v>0</v>
      </c>
      <c r="T29" s="584">
        <f>Est2018TransRev!T29</f>
        <v>0</v>
      </c>
      <c r="U29" s="584">
        <f>Est2018TransRev!U29</f>
        <v>18491573.068425383</v>
      </c>
      <c r="V29" s="584">
        <f>Est2018TransRev!V29</f>
        <v>0</v>
      </c>
      <c r="W29" s="584">
        <f>Est2018TransRev!W29</f>
        <v>0</v>
      </c>
      <c r="X29" s="584">
        <f>Est2018TransRev!X29</f>
        <v>19354558.323015686</v>
      </c>
      <c r="Y29" s="584">
        <f>Est2018TransRev!Y29</f>
        <v>0</v>
      </c>
      <c r="Z29" s="584">
        <f>Est2018TransRev!Z29</f>
        <v>0</v>
      </c>
      <c r="AA29" s="584">
        <f>Est2018TransRev!AA29</f>
        <v>0</v>
      </c>
      <c r="AB29" s="584">
        <f>Est2018TransRev!AB29</f>
        <v>0</v>
      </c>
      <c r="AC29" s="584">
        <f>Est2018TransRev!AC29</f>
        <v>1676011.6411662186</v>
      </c>
      <c r="AD29" s="585">
        <f>Est2018TransRev!AD29</f>
        <v>2131721.2605446144</v>
      </c>
      <c r="AF29" s="556">
        <f t="shared" si="0"/>
        <v>4910.6731599855984</v>
      </c>
      <c r="AG29" s="557">
        <f t="shared" si="1"/>
        <v>0</v>
      </c>
      <c r="AH29" s="557">
        <f t="shared" si="2"/>
        <v>0</v>
      </c>
      <c r="AI29" s="557">
        <f t="shared" si="3"/>
        <v>0</v>
      </c>
      <c r="AJ29" s="557">
        <f t="shared" si="4"/>
        <v>0</v>
      </c>
      <c r="AK29" s="557">
        <f t="shared" si="5"/>
        <v>0</v>
      </c>
      <c r="AL29" s="557">
        <f t="shared" si="6"/>
        <v>0</v>
      </c>
      <c r="AM29" s="557">
        <f t="shared" si="7"/>
        <v>0</v>
      </c>
      <c r="AN29" s="557">
        <f t="shared" si="8"/>
        <v>0</v>
      </c>
      <c r="AO29" s="557">
        <f t="shared" si="9"/>
        <v>0</v>
      </c>
      <c r="AP29" s="557">
        <f t="shared" si="10"/>
        <v>0</v>
      </c>
      <c r="AQ29" s="557">
        <f t="shared" si="11"/>
        <v>0</v>
      </c>
      <c r="AR29" s="557">
        <f t="shared" si="12"/>
        <v>0</v>
      </c>
      <c r="AS29" s="469">
        <f t="shared" si="13"/>
        <v>4910.6731599855984</v>
      </c>
    </row>
    <row r="30" spans="2:45" s="458" customFormat="1" x14ac:dyDescent="0.2">
      <c r="B30" s="464" t="str">
        <f>Est2018TransRev!B30</f>
        <v>Low voltage medium KW 1 rate (mandatory)</v>
      </c>
      <c r="C30" s="579"/>
      <c r="D30" s="478">
        <v>5.4089999999999998</v>
      </c>
      <c r="E30" s="473">
        <v>0</v>
      </c>
      <c r="F30" s="473">
        <v>0</v>
      </c>
      <c r="G30" s="473">
        <v>0</v>
      </c>
      <c r="H30" s="473">
        <v>0</v>
      </c>
      <c r="I30" s="473">
        <v>0</v>
      </c>
      <c r="J30" s="473">
        <v>0</v>
      </c>
      <c r="K30" s="473">
        <v>0</v>
      </c>
      <c r="L30" s="473">
        <v>0</v>
      </c>
      <c r="M30" s="473">
        <v>0</v>
      </c>
      <c r="N30" s="473">
        <v>0</v>
      </c>
      <c r="O30" s="473">
        <v>0</v>
      </c>
      <c r="P30" s="596">
        <v>0</v>
      </c>
      <c r="R30" s="583">
        <f>Est2018TransRev!R30</f>
        <v>2579907.6975799496</v>
      </c>
      <c r="S30" s="584">
        <f>Est2018TransRev!S30</f>
        <v>0</v>
      </c>
      <c r="T30" s="584">
        <f>Est2018TransRev!T30</f>
        <v>0</v>
      </c>
      <c r="U30" s="584">
        <f>Est2018TransRev!U30</f>
        <v>257764758.85220429</v>
      </c>
      <c r="V30" s="584">
        <f>Est2018TransRev!V30</f>
        <v>0</v>
      </c>
      <c r="W30" s="584">
        <f>Est2018TransRev!W30</f>
        <v>0</v>
      </c>
      <c r="X30" s="584">
        <f>Est2018TransRev!X30</f>
        <v>383778125.53597784</v>
      </c>
      <c r="Y30" s="584">
        <f>Est2018TransRev!Y30</f>
        <v>0</v>
      </c>
      <c r="Z30" s="584">
        <f>Est2018TransRev!Z30</f>
        <v>0</v>
      </c>
      <c r="AA30" s="584">
        <f>Est2018TransRev!AA30</f>
        <v>0</v>
      </c>
      <c r="AB30" s="584">
        <f>Est2018TransRev!AB30</f>
        <v>0</v>
      </c>
      <c r="AC30" s="584">
        <f>Est2018TransRev!AC30</f>
        <v>24833141.676567871</v>
      </c>
      <c r="AD30" s="585">
        <f>Est2018TransRev!AD30</f>
        <v>46272310.338532321</v>
      </c>
      <c r="AF30" s="556">
        <f t="shared" si="0"/>
        <v>139547.20736209946</v>
      </c>
      <c r="AG30" s="557">
        <f t="shared" si="1"/>
        <v>0</v>
      </c>
      <c r="AH30" s="557">
        <f t="shared" si="2"/>
        <v>0</v>
      </c>
      <c r="AI30" s="557">
        <f t="shared" si="3"/>
        <v>0</v>
      </c>
      <c r="AJ30" s="557">
        <f t="shared" si="4"/>
        <v>0</v>
      </c>
      <c r="AK30" s="557">
        <f t="shared" si="5"/>
        <v>0</v>
      </c>
      <c r="AL30" s="557">
        <f t="shared" si="6"/>
        <v>0</v>
      </c>
      <c r="AM30" s="557">
        <f t="shared" si="7"/>
        <v>0</v>
      </c>
      <c r="AN30" s="557">
        <f t="shared" si="8"/>
        <v>0</v>
      </c>
      <c r="AO30" s="557">
        <f t="shared" si="9"/>
        <v>0</v>
      </c>
      <c r="AP30" s="557">
        <f t="shared" si="10"/>
        <v>0</v>
      </c>
      <c r="AQ30" s="557">
        <f t="shared" si="11"/>
        <v>0</v>
      </c>
      <c r="AR30" s="557">
        <f t="shared" si="12"/>
        <v>0</v>
      </c>
      <c r="AS30" s="469">
        <f t="shared" si="13"/>
        <v>139547.20736209946</v>
      </c>
    </row>
    <row r="31" spans="2:45" s="458" customFormat="1" x14ac:dyDescent="0.2">
      <c r="B31" s="464"/>
      <c r="C31" s="579"/>
      <c r="D31" s="580"/>
      <c r="E31" s="581"/>
      <c r="F31" s="581"/>
      <c r="G31" s="581"/>
      <c r="H31" s="581"/>
      <c r="I31" s="581"/>
      <c r="J31" s="581"/>
      <c r="K31" s="581"/>
      <c r="L31" s="581"/>
      <c r="M31" s="581"/>
      <c r="N31" s="581"/>
      <c r="O31" s="581"/>
      <c r="P31" s="582"/>
      <c r="R31" s="583"/>
      <c r="S31" s="584"/>
      <c r="T31" s="584"/>
      <c r="U31" s="584"/>
      <c r="V31" s="584"/>
      <c r="W31" s="584"/>
      <c r="X31" s="584"/>
      <c r="Y31" s="584"/>
      <c r="Z31" s="584"/>
      <c r="AA31" s="584"/>
      <c r="AB31" s="584"/>
      <c r="AC31" s="584"/>
      <c r="AD31" s="585"/>
      <c r="AF31" s="556">
        <f t="shared" si="0"/>
        <v>0</v>
      </c>
      <c r="AG31" s="557">
        <f t="shared" si="1"/>
        <v>0</v>
      </c>
      <c r="AH31" s="557">
        <f t="shared" si="2"/>
        <v>0</v>
      </c>
      <c r="AI31" s="557">
        <f t="shared" si="3"/>
        <v>0</v>
      </c>
      <c r="AJ31" s="557">
        <f t="shared" si="4"/>
        <v>0</v>
      </c>
      <c r="AK31" s="557">
        <f t="shared" si="5"/>
        <v>0</v>
      </c>
      <c r="AL31" s="557">
        <f t="shared" si="6"/>
        <v>0</v>
      </c>
      <c r="AM31" s="557">
        <f t="shared" si="7"/>
        <v>0</v>
      </c>
      <c r="AN31" s="557">
        <f t="shared" si="8"/>
        <v>0</v>
      </c>
      <c r="AO31" s="557">
        <f t="shared" si="9"/>
        <v>0</v>
      </c>
      <c r="AP31" s="557">
        <f t="shared" si="10"/>
        <v>0</v>
      </c>
      <c r="AQ31" s="557">
        <f t="shared" si="11"/>
        <v>0</v>
      </c>
      <c r="AR31" s="557">
        <f t="shared" si="12"/>
        <v>0</v>
      </c>
      <c r="AS31" s="469">
        <f t="shared" si="13"/>
        <v>0</v>
      </c>
    </row>
    <row r="32" spans="2:45" s="458" customFormat="1" x14ac:dyDescent="0.2">
      <c r="B32" s="464"/>
      <c r="C32" s="579"/>
      <c r="D32" s="580"/>
      <c r="E32" s="581"/>
      <c r="F32" s="581"/>
      <c r="G32" s="581"/>
      <c r="H32" s="581"/>
      <c r="I32" s="581"/>
      <c r="J32" s="581"/>
      <c r="K32" s="581"/>
      <c r="L32" s="581"/>
      <c r="M32" s="581"/>
      <c r="N32" s="581"/>
      <c r="O32" s="581"/>
      <c r="P32" s="582"/>
      <c r="R32" s="583"/>
      <c r="S32" s="584"/>
      <c r="T32" s="584"/>
      <c r="U32" s="584"/>
      <c r="V32" s="584"/>
      <c r="W32" s="584"/>
      <c r="X32" s="584"/>
      <c r="Y32" s="584"/>
      <c r="Z32" s="584"/>
      <c r="AA32" s="584"/>
      <c r="AB32" s="584"/>
      <c r="AC32" s="584"/>
      <c r="AD32" s="585"/>
      <c r="AF32" s="556">
        <f t="shared" si="0"/>
        <v>0</v>
      </c>
      <c r="AG32" s="557">
        <f t="shared" si="1"/>
        <v>0</v>
      </c>
      <c r="AH32" s="557">
        <f t="shared" si="2"/>
        <v>0</v>
      </c>
      <c r="AI32" s="557">
        <f t="shared" si="3"/>
        <v>0</v>
      </c>
      <c r="AJ32" s="557">
        <f t="shared" si="4"/>
        <v>0</v>
      </c>
      <c r="AK32" s="557">
        <f t="shared" si="5"/>
        <v>0</v>
      </c>
      <c r="AL32" s="557">
        <f t="shared" si="6"/>
        <v>0</v>
      </c>
      <c r="AM32" s="557">
        <f t="shared" si="7"/>
        <v>0</v>
      </c>
      <c r="AN32" s="557">
        <f t="shared" si="8"/>
        <v>0</v>
      </c>
      <c r="AO32" s="557">
        <f t="shared" si="9"/>
        <v>0</v>
      </c>
      <c r="AP32" s="557">
        <f t="shared" si="10"/>
        <v>0</v>
      </c>
      <c r="AQ32" s="557">
        <f t="shared" si="11"/>
        <v>0</v>
      </c>
      <c r="AR32" s="557">
        <f t="shared" si="12"/>
        <v>0</v>
      </c>
      <c r="AS32" s="469">
        <f t="shared" si="13"/>
        <v>0</v>
      </c>
    </row>
    <row r="33" spans="2:45" s="458" customFormat="1" x14ac:dyDescent="0.2">
      <c r="B33" s="464"/>
      <c r="C33" s="579"/>
      <c r="D33" s="580"/>
      <c r="E33" s="581"/>
      <c r="F33" s="581"/>
      <c r="G33" s="581"/>
      <c r="H33" s="581"/>
      <c r="I33" s="581"/>
      <c r="J33" s="581"/>
      <c r="K33" s="581"/>
      <c r="L33" s="581"/>
      <c r="M33" s="581"/>
      <c r="N33" s="581"/>
      <c r="O33" s="581"/>
      <c r="P33" s="582"/>
      <c r="R33" s="583"/>
      <c r="S33" s="584"/>
      <c r="T33" s="584"/>
      <c r="U33" s="584"/>
      <c r="V33" s="584"/>
      <c r="W33" s="584"/>
      <c r="X33" s="584"/>
      <c r="Y33" s="584"/>
      <c r="Z33" s="584"/>
      <c r="AA33" s="584"/>
      <c r="AB33" s="584"/>
      <c r="AC33" s="584"/>
      <c r="AD33" s="585"/>
      <c r="AF33" s="556">
        <f t="shared" si="0"/>
        <v>0</v>
      </c>
      <c r="AG33" s="557">
        <f t="shared" si="1"/>
        <v>0</v>
      </c>
      <c r="AH33" s="557">
        <f t="shared" si="2"/>
        <v>0</v>
      </c>
      <c r="AI33" s="557">
        <f t="shared" si="3"/>
        <v>0</v>
      </c>
      <c r="AJ33" s="557">
        <f t="shared" si="4"/>
        <v>0</v>
      </c>
      <c r="AK33" s="557">
        <f t="shared" si="5"/>
        <v>0</v>
      </c>
      <c r="AL33" s="557">
        <f t="shared" si="6"/>
        <v>0</v>
      </c>
      <c r="AM33" s="557">
        <f t="shared" si="7"/>
        <v>0</v>
      </c>
      <c r="AN33" s="557">
        <f t="shared" si="8"/>
        <v>0</v>
      </c>
      <c r="AO33" s="557">
        <f t="shared" si="9"/>
        <v>0</v>
      </c>
      <c r="AP33" s="557">
        <f t="shared" si="10"/>
        <v>0</v>
      </c>
      <c r="AQ33" s="557">
        <f t="shared" si="11"/>
        <v>0</v>
      </c>
      <c r="AR33" s="557">
        <f t="shared" si="12"/>
        <v>0</v>
      </c>
      <c r="AS33" s="469">
        <f t="shared" si="13"/>
        <v>0</v>
      </c>
    </row>
    <row r="34" spans="2:45" s="458" customFormat="1" x14ac:dyDescent="0.2">
      <c r="B34" s="464"/>
      <c r="C34" s="579"/>
      <c r="D34" s="580"/>
      <c r="E34" s="581"/>
      <c r="F34" s="581"/>
      <c r="G34" s="581"/>
      <c r="H34" s="581"/>
      <c r="I34" s="581"/>
      <c r="J34" s="581"/>
      <c r="K34" s="581"/>
      <c r="L34" s="581"/>
      <c r="M34" s="581"/>
      <c r="N34" s="581"/>
      <c r="O34" s="581"/>
      <c r="P34" s="582"/>
      <c r="R34" s="583"/>
      <c r="S34" s="584"/>
      <c r="T34" s="584"/>
      <c r="U34" s="584"/>
      <c r="V34" s="584"/>
      <c r="W34" s="584"/>
      <c r="X34" s="584"/>
      <c r="Y34" s="584"/>
      <c r="Z34" s="584"/>
      <c r="AA34" s="584"/>
      <c r="AB34" s="584"/>
      <c r="AC34" s="584"/>
      <c r="AD34" s="585"/>
      <c r="AF34" s="556">
        <f t="shared" si="0"/>
        <v>0</v>
      </c>
      <c r="AG34" s="557">
        <f t="shared" si="1"/>
        <v>0</v>
      </c>
      <c r="AH34" s="557">
        <f t="shared" si="2"/>
        <v>0</v>
      </c>
      <c r="AI34" s="557">
        <f t="shared" si="3"/>
        <v>0</v>
      </c>
      <c r="AJ34" s="557">
        <f t="shared" si="4"/>
        <v>0</v>
      </c>
      <c r="AK34" s="557">
        <f t="shared" si="5"/>
        <v>0</v>
      </c>
      <c r="AL34" s="557">
        <f t="shared" si="6"/>
        <v>0</v>
      </c>
      <c r="AM34" s="557">
        <f t="shared" si="7"/>
        <v>0</v>
      </c>
      <c r="AN34" s="557">
        <f t="shared" si="8"/>
        <v>0</v>
      </c>
      <c r="AO34" s="557">
        <f t="shared" si="9"/>
        <v>0</v>
      </c>
      <c r="AP34" s="557">
        <f t="shared" si="10"/>
        <v>0</v>
      </c>
      <c r="AQ34" s="557">
        <f t="shared" si="11"/>
        <v>0</v>
      </c>
      <c r="AR34" s="557">
        <f t="shared" si="12"/>
        <v>0</v>
      </c>
      <c r="AS34" s="469">
        <f t="shared" si="13"/>
        <v>0</v>
      </c>
    </row>
    <row r="35" spans="2:45" s="458" customFormat="1" x14ac:dyDescent="0.2">
      <c r="B35" s="464"/>
      <c r="C35" s="579"/>
      <c r="D35" s="580"/>
      <c r="E35" s="581"/>
      <c r="F35" s="581"/>
      <c r="G35" s="581"/>
      <c r="H35" s="581"/>
      <c r="I35" s="581"/>
      <c r="J35" s="581"/>
      <c r="K35" s="581"/>
      <c r="L35" s="581"/>
      <c r="M35" s="581"/>
      <c r="N35" s="581"/>
      <c r="O35" s="581"/>
      <c r="P35" s="582"/>
      <c r="R35" s="583"/>
      <c r="S35" s="584"/>
      <c r="T35" s="584"/>
      <c r="U35" s="584"/>
      <c r="V35" s="584"/>
      <c r="W35" s="584"/>
      <c r="X35" s="584"/>
      <c r="Y35" s="584"/>
      <c r="Z35" s="584"/>
      <c r="AA35" s="584"/>
      <c r="AB35" s="584"/>
      <c r="AC35" s="584"/>
      <c r="AD35" s="585"/>
      <c r="AF35" s="556">
        <f t="shared" si="0"/>
        <v>0</v>
      </c>
      <c r="AG35" s="557">
        <f t="shared" si="1"/>
        <v>0</v>
      </c>
      <c r="AH35" s="557">
        <f t="shared" si="2"/>
        <v>0</v>
      </c>
      <c r="AI35" s="557">
        <f t="shared" si="3"/>
        <v>0</v>
      </c>
      <c r="AJ35" s="557">
        <f t="shared" si="4"/>
        <v>0</v>
      </c>
      <c r="AK35" s="557">
        <f t="shared" si="5"/>
        <v>0</v>
      </c>
      <c r="AL35" s="557">
        <f t="shared" si="6"/>
        <v>0</v>
      </c>
      <c r="AM35" s="557">
        <f t="shared" si="7"/>
        <v>0</v>
      </c>
      <c r="AN35" s="557">
        <f t="shared" si="8"/>
        <v>0</v>
      </c>
      <c r="AO35" s="557">
        <f t="shared" si="9"/>
        <v>0</v>
      </c>
      <c r="AP35" s="557">
        <f t="shared" si="10"/>
        <v>0</v>
      </c>
      <c r="AQ35" s="557">
        <f t="shared" si="11"/>
        <v>0</v>
      </c>
      <c r="AR35" s="557">
        <f t="shared" si="12"/>
        <v>0</v>
      </c>
      <c r="AS35" s="469">
        <f t="shared" si="13"/>
        <v>0</v>
      </c>
    </row>
    <row r="36" spans="2:45" s="458" customFormat="1" x14ac:dyDescent="0.2">
      <c r="B36" s="464"/>
      <c r="C36" s="579"/>
      <c r="D36" s="580"/>
      <c r="E36" s="581"/>
      <c r="F36" s="581"/>
      <c r="G36" s="581"/>
      <c r="H36" s="581"/>
      <c r="I36" s="581"/>
      <c r="J36" s="581"/>
      <c r="K36" s="581"/>
      <c r="L36" s="581"/>
      <c r="M36" s="581"/>
      <c r="N36" s="581"/>
      <c r="O36" s="581"/>
      <c r="P36" s="582"/>
      <c r="R36" s="583"/>
      <c r="S36" s="584"/>
      <c r="T36" s="584"/>
      <c r="U36" s="584"/>
      <c r="V36" s="584"/>
      <c r="W36" s="584"/>
      <c r="X36" s="584"/>
      <c r="Y36" s="584"/>
      <c r="Z36" s="584"/>
      <c r="AA36" s="584"/>
      <c r="AB36" s="584"/>
      <c r="AC36" s="584"/>
      <c r="AD36" s="585"/>
      <c r="AF36" s="556">
        <f t="shared" si="0"/>
        <v>0</v>
      </c>
      <c r="AG36" s="557">
        <f t="shared" si="1"/>
        <v>0</v>
      </c>
      <c r="AH36" s="557">
        <f t="shared" si="2"/>
        <v>0</v>
      </c>
      <c r="AI36" s="557">
        <f t="shared" si="3"/>
        <v>0</v>
      </c>
      <c r="AJ36" s="557">
        <f t="shared" si="4"/>
        <v>0</v>
      </c>
      <c r="AK36" s="557">
        <f t="shared" si="5"/>
        <v>0</v>
      </c>
      <c r="AL36" s="557">
        <f t="shared" si="6"/>
        <v>0</v>
      </c>
      <c r="AM36" s="557">
        <f t="shared" si="7"/>
        <v>0</v>
      </c>
      <c r="AN36" s="557">
        <f t="shared" si="8"/>
        <v>0</v>
      </c>
      <c r="AO36" s="557">
        <f t="shared" si="9"/>
        <v>0</v>
      </c>
      <c r="AP36" s="557">
        <f t="shared" si="10"/>
        <v>0</v>
      </c>
      <c r="AQ36" s="557">
        <f t="shared" si="11"/>
        <v>0</v>
      </c>
      <c r="AR36" s="557">
        <f t="shared" si="12"/>
        <v>0</v>
      </c>
      <c r="AS36" s="469">
        <f t="shared" si="13"/>
        <v>0</v>
      </c>
    </row>
    <row r="37" spans="2:45" s="458" customFormat="1" x14ac:dyDescent="0.2">
      <c r="B37" s="464"/>
      <c r="C37" s="579"/>
      <c r="D37" s="580"/>
      <c r="E37" s="581"/>
      <c r="F37" s="581"/>
      <c r="G37" s="581"/>
      <c r="H37" s="581"/>
      <c r="I37" s="581"/>
      <c r="J37" s="581"/>
      <c r="K37" s="581"/>
      <c r="L37" s="581"/>
      <c r="M37" s="581"/>
      <c r="N37" s="581"/>
      <c r="O37" s="581"/>
      <c r="P37" s="582"/>
      <c r="R37" s="583"/>
      <c r="S37" s="584"/>
      <c r="T37" s="584"/>
      <c r="U37" s="584"/>
      <c r="V37" s="584"/>
      <c r="W37" s="584"/>
      <c r="X37" s="584"/>
      <c r="Y37" s="584"/>
      <c r="Z37" s="584"/>
      <c r="AA37" s="584"/>
      <c r="AB37" s="584"/>
      <c r="AC37" s="584"/>
      <c r="AD37" s="585"/>
      <c r="AF37" s="556">
        <f t="shared" si="0"/>
        <v>0</v>
      </c>
      <c r="AG37" s="557">
        <f t="shared" si="1"/>
        <v>0</v>
      </c>
      <c r="AH37" s="557">
        <f t="shared" si="2"/>
        <v>0</v>
      </c>
      <c r="AI37" s="557">
        <f t="shared" si="3"/>
        <v>0</v>
      </c>
      <c r="AJ37" s="557">
        <f t="shared" si="4"/>
        <v>0</v>
      </c>
      <c r="AK37" s="557">
        <f t="shared" si="5"/>
        <v>0</v>
      </c>
      <c r="AL37" s="557">
        <f t="shared" si="6"/>
        <v>0</v>
      </c>
      <c r="AM37" s="557">
        <f t="shared" si="7"/>
        <v>0</v>
      </c>
      <c r="AN37" s="557">
        <f t="shared" si="8"/>
        <v>0</v>
      </c>
      <c r="AO37" s="557">
        <f t="shared" si="9"/>
        <v>0</v>
      </c>
      <c r="AP37" s="557">
        <f t="shared" si="10"/>
        <v>0</v>
      </c>
      <c r="AQ37" s="557">
        <f t="shared" si="11"/>
        <v>0</v>
      </c>
      <c r="AR37" s="557">
        <f t="shared" si="12"/>
        <v>0</v>
      </c>
      <c r="AS37" s="469">
        <f t="shared" si="13"/>
        <v>0</v>
      </c>
    </row>
    <row r="38" spans="2:45" s="458" customFormat="1" x14ac:dyDescent="0.2">
      <c r="B38" s="464"/>
      <c r="C38" s="579"/>
      <c r="D38" s="580"/>
      <c r="E38" s="581"/>
      <c r="F38" s="581"/>
      <c r="G38" s="581"/>
      <c r="H38" s="581"/>
      <c r="I38" s="581"/>
      <c r="J38" s="581"/>
      <c r="K38" s="581"/>
      <c r="L38" s="581"/>
      <c r="M38" s="581"/>
      <c r="N38" s="581"/>
      <c r="O38" s="581"/>
      <c r="P38" s="582"/>
      <c r="R38" s="583"/>
      <c r="S38" s="584"/>
      <c r="T38" s="584"/>
      <c r="U38" s="584"/>
      <c r="V38" s="584"/>
      <c r="W38" s="584"/>
      <c r="X38" s="584"/>
      <c r="Y38" s="584"/>
      <c r="Z38" s="584"/>
      <c r="AA38" s="584"/>
      <c r="AB38" s="584"/>
      <c r="AC38" s="584"/>
      <c r="AD38" s="585"/>
      <c r="AF38" s="556">
        <f t="shared" si="0"/>
        <v>0</v>
      </c>
      <c r="AG38" s="557">
        <f t="shared" si="1"/>
        <v>0</v>
      </c>
      <c r="AH38" s="557">
        <f t="shared" si="2"/>
        <v>0</v>
      </c>
      <c r="AI38" s="557">
        <f t="shared" si="3"/>
        <v>0</v>
      </c>
      <c r="AJ38" s="557">
        <f t="shared" si="4"/>
        <v>0</v>
      </c>
      <c r="AK38" s="557">
        <f t="shared" si="5"/>
        <v>0</v>
      </c>
      <c r="AL38" s="557">
        <f t="shared" si="6"/>
        <v>0</v>
      </c>
      <c r="AM38" s="557">
        <f t="shared" si="7"/>
        <v>0</v>
      </c>
      <c r="AN38" s="557">
        <f t="shared" si="8"/>
        <v>0</v>
      </c>
      <c r="AO38" s="557">
        <f t="shared" si="9"/>
        <v>0</v>
      </c>
      <c r="AP38" s="557">
        <f t="shared" si="10"/>
        <v>0</v>
      </c>
      <c r="AQ38" s="557">
        <f t="shared" si="11"/>
        <v>0</v>
      </c>
      <c r="AR38" s="557">
        <f t="shared" si="12"/>
        <v>0</v>
      </c>
      <c r="AS38" s="469">
        <f t="shared" si="13"/>
        <v>0</v>
      </c>
    </row>
    <row r="39" spans="2:45" s="458" customFormat="1" x14ac:dyDescent="0.2">
      <c r="B39" s="464"/>
      <c r="C39" s="579"/>
      <c r="D39" s="580"/>
      <c r="E39" s="581"/>
      <c r="F39" s="581"/>
      <c r="G39" s="581"/>
      <c r="H39" s="581"/>
      <c r="I39" s="581"/>
      <c r="J39" s="581"/>
      <c r="K39" s="581"/>
      <c r="L39" s="581"/>
      <c r="M39" s="581"/>
      <c r="N39" s="581"/>
      <c r="O39" s="581"/>
      <c r="P39" s="582"/>
      <c r="R39" s="583"/>
      <c r="S39" s="584"/>
      <c r="T39" s="584"/>
      <c r="U39" s="584"/>
      <c r="V39" s="584"/>
      <c r="W39" s="584"/>
      <c r="X39" s="584"/>
      <c r="Y39" s="584"/>
      <c r="Z39" s="584"/>
      <c r="AA39" s="584"/>
      <c r="AB39" s="584"/>
      <c r="AC39" s="584"/>
      <c r="AD39" s="585"/>
      <c r="AF39" s="556">
        <f t="shared" si="0"/>
        <v>0</v>
      </c>
      <c r="AG39" s="557">
        <f t="shared" si="1"/>
        <v>0</v>
      </c>
      <c r="AH39" s="557">
        <f t="shared" si="2"/>
        <v>0</v>
      </c>
      <c r="AI39" s="557">
        <f t="shared" si="3"/>
        <v>0</v>
      </c>
      <c r="AJ39" s="557">
        <f t="shared" si="4"/>
        <v>0</v>
      </c>
      <c r="AK39" s="557">
        <f t="shared" si="5"/>
        <v>0</v>
      </c>
      <c r="AL39" s="557">
        <f t="shared" si="6"/>
        <v>0</v>
      </c>
      <c r="AM39" s="557">
        <f t="shared" si="7"/>
        <v>0</v>
      </c>
      <c r="AN39" s="557">
        <f t="shared" si="8"/>
        <v>0</v>
      </c>
      <c r="AO39" s="557">
        <f t="shared" si="9"/>
        <v>0</v>
      </c>
      <c r="AP39" s="557">
        <f t="shared" si="10"/>
        <v>0</v>
      </c>
      <c r="AQ39" s="557">
        <f t="shared" si="11"/>
        <v>0</v>
      </c>
      <c r="AR39" s="557">
        <f t="shared" si="12"/>
        <v>0</v>
      </c>
      <c r="AS39" s="469">
        <f t="shared" si="13"/>
        <v>0</v>
      </c>
    </row>
    <row r="40" spans="2:45" s="458" customFormat="1" x14ac:dyDescent="0.2">
      <c r="B40" s="464"/>
      <c r="C40" s="579"/>
      <c r="D40" s="580"/>
      <c r="E40" s="581"/>
      <c r="F40" s="581"/>
      <c r="G40" s="581"/>
      <c r="H40" s="581"/>
      <c r="I40" s="581"/>
      <c r="J40" s="581"/>
      <c r="K40" s="581"/>
      <c r="L40" s="581"/>
      <c r="M40" s="581"/>
      <c r="N40" s="581"/>
      <c r="O40" s="581"/>
      <c r="P40" s="582"/>
      <c r="R40" s="583"/>
      <c r="S40" s="584"/>
      <c r="T40" s="584"/>
      <c r="U40" s="584"/>
      <c r="V40" s="584"/>
      <c r="W40" s="584"/>
      <c r="X40" s="584"/>
      <c r="Y40" s="584"/>
      <c r="Z40" s="584"/>
      <c r="AA40" s="584"/>
      <c r="AB40" s="584"/>
      <c r="AC40" s="584"/>
      <c r="AD40" s="585"/>
      <c r="AF40" s="556">
        <f t="shared" si="0"/>
        <v>0</v>
      </c>
      <c r="AG40" s="557">
        <f t="shared" si="1"/>
        <v>0</v>
      </c>
      <c r="AH40" s="557">
        <f t="shared" si="2"/>
        <v>0</v>
      </c>
      <c r="AI40" s="557">
        <f t="shared" si="3"/>
        <v>0</v>
      </c>
      <c r="AJ40" s="557">
        <f t="shared" si="4"/>
        <v>0</v>
      </c>
      <c r="AK40" s="557">
        <f t="shared" si="5"/>
        <v>0</v>
      </c>
      <c r="AL40" s="557">
        <f t="shared" si="6"/>
        <v>0</v>
      </c>
      <c r="AM40" s="557">
        <f t="shared" si="7"/>
        <v>0</v>
      </c>
      <c r="AN40" s="557">
        <f t="shared" si="8"/>
        <v>0</v>
      </c>
      <c r="AO40" s="557">
        <f t="shared" si="9"/>
        <v>0</v>
      </c>
      <c r="AP40" s="557">
        <f t="shared" si="10"/>
        <v>0</v>
      </c>
      <c r="AQ40" s="557">
        <f t="shared" si="11"/>
        <v>0</v>
      </c>
      <c r="AR40" s="557">
        <f t="shared" si="12"/>
        <v>0</v>
      </c>
      <c r="AS40" s="469">
        <f t="shared" si="13"/>
        <v>0</v>
      </c>
    </row>
    <row r="41" spans="2:45" s="458" customFormat="1" x14ac:dyDescent="0.2">
      <c r="B41" s="464"/>
      <c r="C41" s="579"/>
      <c r="D41" s="580"/>
      <c r="E41" s="581"/>
      <c r="F41" s="581"/>
      <c r="G41" s="581"/>
      <c r="H41" s="581"/>
      <c r="I41" s="581"/>
      <c r="J41" s="581"/>
      <c r="K41" s="581"/>
      <c r="L41" s="581"/>
      <c r="M41" s="581"/>
      <c r="N41" s="581"/>
      <c r="O41" s="581"/>
      <c r="P41" s="582"/>
      <c r="R41" s="583"/>
      <c r="S41" s="584"/>
      <c r="T41" s="584"/>
      <c r="U41" s="584"/>
      <c r="V41" s="584"/>
      <c r="W41" s="584"/>
      <c r="X41" s="584"/>
      <c r="Y41" s="584"/>
      <c r="Z41" s="584"/>
      <c r="AA41" s="584"/>
      <c r="AB41" s="584"/>
      <c r="AC41" s="584"/>
      <c r="AD41" s="585"/>
      <c r="AF41" s="556">
        <f t="shared" si="0"/>
        <v>0</v>
      </c>
      <c r="AG41" s="557">
        <f t="shared" si="1"/>
        <v>0</v>
      </c>
      <c r="AH41" s="557">
        <f t="shared" si="2"/>
        <v>0</v>
      </c>
      <c r="AI41" s="557">
        <f t="shared" si="3"/>
        <v>0</v>
      </c>
      <c r="AJ41" s="557">
        <f t="shared" si="4"/>
        <v>0</v>
      </c>
      <c r="AK41" s="557">
        <f t="shared" si="5"/>
        <v>0</v>
      </c>
      <c r="AL41" s="557">
        <f t="shared" si="6"/>
        <v>0</v>
      </c>
      <c r="AM41" s="557">
        <f t="shared" si="7"/>
        <v>0</v>
      </c>
      <c r="AN41" s="557">
        <f t="shared" si="8"/>
        <v>0</v>
      </c>
      <c r="AO41" s="557">
        <f t="shared" si="9"/>
        <v>0</v>
      </c>
      <c r="AP41" s="557">
        <f t="shared" si="10"/>
        <v>0</v>
      </c>
      <c r="AQ41" s="557">
        <f t="shared" si="11"/>
        <v>0</v>
      </c>
      <c r="AR41" s="557">
        <f t="shared" si="12"/>
        <v>0</v>
      </c>
      <c r="AS41" s="469">
        <f t="shared" si="13"/>
        <v>0</v>
      </c>
    </row>
    <row r="42" spans="2:45" s="458" customFormat="1" x14ac:dyDescent="0.2">
      <c r="B42" s="464"/>
      <c r="C42" s="579"/>
      <c r="D42" s="580"/>
      <c r="E42" s="581"/>
      <c r="F42" s="581"/>
      <c r="G42" s="581"/>
      <c r="H42" s="581"/>
      <c r="I42" s="581"/>
      <c r="J42" s="581"/>
      <c r="K42" s="581"/>
      <c r="L42" s="581"/>
      <c r="M42" s="581"/>
      <c r="N42" s="581"/>
      <c r="O42" s="581"/>
      <c r="P42" s="582"/>
      <c r="R42" s="583"/>
      <c r="S42" s="584"/>
      <c r="T42" s="584"/>
      <c r="U42" s="584"/>
      <c r="V42" s="584"/>
      <c r="W42" s="584"/>
      <c r="X42" s="584"/>
      <c r="Y42" s="584"/>
      <c r="Z42" s="584"/>
      <c r="AA42" s="584"/>
      <c r="AB42" s="584"/>
      <c r="AC42" s="584"/>
      <c r="AD42" s="585"/>
      <c r="AF42" s="556">
        <f t="shared" si="0"/>
        <v>0</v>
      </c>
      <c r="AG42" s="557">
        <f t="shared" si="1"/>
        <v>0</v>
      </c>
      <c r="AH42" s="557">
        <f t="shared" si="2"/>
        <v>0</v>
      </c>
      <c r="AI42" s="557">
        <f t="shared" si="3"/>
        <v>0</v>
      </c>
      <c r="AJ42" s="557">
        <f t="shared" si="4"/>
        <v>0</v>
      </c>
      <c r="AK42" s="557">
        <f t="shared" si="5"/>
        <v>0</v>
      </c>
      <c r="AL42" s="557">
        <f t="shared" si="6"/>
        <v>0</v>
      </c>
      <c r="AM42" s="557">
        <f t="shared" si="7"/>
        <v>0</v>
      </c>
      <c r="AN42" s="557">
        <f t="shared" si="8"/>
        <v>0</v>
      </c>
      <c r="AO42" s="557">
        <f t="shared" si="9"/>
        <v>0</v>
      </c>
      <c r="AP42" s="557">
        <f t="shared" si="10"/>
        <v>0</v>
      </c>
      <c r="AQ42" s="557">
        <f t="shared" si="11"/>
        <v>0</v>
      </c>
      <c r="AR42" s="557">
        <f t="shared" si="12"/>
        <v>0</v>
      </c>
      <c r="AS42" s="469">
        <f t="shared" si="13"/>
        <v>0</v>
      </c>
    </row>
    <row r="43" spans="2:45" s="458" customFormat="1" x14ac:dyDescent="0.2">
      <c r="B43" s="464"/>
      <c r="C43" s="579"/>
      <c r="D43" s="580"/>
      <c r="E43" s="581"/>
      <c r="F43" s="581"/>
      <c r="G43" s="581"/>
      <c r="H43" s="581"/>
      <c r="I43" s="581"/>
      <c r="J43" s="581"/>
      <c r="K43" s="581"/>
      <c r="L43" s="581"/>
      <c r="M43" s="581"/>
      <c r="N43" s="581"/>
      <c r="O43" s="581"/>
      <c r="P43" s="582"/>
      <c r="R43" s="583"/>
      <c r="S43" s="584"/>
      <c r="T43" s="584"/>
      <c r="U43" s="584"/>
      <c r="V43" s="584"/>
      <c r="W43" s="584"/>
      <c r="X43" s="584"/>
      <c r="Y43" s="584"/>
      <c r="Z43" s="584"/>
      <c r="AA43" s="584"/>
      <c r="AB43" s="584"/>
      <c r="AC43" s="584"/>
      <c r="AD43" s="585"/>
      <c r="AF43" s="556">
        <f t="shared" si="0"/>
        <v>0</v>
      </c>
      <c r="AG43" s="557">
        <f t="shared" si="1"/>
        <v>0</v>
      </c>
      <c r="AH43" s="557">
        <f t="shared" si="2"/>
        <v>0</v>
      </c>
      <c r="AI43" s="557">
        <f t="shared" si="3"/>
        <v>0</v>
      </c>
      <c r="AJ43" s="557">
        <f t="shared" si="4"/>
        <v>0</v>
      </c>
      <c r="AK43" s="557">
        <f t="shared" si="5"/>
        <v>0</v>
      </c>
      <c r="AL43" s="557">
        <f t="shared" si="6"/>
        <v>0</v>
      </c>
      <c r="AM43" s="557">
        <f t="shared" si="7"/>
        <v>0</v>
      </c>
      <c r="AN43" s="557">
        <f t="shared" si="8"/>
        <v>0</v>
      </c>
      <c r="AO43" s="557">
        <f t="shared" si="9"/>
        <v>0</v>
      </c>
      <c r="AP43" s="557">
        <f t="shared" si="10"/>
        <v>0</v>
      </c>
      <c r="AQ43" s="557">
        <f t="shared" si="11"/>
        <v>0</v>
      </c>
      <c r="AR43" s="557">
        <f t="shared" si="12"/>
        <v>0</v>
      </c>
      <c r="AS43" s="469">
        <f t="shared" si="13"/>
        <v>0</v>
      </c>
    </row>
    <row r="44" spans="2:45" s="458" customFormat="1" x14ac:dyDescent="0.2">
      <c r="B44" s="464"/>
      <c r="C44" s="579"/>
      <c r="D44" s="580"/>
      <c r="E44" s="581"/>
      <c r="F44" s="581"/>
      <c r="G44" s="581"/>
      <c r="H44" s="581"/>
      <c r="I44" s="581"/>
      <c r="J44" s="581"/>
      <c r="K44" s="581"/>
      <c r="L44" s="581"/>
      <c r="M44" s="581"/>
      <c r="N44" s="581"/>
      <c r="O44" s="581"/>
      <c r="P44" s="582"/>
      <c r="R44" s="583"/>
      <c r="S44" s="584"/>
      <c r="T44" s="584"/>
      <c r="U44" s="584"/>
      <c r="V44" s="584"/>
      <c r="W44" s="584"/>
      <c r="X44" s="584"/>
      <c r="Y44" s="584"/>
      <c r="Z44" s="584"/>
      <c r="AA44" s="584"/>
      <c r="AB44" s="584"/>
      <c r="AC44" s="584"/>
      <c r="AD44" s="585"/>
      <c r="AF44" s="556">
        <f t="shared" si="0"/>
        <v>0</v>
      </c>
      <c r="AG44" s="557">
        <f t="shared" si="1"/>
        <v>0</v>
      </c>
      <c r="AH44" s="557">
        <f t="shared" si="2"/>
        <v>0</v>
      </c>
      <c r="AI44" s="557">
        <f t="shared" si="3"/>
        <v>0</v>
      </c>
      <c r="AJ44" s="557">
        <f t="shared" si="4"/>
        <v>0</v>
      </c>
      <c r="AK44" s="557">
        <f t="shared" si="5"/>
        <v>0</v>
      </c>
      <c r="AL44" s="557">
        <f t="shared" si="6"/>
        <v>0</v>
      </c>
      <c r="AM44" s="557">
        <f t="shared" si="7"/>
        <v>0</v>
      </c>
      <c r="AN44" s="557">
        <f t="shared" si="8"/>
        <v>0</v>
      </c>
      <c r="AO44" s="557">
        <f t="shared" si="9"/>
        <v>0</v>
      </c>
      <c r="AP44" s="557">
        <f t="shared" si="10"/>
        <v>0</v>
      </c>
      <c r="AQ44" s="557">
        <f t="shared" si="11"/>
        <v>0</v>
      </c>
      <c r="AR44" s="557">
        <f t="shared" si="12"/>
        <v>0</v>
      </c>
      <c r="AS44" s="469">
        <f t="shared" si="13"/>
        <v>0</v>
      </c>
    </row>
    <row r="45" spans="2:45" s="458" customFormat="1" x14ac:dyDescent="0.2">
      <c r="B45" s="464"/>
      <c r="C45" s="579"/>
      <c r="D45" s="580"/>
      <c r="E45" s="581"/>
      <c r="F45" s="581"/>
      <c r="G45" s="581"/>
      <c r="H45" s="581"/>
      <c r="I45" s="581"/>
      <c r="J45" s="581"/>
      <c r="K45" s="581"/>
      <c r="L45" s="581"/>
      <c r="M45" s="581"/>
      <c r="N45" s="581"/>
      <c r="O45" s="581"/>
      <c r="P45" s="582"/>
      <c r="R45" s="583"/>
      <c r="S45" s="584"/>
      <c r="T45" s="584"/>
      <c r="U45" s="584"/>
      <c r="V45" s="584"/>
      <c r="W45" s="584"/>
      <c r="X45" s="584"/>
      <c r="Y45" s="584"/>
      <c r="Z45" s="584"/>
      <c r="AA45" s="584"/>
      <c r="AB45" s="584"/>
      <c r="AC45" s="584"/>
      <c r="AD45" s="585"/>
      <c r="AF45" s="556">
        <f t="shared" si="0"/>
        <v>0</v>
      </c>
      <c r="AG45" s="557">
        <f t="shared" si="1"/>
        <v>0</v>
      </c>
      <c r="AH45" s="557">
        <f t="shared" si="2"/>
        <v>0</v>
      </c>
      <c r="AI45" s="557">
        <f t="shared" si="3"/>
        <v>0</v>
      </c>
      <c r="AJ45" s="557">
        <f t="shared" si="4"/>
        <v>0</v>
      </c>
      <c r="AK45" s="557">
        <f t="shared" si="5"/>
        <v>0</v>
      </c>
      <c r="AL45" s="557">
        <f t="shared" si="6"/>
        <v>0</v>
      </c>
      <c r="AM45" s="557">
        <f t="shared" si="7"/>
        <v>0</v>
      </c>
      <c r="AN45" s="557">
        <f t="shared" si="8"/>
        <v>0</v>
      </c>
      <c r="AO45" s="557">
        <f t="shared" si="9"/>
        <v>0</v>
      </c>
      <c r="AP45" s="557">
        <f t="shared" si="10"/>
        <v>0</v>
      </c>
      <c r="AQ45" s="557">
        <f t="shared" si="11"/>
        <v>0</v>
      </c>
      <c r="AR45" s="557">
        <f t="shared" si="12"/>
        <v>0</v>
      </c>
      <c r="AS45" s="469">
        <f t="shared" si="13"/>
        <v>0</v>
      </c>
    </row>
    <row r="46" spans="2:45" s="458" customFormat="1" x14ac:dyDescent="0.2">
      <c r="B46" s="464"/>
      <c r="C46" s="579"/>
      <c r="D46" s="580"/>
      <c r="E46" s="581"/>
      <c r="F46" s="581"/>
      <c r="G46" s="581"/>
      <c r="H46" s="581"/>
      <c r="I46" s="581"/>
      <c r="J46" s="581"/>
      <c r="K46" s="581"/>
      <c r="L46" s="581"/>
      <c r="M46" s="581"/>
      <c r="N46" s="581"/>
      <c r="O46" s="581"/>
      <c r="P46" s="582"/>
      <c r="R46" s="583"/>
      <c r="S46" s="584"/>
      <c r="T46" s="584"/>
      <c r="U46" s="584"/>
      <c r="V46" s="584"/>
      <c r="W46" s="584"/>
      <c r="X46" s="584"/>
      <c r="Y46" s="584"/>
      <c r="Z46" s="584"/>
      <c r="AA46" s="584"/>
      <c r="AB46" s="584"/>
      <c r="AC46" s="584"/>
      <c r="AD46" s="585"/>
      <c r="AF46" s="556">
        <f t="shared" si="0"/>
        <v>0</v>
      </c>
      <c r="AG46" s="557">
        <f t="shared" si="1"/>
        <v>0</v>
      </c>
      <c r="AH46" s="557">
        <f t="shared" si="2"/>
        <v>0</v>
      </c>
      <c r="AI46" s="557">
        <f t="shared" si="3"/>
        <v>0</v>
      </c>
      <c r="AJ46" s="557">
        <f t="shared" si="4"/>
        <v>0</v>
      </c>
      <c r="AK46" s="557">
        <f t="shared" si="5"/>
        <v>0</v>
      </c>
      <c r="AL46" s="557">
        <f t="shared" si="6"/>
        <v>0</v>
      </c>
      <c r="AM46" s="557">
        <f t="shared" si="7"/>
        <v>0</v>
      </c>
      <c r="AN46" s="557">
        <f t="shared" si="8"/>
        <v>0</v>
      </c>
      <c r="AO46" s="557">
        <f t="shared" si="9"/>
        <v>0</v>
      </c>
      <c r="AP46" s="557">
        <f t="shared" si="10"/>
        <v>0</v>
      </c>
      <c r="AQ46" s="557">
        <f t="shared" si="11"/>
        <v>0</v>
      </c>
      <c r="AR46" s="557">
        <f t="shared" si="12"/>
        <v>0</v>
      </c>
      <c r="AS46" s="469">
        <f t="shared" si="13"/>
        <v>0</v>
      </c>
    </row>
    <row r="47" spans="2:45" s="458" customFormat="1" x14ac:dyDescent="0.2">
      <c r="B47" s="464"/>
      <c r="C47" s="579"/>
      <c r="D47" s="586"/>
      <c r="E47" s="587"/>
      <c r="F47" s="587"/>
      <c r="G47" s="587"/>
      <c r="H47" s="587"/>
      <c r="I47" s="587"/>
      <c r="J47" s="587"/>
      <c r="K47" s="587"/>
      <c r="L47" s="587"/>
      <c r="M47" s="587"/>
      <c r="N47" s="587"/>
      <c r="O47" s="587"/>
      <c r="P47" s="588"/>
      <c r="R47" s="583"/>
      <c r="S47" s="584"/>
      <c r="T47" s="584"/>
      <c r="U47" s="584"/>
      <c r="V47" s="584"/>
      <c r="W47" s="584"/>
      <c r="X47" s="584"/>
      <c r="Y47" s="584"/>
      <c r="Z47" s="584"/>
      <c r="AA47" s="584"/>
      <c r="AB47" s="584"/>
      <c r="AC47" s="584"/>
      <c r="AD47" s="585"/>
      <c r="AF47" s="556">
        <f t="shared" si="0"/>
        <v>0</v>
      </c>
      <c r="AG47" s="557">
        <f t="shared" si="1"/>
        <v>0</v>
      </c>
      <c r="AH47" s="557">
        <f t="shared" si="2"/>
        <v>0</v>
      </c>
      <c r="AI47" s="557">
        <f t="shared" si="3"/>
        <v>0</v>
      </c>
      <c r="AJ47" s="557">
        <f t="shared" si="4"/>
        <v>0</v>
      </c>
      <c r="AK47" s="557">
        <f t="shared" si="5"/>
        <v>0</v>
      </c>
      <c r="AL47" s="557">
        <f t="shared" si="6"/>
        <v>0</v>
      </c>
      <c r="AM47" s="557">
        <f t="shared" si="7"/>
        <v>0</v>
      </c>
      <c r="AN47" s="557">
        <f t="shared" si="8"/>
        <v>0</v>
      </c>
      <c r="AO47" s="557">
        <f t="shared" si="9"/>
        <v>0</v>
      </c>
      <c r="AP47" s="557">
        <f t="shared" si="10"/>
        <v>0</v>
      </c>
      <c r="AQ47" s="557">
        <f t="shared" si="11"/>
        <v>0</v>
      </c>
      <c r="AR47" s="557">
        <f t="shared" si="12"/>
        <v>0</v>
      </c>
      <c r="AS47" s="469">
        <f t="shared" si="13"/>
        <v>0</v>
      </c>
    </row>
    <row r="48" spans="2:45" s="458" customFormat="1" x14ac:dyDescent="0.2">
      <c r="B48" s="464"/>
      <c r="C48" s="579"/>
      <c r="D48" s="586"/>
      <c r="E48" s="587"/>
      <c r="F48" s="587"/>
      <c r="G48" s="587"/>
      <c r="H48" s="587"/>
      <c r="I48" s="587"/>
      <c r="J48" s="587"/>
      <c r="K48" s="587"/>
      <c r="L48" s="587"/>
      <c r="M48" s="587"/>
      <c r="N48" s="587"/>
      <c r="O48" s="587"/>
      <c r="P48" s="588"/>
      <c r="R48" s="583"/>
      <c r="S48" s="584"/>
      <c r="T48" s="584"/>
      <c r="U48" s="584"/>
      <c r="V48" s="584"/>
      <c r="W48" s="584"/>
      <c r="X48" s="584"/>
      <c r="Y48" s="584"/>
      <c r="Z48" s="584"/>
      <c r="AA48" s="584"/>
      <c r="AB48" s="584"/>
      <c r="AC48" s="584"/>
      <c r="AD48" s="585"/>
      <c r="AF48" s="556">
        <f t="shared" si="0"/>
        <v>0</v>
      </c>
      <c r="AG48" s="557">
        <f t="shared" si="1"/>
        <v>0</v>
      </c>
      <c r="AH48" s="557">
        <f t="shared" si="2"/>
        <v>0</v>
      </c>
      <c r="AI48" s="557">
        <f t="shared" si="3"/>
        <v>0</v>
      </c>
      <c r="AJ48" s="557">
        <f t="shared" si="4"/>
        <v>0</v>
      </c>
      <c r="AK48" s="557">
        <f t="shared" si="5"/>
        <v>0</v>
      </c>
      <c r="AL48" s="557">
        <f t="shared" si="6"/>
        <v>0</v>
      </c>
      <c r="AM48" s="557">
        <f t="shared" si="7"/>
        <v>0</v>
      </c>
      <c r="AN48" s="557">
        <f t="shared" si="8"/>
        <v>0</v>
      </c>
      <c r="AO48" s="557">
        <f t="shared" si="9"/>
        <v>0</v>
      </c>
      <c r="AP48" s="557">
        <f t="shared" si="10"/>
        <v>0</v>
      </c>
      <c r="AQ48" s="557">
        <f t="shared" si="11"/>
        <v>0</v>
      </c>
      <c r="AR48" s="557">
        <f t="shared" si="12"/>
        <v>0</v>
      </c>
      <c r="AS48" s="469">
        <f t="shared" si="13"/>
        <v>0</v>
      </c>
    </row>
    <row r="49" spans="2:45" s="458" customFormat="1" x14ac:dyDescent="0.2">
      <c r="B49" s="464"/>
      <c r="C49" s="579"/>
      <c r="D49" s="586"/>
      <c r="E49" s="587"/>
      <c r="F49" s="587"/>
      <c r="G49" s="587"/>
      <c r="H49" s="587"/>
      <c r="I49" s="587"/>
      <c r="J49" s="587"/>
      <c r="K49" s="587"/>
      <c r="L49" s="587"/>
      <c r="M49" s="587"/>
      <c r="N49" s="587"/>
      <c r="O49" s="587"/>
      <c r="P49" s="588"/>
      <c r="R49" s="583"/>
      <c r="S49" s="584"/>
      <c r="T49" s="584"/>
      <c r="U49" s="584"/>
      <c r="V49" s="584"/>
      <c r="W49" s="584"/>
      <c r="X49" s="584"/>
      <c r="Y49" s="584"/>
      <c r="Z49" s="584"/>
      <c r="AA49" s="584"/>
      <c r="AB49" s="584"/>
      <c r="AC49" s="584"/>
      <c r="AD49" s="585"/>
      <c r="AF49" s="556">
        <f t="shared" si="0"/>
        <v>0</v>
      </c>
      <c r="AG49" s="557">
        <f t="shared" si="1"/>
        <v>0</v>
      </c>
      <c r="AH49" s="557">
        <f t="shared" si="2"/>
        <v>0</v>
      </c>
      <c r="AI49" s="557">
        <f t="shared" si="3"/>
        <v>0</v>
      </c>
      <c r="AJ49" s="557">
        <f t="shared" si="4"/>
        <v>0</v>
      </c>
      <c r="AK49" s="557">
        <f t="shared" si="5"/>
        <v>0</v>
      </c>
      <c r="AL49" s="557">
        <f t="shared" si="6"/>
        <v>0</v>
      </c>
      <c r="AM49" s="557">
        <f t="shared" si="7"/>
        <v>0</v>
      </c>
      <c r="AN49" s="557">
        <f t="shared" si="8"/>
        <v>0</v>
      </c>
      <c r="AO49" s="557">
        <f t="shared" si="9"/>
        <v>0</v>
      </c>
      <c r="AP49" s="557">
        <f t="shared" si="10"/>
        <v>0</v>
      </c>
      <c r="AQ49" s="557">
        <f t="shared" si="11"/>
        <v>0</v>
      </c>
      <c r="AR49" s="557">
        <f t="shared" si="12"/>
        <v>0</v>
      </c>
      <c r="AS49" s="469">
        <f t="shared" si="13"/>
        <v>0</v>
      </c>
    </row>
    <row r="50" spans="2:45" s="458" customFormat="1" x14ac:dyDescent="0.2">
      <c r="B50" s="464"/>
      <c r="C50" s="579"/>
      <c r="D50" s="586"/>
      <c r="E50" s="587"/>
      <c r="F50" s="587"/>
      <c r="G50" s="587"/>
      <c r="H50" s="587"/>
      <c r="I50" s="587"/>
      <c r="J50" s="587"/>
      <c r="K50" s="587"/>
      <c r="L50" s="587"/>
      <c r="M50" s="587"/>
      <c r="N50" s="587"/>
      <c r="O50" s="587"/>
      <c r="P50" s="588"/>
      <c r="R50" s="583"/>
      <c r="S50" s="584"/>
      <c r="T50" s="584"/>
      <c r="U50" s="584"/>
      <c r="V50" s="584"/>
      <c r="W50" s="584"/>
      <c r="X50" s="584"/>
      <c r="Y50" s="584"/>
      <c r="Z50" s="584"/>
      <c r="AA50" s="584"/>
      <c r="AB50" s="584"/>
      <c r="AC50" s="584"/>
      <c r="AD50" s="585"/>
      <c r="AF50" s="556">
        <f t="shared" si="0"/>
        <v>0</v>
      </c>
      <c r="AG50" s="557">
        <f t="shared" si="1"/>
        <v>0</v>
      </c>
      <c r="AH50" s="557">
        <f t="shared" si="2"/>
        <v>0</v>
      </c>
      <c r="AI50" s="557">
        <f t="shared" si="3"/>
        <v>0</v>
      </c>
      <c r="AJ50" s="557">
        <f t="shared" si="4"/>
        <v>0</v>
      </c>
      <c r="AK50" s="557">
        <f t="shared" si="5"/>
        <v>0</v>
      </c>
      <c r="AL50" s="557">
        <f t="shared" si="6"/>
        <v>0</v>
      </c>
      <c r="AM50" s="557">
        <f t="shared" si="7"/>
        <v>0</v>
      </c>
      <c r="AN50" s="557">
        <f t="shared" si="8"/>
        <v>0</v>
      </c>
      <c r="AO50" s="557">
        <f t="shared" si="9"/>
        <v>0</v>
      </c>
      <c r="AP50" s="557">
        <f t="shared" si="10"/>
        <v>0</v>
      </c>
      <c r="AQ50" s="557">
        <f t="shared" si="11"/>
        <v>0</v>
      </c>
      <c r="AR50" s="557">
        <f t="shared" si="12"/>
        <v>0</v>
      </c>
      <c r="AS50" s="469">
        <f t="shared" si="13"/>
        <v>0</v>
      </c>
    </row>
    <row r="51" spans="2:45" s="458" customFormat="1" x14ac:dyDescent="0.2">
      <c r="B51" s="464"/>
      <c r="C51" s="579"/>
      <c r="D51" s="586"/>
      <c r="E51" s="587"/>
      <c r="F51" s="587"/>
      <c r="G51" s="587"/>
      <c r="H51" s="587"/>
      <c r="I51" s="587"/>
      <c r="J51" s="587"/>
      <c r="K51" s="587"/>
      <c r="L51" s="587"/>
      <c r="M51" s="587"/>
      <c r="N51" s="587"/>
      <c r="O51" s="587"/>
      <c r="P51" s="588"/>
      <c r="R51" s="583"/>
      <c r="S51" s="584"/>
      <c r="T51" s="584"/>
      <c r="U51" s="584"/>
      <c r="V51" s="584"/>
      <c r="W51" s="584"/>
      <c r="X51" s="584"/>
      <c r="Y51" s="584"/>
      <c r="Z51" s="584"/>
      <c r="AA51" s="584"/>
      <c r="AB51" s="584"/>
      <c r="AC51" s="584"/>
      <c r="AD51" s="585"/>
      <c r="AF51" s="556">
        <f t="shared" si="0"/>
        <v>0</v>
      </c>
      <c r="AG51" s="557">
        <f t="shared" si="1"/>
        <v>0</v>
      </c>
      <c r="AH51" s="557">
        <f t="shared" si="2"/>
        <v>0</v>
      </c>
      <c r="AI51" s="557">
        <f t="shared" si="3"/>
        <v>0</v>
      </c>
      <c r="AJ51" s="557">
        <f t="shared" si="4"/>
        <v>0</v>
      </c>
      <c r="AK51" s="557">
        <f t="shared" si="5"/>
        <v>0</v>
      </c>
      <c r="AL51" s="557">
        <f t="shared" si="6"/>
        <v>0</v>
      </c>
      <c r="AM51" s="557">
        <f t="shared" si="7"/>
        <v>0</v>
      </c>
      <c r="AN51" s="557">
        <f t="shared" si="8"/>
        <v>0</v>
      </c>
      <c r="AO51" s="557">
        <f t="shared" si="9"/>
        <v>0</v>
      </c>
      <c r="AP51" s="557">
        <f t="shared" si="10"/>
        <v>0</v>
      </c>
      <c r="AQ51" s="557">
        <f t="shared" si="11"/>
        <v>0</v>
      </c>
      <c r="AR51" s="557">
        <f t="shared" si="12"/>
        <v>0</v>
      </c>
      <c r="AS51" s="469">
        <f t="shared" si="13"/>
        <v>0</v>
      </c>
    </row>
    <row r="52" spans="2:45" s="458" customFormat="1" x14ac:dyDescent="0.2">
      <c r="B52" s="464"/>
      <c r="C52" s="579"/>
      <c r="D52" s="586"/>
      <c r="E52" s="587"/>
      <c r="F52" s="587"/>
      <c r="G52" s="587"/>
      <c r="H52" s="587"/>
      <c r="I52" s="587"/>
      <c r="J52" s="587"/>
      <c r="K52" s="587"/>
      <c r="L52" s="587"/>
      <c r="M52" s="587"/>
      <c r="N52" s="587"/>
      <c r="O52" s="587"/>
      <c r="P52" s="588"/>
      <c r="R52" s="583"/>
      <c r="S52" s="584"/>
      <c r="T52" s="584"/>
      <c r="U52" s="584"/>
      <c r="V52" s="584"/>
      <c r="W52" s="584"/>
      <c r="X52" s="584"/>
      <c r="Y52" s="584"/>
      <c r="Z52" s="584"/>
      <c r="AA52" s="584"/>
      <c r="AB52" s="584"/>
      <c r="AC52" s="584"/>
      <c r="AD52" s="585"/>
      <c r="AF52" s="556">
        <f t="shared" si="0"/>
        <v>0</v>
      </c>
      <c r="AG52" s="557">
        <f t="shared" si="1"/>
        <v>0</v>
      </c>
      <c r="AH52" s="557">
        <f t="shared" si="2"/>
        <v>0</v>
      </c>
      <c r="AI52" s="557">
        <f t="shared" si="3"/>
        <v>0</v>
      </c>
      <c r="AJ52" s="557">
        <f t="shared" si="4"/>
        <v>0</v>
      </c>
      <c r="AK52" s="557">
        <f t="shared" si="5"/>
        <v>0</v>
      </c>
      <c r="AL52" s="557">
        <f t="shared" si="6"/>
        <v>0</v>
      </c>
      <c r="AM52" s="557">
        <f t="shared" si="7"/>
        <v>0</v>
      </c>
      <c r="AN52" s="557">
        <f t="shared" si="8"/>
        <v>0</v>
      </c>
      <c r="AO52" s="557">
        <f t="shared" si="9"/>
        <v>0</v>
      </c>
      <c r="AP52" s="557">
        <f t="shared" si="10"/>
        <v>0</v>
      </c>
      <c r="AQ52" s="557">
        <f t="shared" si="11"/>
        <v>0</v>
      </c>
      <c r="AR52" s="557">
        <f t="shared" si="12"/>
        <v>0</v>
      </c>
      <c r="AS52" s="469">
        <f t="shared" si="13"/>
        <v>0</v>
      </c>
    </row>
    <row r="53" spans="2:45" s="458" customFormat="1" x14ac:dyDescent="0.2">
      <c r="B53" s="464"/>
      <c r="C53" s="579"/>
      <c r="D53" s="586"/>
      <c r="E53" s="587"/>
      <c r="F53" s="587"/>
      <c r="G53" s="587"/>
      <c r="H53" s="587"/>
      <c r="I53" s="587"/>
      <c r="J53" s="587"/>
      <c r="K53" s="587"/>
      <c r="L53" s="587"/>
      <c r="M53" s="587"/>
      <c r="N53" s="587"/>
      <c r="O53" s="587"/>
      <c r="P53" s="588"/>
      <c r="R53" s="583"/>
      <c r="S53" s="584"/>
      <c r="T53" s="584"/>
      <c r="U53" s="584"/>
      <c r="V53" s="584"/>
      <c r="W53" s="584"/>
      <c r="X53" s="584"/>
      <c r="Y53" s="584"/>
      <c r="Z53" s="584"/>
      <c r="AA53" s="584"/>
      <c r="AB53" s="584"/>
      <c r="AC53" s="584"/>
      <c r="AD53" s="585"/>
      <c r="AF53" s="556">
        <f t="shared" si="0"/>
        <v>0</v>
      </c>
      <c r="AG53" s="557">
        <f t="shared" si="1"/>
        <v>0</v>
      </c>
      <c r="AH53" s="557">
        <f t="shared" si="2"/>
        <v>0</v>
      </c>
      <c r="AI53" s="557">
        <f t="shared" si="3"/>
        <v>0</v>
      </c>
      <c r="AJ53" s="557">
        <f t="shared" si="4"/>
        <v>0</v>
      </c>
      <c r="AK53" s="557">
        <f t="shared" si="5"/>
        <v>0</v>
      </c>
      <c r="AL53" s="557">
        <f t="shared" si="6"/>
        <v>0</v>
      </c>
      <c r="AM53" s="557">
        <f t="shared" si="7"/>
        <v>0</v>
      </c>
      <c r="AN53" s="557">
        <f t="shared" si="8"/>
        <v>0</v>
      </c>
      <c r="AO53" s="557">
        <f t="shared" si="9"/>
        <v>0</v>
      </c>
      <c r="AP53" s="557">
        <f t="shared" si="10"/>
        <v>0</v>
      </c>
      <c r="AQ53" s="557">
        <f t="shared" si="11"/>
        <v>0</v>
      </c>
      <c r="AR53" s="557">
        <f t="shared" si="12"/>
        <v>0</v>
      </c>
      <c r="AS53" s="469">
        <f t="shared" si="13"/>
        <v>0</v>
      </c>
    </row>
    <row r="54" spans="2:45" s="458" customFormat="1" x14ac:dyDescent="0.2">
      <c r="B54" s="464"/>
      <c r="C54" s="579"/>
      <c r="D54" s="586"/>
      <c r="E54" s="587"/>
      <c r="F54" s="587"/>
      <c r="G54" s="587"/>
      <c r="H54" s="587"/>
      <c r="I54" s="587"/>
      <c r="J54" s="587"/>
      <c r="K54" s="587"/>
      <c r="L54" s="587"/>
      <c r="M54" s="587"/>
      <c r="N54" s="587"/>
      <c r="O54" s="587"/>
      <c r="P54" s="588"/>
      <c r="R54" s="583"/>
      <c r="S54" s="584"/>
      <c r="T54" s="584"/>
      <c r="U54" s="584"/>
      <c r="V54" s="584"/>
      <c r="W54" s="584"/>
      <c r="X54" s="584"/>
      <c r="Y54" s="584"/>
      <c r="Z54" s="584"/>
      <c r="AA54" s="584"/>
      <c r="AB54" s="584"/>
      <c r="AC54" s="584"/>
      <c r="AD54" s="585"/>
      <c r="AF54" s="556">
        <f t="shared" si="0"/>
        <v>0</v>
      </c>
      <c r="AG54" s="557">
        <f t="shared" si="1"/>
        <v>0</v>
      </c>
      <c r="AH54" s="557">
        <f t="shared" si="2"/>
        <v>0</v>
      </c>
      <c r="AI54" s="557">
        <f t="shared" si="3"/>
        <v>0</v>
      </c>
      <c r="AJ54" s="557">
        <f t="shared" si="4"/>
        <v>0</v>
      </c>
      <c r="AK54" s="557">
        <f t="shared" si="5"/>
        <v>0</v>
      </c>
      <c r="AL54" s="557">
        <f t="shared" si="6"/>
        <v>0</v>
      </c>
      <c r="AM54" s="557">
        <f t="shared" si="7"/>
        <v>0</v>
      </c>
      <c r="AN54" s="557">
        <f t="shared" si="8"/>
        <v>0</v>
      </c>
      <c r="AO54" s="557">
        <f t="shared" si="9"/>
        <v>0</v>
      </c>
      <c r="AP54" s="557">
        <f t="shared" si="10"/>
        <v>0</v>
      </c>
      <c r="AQ54" s="557">
        <f t="shared" si="11"/>
        <v>0</v>
      </c>
      <c r="AR54" s="557">
        <f t="shared" si="12"/>
        <v>0</v>
      </c>
      <c r="AS54" s="469">
        <f t="shared" si="13"/>
        <v>0</v>
      </c>
    </row>
    <row r="55" spans="2:45" s="458" customFormat="1" x14ac:dyDescent="0.2">
      <c r="B55" s="464"/>
      <c r="C55" s="579"/>
      <c r="D55" s="586"/>
      <c r="E55" s="587"/>
      <c r="F55" s="587"/>
      <c r="G55" s="587"/>
      <c r="H55" s="587"/>
      <c r="I55" s="587"/>
      <c r="J55" s="587"/>
      <c r="K55" s="587"/>
      <c r="L55" s="587"/>
      <c r="M55" s="587"/>
      <c r="N55" s="587"/>
      <c r="O55" s="587"/>
      <c r="P55" s="588"/>
      <c r="R55" s="583"/>
      <c r="S55" s="584"/>
      <c r="T55" s="584"/>
      <c r="U55" s="584"/>
      <c r="V55" s="584"/>
      <c r="W55" s="584"/>
      <c r="X55" s="584"/>
      <c r="Y55" s="584"/>
      <c r="Z55" s="584"/>
      <c r="AA55" s="584"/>
      <c r="AB55" s="584"/>
      <c r="AC55" s="584"/>
      <c r="AD55" s="585"/>
      <c r="AF55" s="556">
        <f t="shared" si="0"/>
        <v>0</v>
      </c>
      <c r="AG55" s="557">
        <f t="shared" si="1"/>
        <v>0</v>
      </c>
      <c r="AH55" s="557">
        <f t="shared" si="2"/>
        <v>0</v>
      </c>
      <c r="AI55" s="557">
        <f t="shared" si="3"/>
        <v>0</v>
      </c>
      <c r="AJ55" s="557">
        <f t="shared" si="4"/>
        <v>0</v>
      </c>
      <c r="AK55" s="557">
        <f t="shared" si="5"/>
        <v>0</v>
      </c>
      <c r="AL55" s="557">
        <f t="shared" si="6"/>
        <v>0</v>
      </c>
      <c r="AM55" s="557">
        <f t="shared" si="7"/>
        <v>0</v>
      </c>
      <c r="AN55" s="557">
        <f t="shared" si="8"/>
        <v>0</v>
      </c>
      <c r="AO55" s="557">
        <f t="shared" si="9"/>
        <v>0</v>
      </c>
      <c r="AP55" s="557">
        <f t="shared" si="10"/>
        <v>0</v>
      </c>
      <c r="AQ55" s="557">
        <f t="shared" si="11"/>
        <v>0</v>
      </c>
      <c r="AR55" s="557">
        <f t="shared" si="12"/>
        <v>0</v>
      </c>
      <c r="AS55" s="469">
        <f t="shared" si="13"/>
        <v>0</v>
      </c>
    </row>
    <row r="56" spans="2:45" s="458" customFormat="1" x14ac:dyDescent="0.2">
      <c r="B56" s="464"/>
      <c r="C56" s="579"/>
      <c r="D56" s="586"/>
      <c r="E56" s="587"/>
      <c r="F56" s="587"/>
      <c r="G56" s="587"/>
      <c r="H56" s="587"/>
      <c r="I56" s="587"/>
      <c r="J56" s="587"/>
      <c r="K56" s="587"/>
      <c r="L56" s="587"/>
      <c r="M56" s="587"/>
      <c r="N56" s="587"/>
      <c r="O56" s="587"/>
      <c r="P56" s="588"/>
      <c r="R56" s="583"/>
      <c r="S56" s="584"/>
      <c r="T56" s="584"/>
      <c r="U56" s="584"/>
      <c r="V56" s="584"/>
      <c r="W56" s="584"/>
      <c r="X56" s="584"/>
      <c r="Y56" s="584"/>
      <c r="Z56" s="584"/>
      <c r="AA56" s="584"/>
      <c r="AB56" s="584"/>
      <c r="AC56" s="584"/>
      <c r="AD56" s="585"/>
      <c r="AF56" s="556">
        <f t="shared" si="0"/>
        <v>0</v>
      </c>
      <c r="AG56" s="557">
        <f t="shared" si="1"/>
        <v>0</v>
      </c>
      <c r="AH56" s="557">
        <f t="shared" si="2"/>
        <v>0</v>
      </c>
      <c r="AI56" s="557">
        <f t="shared" si="3"/>
        <v>0</v>
      </c>
      <c r="AJ56" s="557">
        <f t="shared" si="4"/>
        <v>0</v>
      </c>
      <c r="AK56" s="557">
        <f t="shared" si="5"/>
        <v>0</v>
      </c>
      <c r="AL56" s="557">
        <f t="shared" si="6"/>
        <v>0</v>
      </c>
      <c r="AM56" s="557">
        <f t="shared" si="7"/>
        <v>0</v>
      </c>
      <c r="AN56" s="557">
        <f t="shared" si="8"/>
        <v>0</v>
      </c>
      <c r="AO56" s="557">
        <f t="shared" si="9"/>
        <v>0</v>
      </c>
      <c r="AP56" s="557">
        <f t="shared" si="10"/>
        <v>0</v>
      </c>
      <c r="AQ56" s="557">
        <f t="shared" si="11"/>
        <v>0</v>
      </c>
      <c r="AR56" s="557">
        <f t="shared" si="12"/>
        <v>0</v>
      </c>
      <c r="AS56" s="469">
        <f t="shared" si="13"/>
        <v>0</v>
      </c>
    </row>
    <row r="57" spans="2:45" s="458" customFormat="1" x14ac:dyDescent="0.2">
      <c r="B57" s="464"/>
      <c r="C57" s="579"/>
      <c r="D57" s="586"/>
      <c r="E57" s="587"/>
      <c r="F57" s="587"/>
      <c r="G57" s="587"/>
      <c r="H57" s="587"/>
      <c r="I57" s="587"/>
      <c r="J57" s="587"/>
      <c r="K57" s="587"/>
      <c r="L57" s="587"/>
      <c r="M57" s="587"/>
      <c r="N57" s="587"/>
      <c r="O57" s="587"/>
      <c r="P57" s="588"/>
      <c r="R57" s="583"/>
      <c r="S57" s="584"/>
      <c r="T57" s="584"/>
      <c r="U57" s="584"/>
      <c r="V57" s="584"/>
      <c r="W57" s="584"/>
      <c r="X57" s="584"/>
      <c r="Y57" s="584"/>
      <c r="Z57" s="584"/>
      <c r="AA57" s="584"/>
      <c r="AB57" s="584"/>
      <c r="AC57" s="584"/>
      <c r="AD57" s="585"/>
      <c r="AF57" s="556">
        <f t="shared" si="0"/>
        <v>0</v>
      </c>
      <c r="AG57" s="557">
        <f t="shared" si="1"/>
        <v>0</v>
      </c>
      <c r="AH57" s="557">
        <f t="shared" si="2"/>
        <v>0</v>
      </c>
      <c r="AI57" s="557">
        <f t="shared" si="3"/>
        <v>0</v>
      </c>
      <c r="AJ57" s="557">
        <f t="shared" si="4"/>
        <v>0</v>
      </c>
      <c r="AK57" s="557">
        <f t="shared" si="5"/>
        <v>0</v>
      </c>
      <c r="AL57" s="557">
        <f t="shared" si="6"/>
        <v>0</v>
      </c>
      <c r="AM57" s="557">
        <f t="shared" si="7"/>
        <v>0</v>
      </c>
      <c r="AN57" s="557">
        <f t="shared" si="8"/>
        <v>0</v>
      </c>
      <c r="AO57" s="557">
        <f t="shared" si="9"/>
        <v>0</v>
      </c>
      <c r="AP57" s="557">
        <f t="shared" si="10"/>
        <v>0</v>
      </c>
      <c r="AQ57" s="557">
        <f t="shared" si="11"/>
        <v>0</v>
      </c>
      <c r="AR57" s="557">
        <f t="shared" si="12"/>
        <v>0</v>
      </c>
      <c r="AS57" s="469">
        <f t="shared" si="13"/>
        <v>0</v>
      </c>
    </row>
    <row r="58" spans="2:45" s="458" customFormat="1" x14ac:dyDescent="0.2">
      <c r="B58" s="464"/>
      <c r="C58" s="579"/>
      <c r="D58" s="586"/>
      <c r="E58" s="587"/>
      <c r="F58" s="587"/>
      <c r="G58" s="587"/>
      <c r="H58" s="587"/>
      <c r="I58" s="587"/>
      <c r="J58" s="587"/>
      <c r="K58" s="587"/>
      <c r="L58" s="587"/>
      <c r="M58" s="587"/>
      <c r="N58" s="587"/>
      <c r="O58" s="587"/>
      <c r="P58" s="588"/>
      <c r="R58" s="583"/>
      <c r="S58" s="584"/>
      <c r="T58" s="584"/>
      <c r="U58" s="584"/>
      <c r="V58" s="584"/>
      <c r="W58" s="584"/>
      <c r="X58" s="584"/>
      <c r="Y58" s="584"/>
      <c r="Z58" s="584"/>
      <c r="AA58" s="584"/>
      <c r="AB58" s="584"/>
      <c r="AC58" s="584"/>
      <c r="AD58" s="585"/>
      <c r="AF58" s="556">
        <f t="shared" si="0"/>
        <v>0</v>
      </c>
      <c r="AG58" s="557">
        <f t="shared" si="1"/>
        <v>0</v>
      </c>
      <c r="AH58" s="557">
        <f t="shared" si="2"/>
        <v>0</v>
      </c>
      <c r="AI58" s="557">
        <f t="shared" si="3"/>
        <v>0</v>
      </c>
      <c r="AJ58" s="557">
        <f t="shared" si="4"/>
        <v>0</v>
      </c>
      <c r="AK58" s="557">
        <f t="shared" si="5"/>
        <v>0</v>
      </c>
      <c r="AL58" s="557">
        <f t="shared" si="6"/>
        <v>0</v>
      </c>
      <c r="AM58" s="557">
        <f t="shared" si="7"/>
        <v>0</v>
      </c>
      <c r="AN58" s="557">
        <f t="shared" si="8"/>
        <v>0</v>
      </c>
      <c r="AO58" s="557">
        <f t="shared" si="9"/>
        <v>0</v>
      </c>
      <c r="AP58" s="557">
        <f t="shared" si="10"/>
        <v>0</v>
      </c>
      <c r="AQ58" s="557">
        <f t="shared" si="11"/>
        <v>0</v>
      </c>
      <c r="AR58" s="557">
        <f t="shared" si="12"/>
        <v>0</v>
      </c>
      <c r="AS58" s="469">
        <f t="shared" si="13"/>
        <v>0</v>
      </c>
    </row>
    <row r="59" spans="2:45" s="458" customFormat="1" x14ac:dyDescent="0.2">
      <c r="B59" s="464"/>
      <c r="C59" s="579"/>
      <c r="D59" s="586"/>
      <c r="E59" s="587"/>
      <c r="F59" s="587"/>
      <c r="G59" s="587"/>
      <c r="H59" s="587"/>
      <c r="I59" s="587"/>
      <c r="J59" s="587"/>
      <c r="K59" s="587"/>
      <c r="L59" s="587"/>
      <c r="M59" s="587"/>
      <c r="N59" s="587"/>
      <c r="O59" s="587"/>
      <c r="P59" s="588"/>
      <c r="R59" s="583"/>
      <c r="S59" s="584"/>
      <c r="T59" s="584"/>
      <c r="U59" s="584"/>
      <c r="V59" s="584"/>
      <c r="W59" s="584"/>
      <c r="X59" s="584"/>
      <c r="Y59" s="584"/>
      <c r="Z59" s="584"/>
      <c r="AA59" s="584"/>
      <c r="AB59" s="584"/>
      <c r="AC59" s="584"/>
      <c r="AD59" s="585"/>
      <c r="AF59" s="556">
        <f t="shared" si="0"/>
        <v>0</v>
      </c>
      <c r="AG59" s="557">
        <f t="shared" si="1"/>
        <v>0</v>
      </c>
      <c r="AH59" s="557">
        <f t="shared" si="2"/>
        <v>0</v>
      </c>
      <c r="AI59" s="557">
        <f t="shared" si="3"/>
        <v>0</v>
      </c>
      <c r="AJ59" s="557">
        <f t="shared" si="4"/>
        <v>0</v>
      </c>
      <c r="AK59" s="557">
        <f t="shared" si="5"/>
        <v>0</v>
      </c>
      <c r="AL59" s="557">
        <f t="shared" si="6"/>
        <v>0</v>
      </c>
      <c r="AM59" s="557">
        <f t="shared" si="7"/>
        <v>0</v>
      </c>
      <c r="AN59" s="557">
        <f t="shared" si="8"/>
        <v>0</v>
      </c>
      <c r="AO59" s="557">
        <f t="shared" si="9"/>
        <v>0</v>
      </c>
      <c r="AP59" s="557">
        <f t="shared" si="10"/>
        <v>0</v>
      </c>
      <c r="AQ59" s="557">
        <f t="shared" si="11"/>
        <v>0</v>
      </c>
      <c r="AR59" s="557">
        <f t="shared" si="12"/>
        <v>0</v>
      </c>
      <c r="AS59" s="469">
        <f t="shared" si="13"/>
        <v>0</v>
      </c>
    </row>
    <row r="60" spans="2:45" s="458" customFormat="1" x14ac:dyDescent="0.2">
      <c r="B60" s="464"/>
      <c r="C60" s="579"/>
      <c r="D60" s="586"/>
      <c r="E60" s="587"/>
      <c r="F60" s="587"/>
      <c r="G60" s="587"/>
      <c r="H60" s="587"/>
      <c r="I60" s="587"/>
      <c r="J60" s="587"/>
      <c r="K60" s="587"/>
      <c r="L60" s="587"/>
      <c r="M60" s="587"/>
      <c r="N60" s="587"/>
      <c r="O60" s="587"/>
      <c r="P60" s="588"/>
      <c r="R60" s="583"/>
      <c r="S60" s="584"/>
      <c r="T60" s="584"/>
      <c r="U60" s="584"/>
      <c r="V60" s="584"/>
      <c r="W60" s="584"/>
      <c r="X60" s="584"/>
      <c r="Y60" s="584"/>
      <c r="Z60" s="584"/>
      <c r="AA60" s="584"/>
      <c r="AB60" s="584"/>
      <c r="AC60" s="584"/>
      <c r="AD60" s="585"/>
      <c r="AF60" s="556">
        <f t="shared" si="0"/>
        <v>0</v>
      </c>
      <c r="AG60" s="557">
        <f t="shared" si="1"/>
        <v>0</v>
      </c>
      <c r="AH60" s="557">
        <f t="shared" si="2"/>
        <v>0</v>
      </c>
      <c r="AI60" s="557">
        <f t="shared" si="3"/>
        <v>0</v>
      </c>
      <c r="AJ60" s="557">
        <f t="shared" si="4"/>
        <v>0</v>
      </c>
      <c r="AK60" s="557">
        <f t="shared" si="5"/>
        <v>0</v>
      </c>
      <c r="AL60" s="557">
        <f t="shared" si="6"/>
        <v>0</v>
      </c>
      <c r="AM60" s="557">
        <f t="shared" si="7"/>
        <v>0</v>
      </c>
      <c r="AN60" s="557">
        <f t="shared" si="8"/>
        <v>0</v>
      </c>
      <c r="AO60" s="557">
        <f t="shared" si="9"/>
        <v>0</v>
      </c>
      <c r="AP60" s="557">
        <f t="shared" si="10"/>
        <v>0</v>
      </c>
      <c r="AQ60" s="557">
        <f t="shared" si="11"/>
        <v>0</v>
      </c>
      <c r="AR60" s="557">
        <f t="shared" si="12"/>
        <v>0</v>
      </c>
      <c r="AS60" s="469">
        <f t="shared" si="13"/>
        <v>0</v>
      </c>
    </row>
    <row r="61" spans="2:45" s="458" customFormat="1" x14ac:dyDescent="0.2">
      <c r="B61" s="464"/>
      <c r="C61" s="579"/>
      <c r="D61" s="586"/>
      <c r="E61" s="587"/>
      <c r="F61" s="587"/>
      <c r="G61" s="587"/>
      <c r="H61" s="587"/>
      <c r="I61" s="587"/>
      <c r="J61" s="587"/>
      <c r="K61" s="587"/>
      <c r="L61" s="587"/>
      <c r="M61" s="587"/>
      <c r="N61" s="587"/>
      <c r="O61" s="587"/>
      <c r="P61" s="588"/>
      <c r="R61" s="583"/>
      <c r="S61" s="584"/>
      <c r="T61" s="584"/>
      <c r="U61" s="584"/>
      <c r="V61" s="584"/>
      <c r="W61" s="584"/>
      <c r="X61" s="584"/>
      <c r="Y61" s="584"/>
      <c r="Z61" s="584"/>
      <c r="AA61" s="584"/>
      <c r="AB61" s="584"/>
      <c r="AC61" s="584"/>
      <c r="AD61" s="585"/>
      <c r="AF61" s="556">
        <f t="shared" si="0"/>
        <v>0</v>
      </c>
      <c r="AG61" s="557">
        <f t="shared" si="1"/>
        <v>0</v>
      </c>
      <c r="AH61" s="557">
        <f t="shared" si="2"/>
        <v>0</v>
      </c>
      <c r="AI61" s="557">
        <f t="shared" si="3"/>
        <v>0</v>
      </c>
      <c r="AJ61" s="557">
        <f t="shared" si="4"/>
        <v>0</v>
      </c>
      <c r="AK61" s="557">
        <f t="shared" si="5"/>
        <v>0</v>
      </c>
      <c r="AL61" s="557">
        <f t="shared" si="6"/>
        <v>0</v>
      </c>
      <c r="AM61" s="557">
        <f t="shared" si="7"/>
        <v>0</v>
      </c>
      <c r="AN61" s="557">
        <f t="shared" si="8"/>
        <v>0</v>
      </c>
      <c r="AO61" s="557">
        <f t="shared" si="9"/>
        <v>0</v>
      </c>
      <c r="AP61" s="557">
        <f t="shared" si="10"/>
        <v>0</v>
      </c>
      <c r="AQ61" s="557">
        <f t="shared" si="11"/>
        <v>0</v>
      </c>
      <c r="AR61" s="557">
        <f t="shared" si="12"/>
        <v>0</v>
      </c>
      <c r="AS61" s="469">
        <f t="shared" si="13"/>
        <v>0</v>
      </c>
    </row>
    <row r="62" spans="2:45" s="458" customFormat="1" x14ac:dyDescent="0.2">
      <c r="B62" s="464"/>
      <c r="C62" s="579"/>
      <c r="D62" s="586"/>
      <c r="E62" s="587"/>
      <c r="F62" s="587"/>
      <c r="G62" s="587"/>
      <c r="H62" s="587"/>
      <c r="I62" s="587"/>
      <c r="J62" s="587"/>
      <c r="K62" s="587"/>
      <c r="L62" s="587"/>
      <c r="M62" s="587"/>
      <c r="N62" s="587"/>
      <c r="O62" s="587"/>
      <c r="P62" s="588"/>
      <c r="R62" s="583"/>
      <c r="S62" s="584"/>
      <c r="T62" s="584"/>
      <c r="U62" s="584"/>
      <c r="V62" s="584"/>
      <c r="W62" s="584"/>
      <c r="X62" s="584"/>
      <c r="Y62" s="584"/>
      <c r="Z62" s="584"/>
      <c r="AA62" s="584"/>
      <c r="AB62" s="584"/>
      <c r="AC62" s="584"/>
      <c r="AD62" s="585"/>
      <c r="AF62" s="556">
        <f t="shared" si="0"/>
        <v>0</v>
      </c>
      <c r="AG62" s="557">
        <f t="shared" si="1"/>
        <v>0</v>
      </c>
      <c r="AH62" s="557">
        <f t="shared" si="2"/>
        <v>0</v>
      </c>
      <c r="AI62" s="557">
        <f t="shared" si="3"/>
        <v>0</v>
      </c>
      <c r="AJ62" s="557">
        <f t="shared" si="4"/>
        <v>0</v>
      </c>
      <c r="AK62" s="557">
        <f t="shared" si="5"/>
        <v>0</v>
      </c>
      <c r="AL62" s="557">
        <f t="shared" si="6"/>
        <v>0</v>
      </c>
      <c r="AM62" s="557">
        <f t="shared" si="7"/>
        <v>0</v>
      </c>
      <c r="AN62" s="557">
        <f t="shared" si="8"/>
        <v>0</v>
      </c>
      <c r="AO62" s="557">
        <f t="shared" si="9"/>
        <v>0</v>
      </c>
      <c r="AP62" s="557">
        <f t="shared" si="10"/>
        <v>0</v>
      </c>
      <c r="AQ62" s="557">
        <f t="shared" si="11"/>
        <v>0</v>
      </c>
      <c r="AR62" s="557">
        <f t="shared" si="12"/>
        <v>0</v>
      </c>
      <c r="AS62" s="469">
        <f t="shared" si="13"/>
        <v>0</v>
      </c>
    </row>
    <row r="63" spans="2:45" s="458" customFormat="1" x14ac:dyDescent="0.2">
      <c r="B63" s="464"/>
      <c r="C63" s="579"/>
      <c r="D63" s="586"/>
      <c r="E63" s="587"/>
      <c r="F63" s="587"/>
      <c r="G63" s="587"/>
      <c r="H63" s="587"/>
      <c r="I63" s="587"/>
      <c r="J63" s="587"/>
      <c r="K63" s="587"/>
      <c r="L63" s="587"/>
      <c r="M63" s="587"/>
      <c r="N63" s="587"/>
      <c r="O63" s="587"/>
      <c r="P63" s="588"/>
      <c r="R63" s="583"/>
      <c r="S63" s="584"/>
      <c r="T63" s="584"/>
      <c r="U63" s="584"/>
      <c r="V63" s="584"/>
      <c r="W63" s="584"/>
      <c r="X63" s="584"/>
      <c r="Y63" s="584"/>
      <c r="Z63" s="584"/>
      <c r="AA63" s="584"/>
      <c r="AB63" s="584"/>
      <c r="AC63" s="584"/>
      <c r="AD63" s="585"/>
      <c r="AF63" s="556">
        <f t="shared" si="0"/>
        <v>0</v>
      </c>
      <c r="AG63" s="557">
        <f t="shared" si="1"/>
        <v>0</v>
      </c>
      <c r="AH63" s="557">
        <f t="shared" si="2"/>
        <v>0</v>
      </c>
      <c r="AI63" s="557">
        <f t="shared" si="3"/>
        <v>0</v>
      </c>
      <c r="AJ63" s="557">
        <f t="shared" si="4"/>
        <v>0</v>
      </c>
      <c r="AK63" s="557">
        <f t="shared" si="5"/>
        <v>0</v>
      </c>
      <c r="AL63" s="557">
        <f t="shared" si="6"/>
        <v>0</v>
      </c>
      <c r="AM63" s="557">
        <f t="shared" si="7"/>
        <v>0</v>
      </c>
      <c r="AN63" s="557">
        <f t="shared" si="8"/>
        <v>0</v>
      </c>
      <c r="AO63" s="557">
        <f t="shared" si="9"/>
        <v>0</v>
      </c>
      <c r="AP63" s="557">
        <f t="shared" si="10"/>
        <v>0</v>
      </c>
      <c r="AQ63" s="557">
        <f t="shared" si="11"/>
        <v>0</v>
      </c>
      <c r="AR63" s="557">
        <f t="shared" si="12"/>
        <v>0</v>
      </c>
      <c r="AS63" s="469">
        <f t="shared" si="13"/>
        <v>0</v>
      </c>
    </row>
    <row r="64" spans="2:45" s="458" customFormat="1" x14ac:dyDescent="0.2">
      <c r="B64" s="464"/>
      <c r="C64" s="579"/>
      <c r="D64" s="586"/>
      <c r="E64" s="587"/>
      <c r="F64" s="587"/>
      <c r="G64" s="587"/>
      <c r="H64" s="587"/>
      <c r="I64" s="587"/>
      <c r="J64" s="587"/>
      <c r="K64" s="587"/>
      <c r="L64" s="587"/>
      <c r="M64" s="587"/>
      <c r="N64" s="587"/>
      <c r="O64" s="587"/>
      <c r="P64" s="588"/>
      <c r="R64" s="583"/>
      <c r="S64" s="584"/>
      <c r="T64" s="584"/>
      <c r="U64" s="584"/>
      <c r="V64" s="584"/>
      <c r="W64" s="584"/>
      <c r="X64" s="584"/>
      <c r="Y64" s="584"/>
      <c r="Z64" s="584"/>
      <c r="AA64" s="584"/>
      <c r="AB64" s="584"/>
      <c r="AC64" s="584"/>
      <c r="AD64" s="585"/>
      <c r="AF64" s="556">
        <f t="shared" si="0"/>
        <v>0</v>
      </c>
      <c r="AG64" s="557">
        <f t="shared" si="1"/>
        <v>0</v>
      </c>
      <c r="AH64" s="557">
        <f t="shared" si="2"/>
        <v>0</v>
      </c>
      <c r="AI64" s="557">
        <f t="shared" si="3"/>
        <v>0</v>
      </c>
      <c r="AJ64" s="557">
        <f t="shared" si="4"/>
        <v>0</v>
      </c>
      <c r="AK64" s="557">
        <f t="shared" si="5"/>
        <v>0</v>
      </c>
      <c r="AL64" s="557">
        <f t="shared" si="6"/>
        <v>0</v>
      </c>
      <c r="AM64" s="557">
        <f t="shared" si="7"/>
        <v>0</v>
      </c>
      <c r="AN64" s="557">
        <f t="shared" si="8"/>
        <v>0</v>
      </c>
      <c r="AO64" s="557">
        <f t="shared" si="9"/>
        <v>0</v>
      </c>
      <c r="AP64" s="557">
        <f t="shared" si="10"/>
        <v>0</v>
      </c>
      <c r="AQ64" s="557">
        <f t="shared" si="11"/>
        <v>0</v>
      </c>
      <c r="AR64" s="557">
        <f t="shared" si="12"/>
        <v>0</v>
      </c>
      <c r="AS64" s="469">
        <f t="shared" si="13"/>
        <v>0</v>
      </c>
    </row>
    <row r="65" spans="2:45" s="458" customFormat="1" ht="13.5" thickBot="1" x14ac:dyDescent="0.25">
      <c r="B65" s="486"/>
      <c r="C65" s="589"/>
      <c r="D65" s="590"/>
      <c r="E65" s="591"/>
      <c r="F65" s="591"/>
      <c r="G65" s="591"/>
      <c r="H65" s="591"/>
      <c r="I65" s="591"/>
      <c r="J65" s="591"/>
      <c r="K65" s="591"/>
      <c r="L65" s="591"/>
      <c r="M65" s="591"/>
      <c r="N65" s="591"/>
      <c r="O65" s="591"/>
      <c r="P65" s="592"/>
      <c r="R65" s="593"/>
      <c r="S65" s="594"/>
      <c r="T65" s="594"/>
      <c r="U65" s="594"/>
      <c r="V65" s="594"/>
      <c r="W65" s="594"/>
      <c r="X65" s="594"/>
      <c r="Y65" s="594"/>
      <c r="Z65" s="594"/>
      <c r="AA65" s="594"/>
      <c r="AB65" s="594"/>
      <c r="AC65" s="594"/>
      <c r="AD65" s="595"/>
      <c r="AF65" s="565">
        <f t="shared" si="0"/>
        <v>0</v>
      </c>
      <c r="AG65" s="566">
        <f t="shared" si="1"/>
        <v>0</v>
      </c>
      <c r="AH65" s="566">
        <f t="shared" si="2"/>
        <v>0</v>
      </c>
      <c r="AI65" s="566">
        <f t="shared" si="3"/>
        <v>0</v>
      </c>
      <c r="AJ65" s="566">
        <f t="shared" si="4"/>
        <v>0</v>
      </c>
      <c r="AK65" s="566">
        <f t="shared" si="5"/>
        <v>0</v>
      </c>
      <c r="AL65" s="566">
        <f t="shared" si="6"/>
        <v>0</v>
      </c>
      <c r="AM65" s="566">
        <f t="shared" si="7"/>
        <v>0</v>
      </c>
      <c r="AN65" s="566">
        <f t="shared" si="8"/>
        <v>0</v>
      </c>
      <c r="AO65" s="566">
        <f t="shared" si="9"/>
        <v>0</v>
      </c>
      <c r="AP65" s="566">
        <f t="shared" si="10"/>
        <v>0</v>
      </c>
      <c r="AQ65" s="566">
        <f t="shared" si="11"/>
        <v>0</v>
      </c>
      <c r="AR65" s="566">
        <f t="shared" si="12"/>
        <v>0</v>
      </c>
      <c r="AS65" s="500">
        <f t="shared" si="13"/>
        <v>0</v>
      </c>
    </row>
    <row r="66" spans="2:45" ht="13.5" thickBot="1" x14ac:dyDescent="0.25">
      <c r="B66" s="260"/>
      <c r="C66" s="167"/>
      <c r="R66" s="261">
        <f t="shared" ref="R66:AD66" si="14">SUM(R6:R65)</f>
        <v>244214082.89277267</v>
      </c>
      <c r="S66" s="261">
        <f t="shared" si="14"/>
        <v>1092439564.4925797</v>
      </c>
      <c r="T66" s="261">
        <f t="shared" si="14"/>
        <v>15191028.084096724</v>
      </c>
      <c r="U66" s="261">
        <f t="shared" si="14"/>
        <v>1042196298.5085648</v>
      </c>
      <c r="V66" s="261">
        <f t="shared" si="14"/>
        <v>1749612852.7432227</v>
      </c>
      <c r="W66" s="261">
        <f t="shared" si="14"/>
        <v>0</v>
      </c>
      <c r="X66" s="261">
        <f t="shared" si="14"/>
        <v>1556088448.25896</v>
      </c>
      <c r="Y66" s="261">
        <f t="shared" si="14"/>
        <v>2342352608.6600008</v>
      </c>
      <c r="Z66" s="261">
        <f t="shared" si="14"/>
        <v>28219001.301101014</v>
      </c>
      <c r="AA66" s="261">
        <f t="shared" si="14"/>
        <v>430762858.51673532</v>
      </c>
      <c r="AB66" s="261">
        <f t="shared" si="14"/>
        <v>130360473.14090756</v>
      </c>
      <c r="AC66" s="261">
        <f t="shared" si="14"/>
        <v>26512398.739499968</v>
      </c>
      <c r="AD66" s="261">
        <f t="shared" si="14"/>
        <v>48409379.528254531</v>
      </c>
      <c r="AE66" s="458"/>
      <c r="AF66" s="261">
        <f t="shared" ref="AF66:AL66" si="15">SUM(AF6:AF65)</f>
        <v>12996968.937704964</v>
      </c>
      <c r="AG66" s="261">
        <f t="shared" si="15"/>
        <v>0</v>
      </c>
      <c r="AH66" s="261">
        <f t="shared" si="15"/>
        <v>0</v>
      </c>
      <c r="AI66" s="261">
        <f t="shared" si="15"/>
        <v>0</v>
      </c>
      <c r="AJ66" s="261">
        <f t="shared" si="15"/>
        <v>0</v>
      </c>
      <c r="AK66" s="261">
        <f t="shared" si="15"/>
        <v>0</v>
      </c>
      <c r="AL66" s="261">
        <f t="shared" si="15"/>
        <v>0</v>
      </c>
      <c r="AM66" s="261">
        <f t="shared" ref="AM66:AS66" si="16">SUM(AM6:AM65)</f>
        <v>0</v>
      </c>
      <c r="AN66" s="261">
        <f t="shared" si="16"/>
        <v>0</v>
      </c>
      <c r="AO66" s="261">
        <f t="shared" si="16"/>
        <v>0</v>
      </c>
      <c r="AP66" s="261">
        <f t="shared" si="16"/>
        <v>0</v>
      </c>
      <c r="AQ66" s="261">
        <f t="shared" si="16"/>
        <v>0</v>
      </c>
      <c r="AR66" s="261">
        <f t="shared" si="16"/>
        <v>0</v>
      </c>
      <c r="AS66" s="261">
        <f t="shared" si="16"/>
        <v>12996968.937704964</v>
      </c>
    </row>
    <row r="67" spans="2:45" ht="13.5" thickTop="1" x14ac:dyDescent="0.2">
      <c r="B67" s="260"/>
      <c r="C67" s="167"/>
      <c r="AE67" s="458"/>
    </row>
    <row r="68" spans="2:45" x14ac:dyDescent="0.2">
      <c r="B68" s="260"/>
      <c r="C68" s="167"/>
      <c r="Z68" s="263"/>
      <c r="AE68" s="458"/>
    </row>
    <row r="69" spans="2:45" x14ac:dyDescent="0.2">
      <c r="B69" s="260"/>
      <c r="C69" s="167"/>
      <c r="AE69" s="458"/>
      <c r="AS69" s="263"/>
    </row>
    <row r="70" spans="2:45" x14ac:dyDescent="0.2">
      <c r="B70" s="260"/>
      <c r="C70" s="167"/>
    </row>
    <row r="71" spans="2:45" x14ac:dyDescent="0.2">
      <c r="B71" s="260"/>
      <c r="C71" s="167"/>
    </row>
    <row r="72" spans="2:45" x14ac:dyDescent="0.2">
      <c r="B72" s="260"/>
      <c r="C72" s="167"/>
    </row>
    <row r="73" spans="2:45" x14ac:dyDescent="0.2">
      <c r="B73" s="260"/>
      <c r="C73" s="167"/>
    </row>
    <row r="74" spans="2:45" x14ac:dyDescent="0.2">
      <c r="B74" s="260"/>
      <c r="C74" s="167"/>
    </row>
    <row r="75" spans="2:45" x14ac:dyDescent="0.2">
      <c r="B75" s="260"/>
      <c r="C75" s="167"/>
    </row>
    <row r="76" spans="2:45" x14ac:dyDescent="0.2">
      <c r="B76" s="260"/>
      <c r="C76" s="167"/>
    </row>
    <row r="77" spans="2:45" x14ac:dyDescent="0.2">
      <c r="B77" s="260"/>
      <c r="C77" s="167"/>
    </row>
    <row r="78" spans="2:45" x14ac:dyDescent="0.2">
      <c r="B78" s="260"/>
      <c r="C78" s="167"/>
    </row>
    <row r="79" spans="2:45" x14ac:dyDescent="0.2">
      <c r="B79" s="260"/>
      <c r="C79" s="167"/>
    </row>
    <row r="80" spans="2:45" x14ac:dyDescent="0.2">
      <c r="B80" s="260"/>
      <c r="C80" s="167"/>
    </row>
    <row r="81" spans="2:3" x14ac:dyDescent="0.2">
      <c r="B81" s="260"/>
      <c r="C81" s="167"/>
    </row>
    <row r="82" spans="2:3" x14ac:dyDescent="0.2">
      <c r="B82" s="260"/>
      <c r="C82" s="167"/>
    </row>
    <row r="83" spans="2:3" x14ac:dyDescent="0.2">
      <c r="B83" s="260"/>
      <c r="C83" s="167"/>
    </row>
    <row r="84" spans="2:3" x14ac:dyDescent="0.2">
      <c r="B84" s="260"/>
      <c r="C84" s="167"/>
    </row>
    <row r="85" spans="2:3" x14ac:dyDescent="0.2">
      <c r="B85" s="260"/>
      <c r="C85" s="167"/>
    </row>
    <row r="86" spans="2:3" x14ac:dyDescent="0.2">
      <c r="B86" s="260"/>
      <c r="C86" s="167"/>
    </row>
    <row r="87" spans="2:3" x14ac:dyDescent="0.2">
      <c r="B87" s="260"/>
      <c r="C87" s="167"/>
    </row>
    <row r="88" spans="2:3" x14ac:dyDescent="0.2">
      <c r="B88" s="260"/>
      <c r="C88" s="167"/>
    </row>
    <row r="89" spans="2:3" x14ac:dyDescent="0.2">
      <c r="B89" s="260"/>
      <c r="C89" s="167"/>
    </row>
    <row r="90" spans="2:3" x14ac:dyDescent="0.2">
      <c r="B90" s="260"/>
      <c r="C90" s="167"/>
    </row>
    <row r="91" spans="2:3" x14ac:dyDescent="0.2">
      <c r="B91" s="260"/>
      <c r="C91" s="167"/>
    </row>
    <row r="92" spans="2:3" x14ac:dyDescent="0.2">
      <c r="B92" s="260"/>
      <c r="C92" s="167"/>
    </row>
    <row r="93" spans="2:3" x14ac:dyDescent="0.2">
      <c r="B93" s="260"/>
      <c r="C93" s="167"/>
    </row>
    <row r="94" spans="2:3" x14ac:dyDescent="0.2">
      <c r="B94" s="260"/>
      <c r="C94" s="167"/>
    </row>
    <row r="95" spans="2:3" x14ac:dyDescent="0.2">
      <c r="B95" s="260"/>
      <c r="C95" s="167"/>
    </row>
    <row r="96" spans="2:3" x14ac:dyDescent="0.2">
      <c r="B96" s="260"/>
      <c r="C96" s="167"/>
    </row>
    <row r="97" spans="2:3" x14ac:dyDescent="0.2">
      <c r="B97" s="260"/>
      <c r="C97" s="167"/>
    </row>
    <row r="98" spans="2:3" x14ac:dyDescent="0.2">
      <c r="B98" s="260"/>
      <c r="C98" s="167"/>
    </row>
    <row r="99" spans="2:3" x14ac:dyDescent="0.2">
      <c r="B99" s="260"/>
      <c r="C99" s="167"/>
    </row>
    <row r="100" spans="2:3" x14ac:dyDescent="0.2">
      <c r="B100" s="260"/>
      <c r="C100" s="167"/>
    </row>
    <row r="101" spans="2:3" x14ac:dyDescent="0.2">
      <c r="B101" s="260"/>
      <c r="C101" s="167"/>
    </row>
    <row r="102" spans="2:3" x14ac:dyDescent="0.2">
      <c r="B102" s="260"/>
      <c r="C102" s="167"/>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6" max="65" man="1"/>
  </colBreak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FFFF"/>
  </sheetPr>
  <dimension ref="A2:X62"/>
  <sheetViews>
    <sheetView zoomScale="80" zoomScaleNormal="80" workbookViewId="0"/>
  </sheetViews>
  <sheetFormatPr defaultRowHeight="14.25" x14ac:dyDescent="0.2"/>
  <cols>
    <col min="1" max="1" width="5.42578125" style="32" customWidth="1"/>
    <col min="2" max="2" width="78.42578125" style="33" customWidth="1"/>
    <col min="3" max="3" width="18.5703125" style="34" customWidth="1"/>
    <col min="4" max="4" width="18.5703125" style="35" customWidth="1"/>
    <col min="5" max="5" width="18.7109375" style="35" customWidth="1"/>
    <col min="6" max="6" width="9" style="35" customWidth="1"/>
    <col min="7" max="7" width="10.140625" style="35" customWidth="1"/>
    <col min="8" max="8" width="9" style="35" customWidth="1"/>
    <col min="9" max="10" width="9" style="36" customWidth="1"/>
    <col min="11" max="19" width="9" style="35" customWidth="1"/>
    <col min="20"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x14ac:dyDescent="0.25">
      <c r="B2" s="63" t="str">
        <f>"Tariff Approval - "&amp;'Model update'!$C$3</f>
        <v>Tariff Approval - United Energy</v>
      </c>
      <c r="D2" s="38"/>
      <c r="G2" s="161"/>
      <c r="M2" s="77"/>
      <c r="N2" s="77"/>
      <c r="O2" s="77"/>
      <c r="P2" s="77"/>
      <c r="Q2" s="77"/>
      <c r="R2" s="77"/>
    </row>
    <row r="3" spans="1:24" ht="15" x14ac:dyDescent="0.25">
      <c r="B3" s="155"/>
      <c r="D3" s="38"/>
      <c r="M3" s="77"/>
      <c r="N3" s="77"/>
      <c r="O3" s="77"/>
      <c r="P3" s="77"/>
      <c r="Q3" s="77"/>
      <c r="R3" s="77"/>
    </row>
    <row r="4" spans="1:24" ht="18.75" x14ac:dyDescent="0.3">
      <c r="B4" s="156" t="s">
        <v>327</v>
      </c>
      <c r="C4" s="157"/>
      <c r="D4" s="38"/>
      <c r="M4" s="77"/>
      <c r="N4" s="77"/>
      <c r="O4" s="77"/>
      <c r="P4" s="77"/>
      <c r="Q4" s="77"/>
      <c r="R4" s="77"/>
    </row>
    <row r="5" spans="1:24" ht="15" x14ac:dyDescent="0.25">
      <c r="B5" s="39"/>
      <c r="D5" s="38"/>
      <c r="M5" s="77"/>
      <c r="N5" s="77"/>
      <c r="O5" s="77"/>
      <c r="P5" s="77"/>
      <c r="Q5" s="77"/>
      <c r="R5" s="77"/>
    </row>
    <row r="6" spans="1:24" ht="15" x14ac:dyDescent="0.25">
      <c r="B6" s="73" t="s">
        <v>267</v>
      </c>
      <c r="C6" s="108">
        <f>'Model update'!C5</f>
        <v>2019</v>
      </c>
      <c r="D6" s="38"/>
      <c r="M6" s="77"/>
      <c r="N6" s="77"/>
      <c r="O6" s="77"/>
      <c r="P6" s="77"/>
      <c r="Q6" s="77"/>
      <c r="R6" s="77"/>
    </row>
    <row r="7" spans="1:24" ht="15" x14ac:dyDescent="0.25">
      <c r="B7" s="37"/>
      <c r="C7" s="41"/>
      <c r="D7" s="38"/>
      <c r="E7" s="32"/>
      <c r="F7" s="32"/>
      <c r="G7" s="32"/>
      <c r="H7" s="32"/>
      <c r="I7" s="42"/>
      <c r="J7" s="42"/>
      <c r="K7" s="32"/>
      <c r="L7" s="32"/>
      <c r="M7" s="83"/>
      <c r="N7" s="83"/>
      <c r="O7" s="83"/>
      <c r="P7" s="83"/>
      <c r="Q7" s="83"/>
      <c r="R7" s="83"/>
      <c r="S7" s="32"/>
    </row>
    <row r="8" spans="1:24" ht="18" customHeight="1" x14ac:dyDescent="0.2">
      <c r="A8" s="43"/>
      <c r="B8" s="44" t="s">
        <v>328</v>
      </c>
      <c r="C8" s="46"/>
      <c r="D8" s="47"/>
      <c r="E8" s="47"/>
      <c r="M8" s="77"/>
      <c r="N8" s="77"/>
      <c r="O8" s="77"/>
      <c r="P8" s="77"/>
      <c r="Q8" s="77"/>
      <c r="R8" s="77"/>
    </row>
    <row r="9" spans="1:24" ht="18" customHeight="1" x14ac:dyDescent="0.2">
      <c r="A9" s="43"/>
      <c r="B9" s="48" t="s">
        <v>329</v>
      </c>
      <c r="C9" s="72">
        <f>Prop2019JSTar!AS66</f>
        <v>13115987.688594991</v>
      </c>
      <c r="D9" s="47"/>
      <c r="E9" s="36"/>
      <c r="I9" s="35"/>
      <c r="J9" s="35"/>
      <c r="M9" s="77"/>
      <c r="N9" s="77"/>
      <c r="O9" s="77"/>
      <c r="P9" s="77"/>
      <c r="Q9" s="77"/>
      <c r="R9" s="77"/>
    </row>
    <row r="10" spans="1:24" ht="18" customHeight="1" x14ac:dyDescent="0.2">
      <c r="A10" s="43"/>
      <c r="B10" s="84" t="s">
        <v>330</v>
      </c>
      <c r="C10" s="85">
        <f>C17</f>
        <v>13169076.821696833</v>
      </c>
      <c r="D10" s="49"/>
      <c r="E10" s="161"/>
      <c r="I10" s="35"/>
      <c r="J10" s="35"/>
      <c r="M10" s="77"/>
      <c r="N10" s="77"/>
      <c r="O10" s="77"/>
      <c r="P10" s="77"/>
      <c r="Q10" s="77"/>
      <c r="R10" s="77"/>
    </row>
    <row r="11" spans="1:24" ht="18" customHeight="1" x14ac:dyDescent="0.25">
      <c r="A11" s="43"/>
      <c r="B11" s="86"/>
      <c r="C11" s="88" t="str">
        <f>IF(C9="","",IF(C10&gt;=C9,"JSA REVENUE FORMULA COMPLIANT","JSA REVENUE FORMULA BREACHED"))</f>
        <v>JSA REVENUE FORMULA COMPLIANT</v>
      </c>
      <c r="D11" s="50"/>
      <c r="E11" s="74"/>
      <c r="F11" s="75"/>
      <c r="G11" s="75"/>
      <c r="H11" s="75"/>
      <c r="I11" s="75"/>
      <c r="J11" s="75"/>
      <c r="K11" s="75"/>
      <c r="L11" s="75"/>
      <c r="M11" s="77"/>
      <c r="N11" s="77"/>
      <c r="O11" s="77"/>
      <c r="P11" s="77"/>
      <c r="Q11" s="77"/>
      <c r="R11" s="77"/>
      <c r="V11" s="51"/>
      <c r="W11" s="51"/>
      <c r="X11" s="51"/>
    </row>
    <row r="12" spans="1:24" ht="18" customHeight="1" x14ac:dyDescent="0.25">
      <c r="A12" s="43"/>
      <c r="B12" s="50"/>
      <c r="C12" s="50"/>
      <c r="D12" s="50"/>
      <c r="E12" s="74"/>
      <c r="F12" s="75"/>
      <c r="G12" s="75"/>
      <c r="H12" s="75"/>
      <c r="I12" s="75"/>
      <c r="J12" s="75"/>
      <c r="K12" s="75"/>
      <c r="L12" s="75"/>
      <c r="M12" s="77"/>
      <c r="N12" s="77"/>
      <c r="O12" s="77"/>
      <c r="P12" s="77"/>
      <c r="Q12" s="77"/>
      <c r="R12" s="77"/>
      <c r="V12" s="51"/>
      <c r="W12" s="51"/>
      <c r="X12" s="51"/>
    </row>
    <row r="13" spans="1:24" ht="18" customHeight="1" x14ac:dyDescent="0.25">
      <c r="A13" s="43"/>
      <c r="B13" s="44" t="s">
        <v>333</v>
      </c>
      <c r="C13" s="50"/>
      <c r="D13" s="50"/>
      <c r="E13" s="74"/>
      <c r="F13" s="75"/>
      <c r="G13" s="75"/>
      <c r="H13" s="75"/>
      <c r="I13" s="75"/>
      <c r="J13" s="75"/>
      <c r="K13" s="75"/>
      <c r="L13" s="75"/>
      <c r="M13" s="77"/>
      <c r="N13" s="77"/>
      <c r="O13" s="77"/>
      <c r="P13" s="77"/>
      <c r="Q13" s="77"/>
      <c r="R13" s="77"/>
      <c r="V13" s="51"/>
      <c r="W13" s="51"/>
      <c r="X13" s="51"/>
    </row>
    <row r="14" spans="1:24" ht="18" customHeight="1" x14ac:dyDescent="0.25">
      <c r="A14" s="43"/>
      <c r="B14" s="53" t="s">
        <v>334</v>
      </c>
      <c r="C14" s="64">
        <f>C22</f>
        <v>14161615.908417528</v>
      </c>
      <c r="D14" s="50"/>
      <c r="E14" s="74"/>
      <c r="F14" s="75"/>
      <c r="G14" s="75"/>
      <c r="H14" s="75"/>
      <c r="I14" s="75"/>
      <c r="J14" s="75"/>
      <c r="K14" s="75"/>
      <c r="L14" s="75"/>
      <c r="M14" s="77"/>
      <c r="N14" s="77"/>
      <c r="O14" s="77"/>
      <c r="P14" s="77"/>
      <c r="Q14" s="77"/>
      <c r="R14" s="77"/>
      <c r="V14" s="51"/>
      <c r="W14" s="51"/>
      <c r="X14" s="51"/>
    </row>
    <row r="15" spans="1:24" ht="18" customHeight="1" x14ac:dyDescent="0.25">
      <c r="A15" s="43"/>
      <c r="B15" s="54" t="s">
        <v>331</v>
      </c>
      <c r="C15" s="830">
        <f>-E56*(1+E54)^0.5</f>
        <v>-992539.08672069479</v>
      </c>
      <c r="D15" s="50"/>
      <c r="E15" s="74"/>
      <c r="F15" s="75"/>
      <c r="G15" s="75"/>
      <c r="H15" s="75"/>
      <c r="I15" s="75"/>
      <c r="J15" s="75"/>
      <c r="K15" s="75"/>
      <c r="L15" s="75"/>
      <c r="M15" s="77"/>
      <c r="N15" s="77"/>
      <c r="O15" s="77"/>
      <c r="P15" s="77"/>
      <c r="Q15" s="77"/>
      <c r="R15" s="77"/>
      <c r="V15" s="51"/>
      <c r="W15" s="51"/>
      <c r="X15" s="51"/>
    </row>
    <row r="16" spans="1:24" ht="18" customHeight="1" x14ac:dyDescent="0.25">
      <c r="A16" s="43"/>
      <c r="B16" s="54" t="s">
        <v>332</v>
      </c>
      <c r="C16" s="767"/>
      <c r="D16" s="50"/>
      <c r="E16" s="74"/>
      <c r="F16" s="75"/>
      <c r="G16" s="75"/>
      <c r="H16" s="75"/>
      <c r="I16" s="75"/>
      <c r="J16" s="75"/>
      <c r="K16" s="75"/>
      <c r="L16" s="75"/>
      <c r="M16" s="77"/>
      <c r="N16" s="77"/>
      <c r="O16" s="77"/>
      <c r="P16" s="77"/>
      <c r="Q16" s="77"/>
      <c r="R16" s="77"/>
      <c r="V16" s="51"/>
      <c r="W16" s="51"/>
      <c r="X16" s="51"/>
    </row>
    <row r="17" spans="1:24" ht="18" customHeight="1" x14ac:dyDescent="0.25">
      <c r="A17" s="43"/>
      <c r="B17" s="48" t="s">
        <v>330</v>
      </c>
      <c r="C17" s="65">
        <f>SUM(C14:C16)</f>
        <v>13169076.821696833</v>
      </c>
      <c r="D17" s="50"/>
      <c r="E17" s="74"/>
      <c r="F17" s="75"/>
      <c r="G17" s="75"/>
      <c r="H17" s="75"/>
      <c r="I17" s="75"/>
      <c r="J17" s="75"/>
      <c r="K17" s="75"/>
      <c r="L17" s="75"/>
      <c r="M17" s="77"/>
      <c r="N17" s="77"/>
      <c r="O17" s="77"/>
      <c r="P17" s="77"/>
      <c r="Q17" s="77"/>
      <c r="R17" s="77"/>
      <c r="V17" s="51"/>
      <c r="W17" s="51"/>
      <c r="X17" s="51"/>
    </row>
    <row r="18" spans="1:24" ht="18" customHeight="1" x14ac:dyDescent="0.25">
      <c r="A18" s="43"/>
      <c r="B18" s="56"/>
      <c r="C18" s="106"/>
      <c r="D18" s="50"/>
      <c r="E18" s="74"/>
      <c r="F18" s="75"/>
      <c r="G18" s="75"/>
      <c r="H18" s="75"/>
      <c r="I18" s="75"/>
      <c r="J18" s="75"/>
      <c r="K18" s="75"/>
      <c r="L18" s="75"/>
      <c r="M18" s="77"/>
      <c r="N18" s="77"/>
      <c r="O18" s="77"/>
      <c r="P18" s="77"/>
      <c r="Q18" s="77"/>
      <c r="R18" s="77"/>
      <c r="V18" s="51"/>
      <c r="W18" s="51"/>
      <c r="X18" s="51"/>
    </row>
    <row r="19" spans="1:24" ht="18" customHeight="1" x14ac:dyDescent="0.25">
      <c r="A19" s="43"/>
      <c r="B19" s="44" t="s">
        <v>335</v>
      </c>
      <c r="C19" s="50"/>
      <c r="D19" s="50"/>
      <c r="E19" s="74"/>
      <c r="F19" s="75"/>
      <c r="G19" s="75"/>
      <c r="H19" s="75"/>
      <c r="I19" s="75"/>
      <c r="J19" s="75"/>
      <c r="K19" s="75"/>
      <c r="L19" s="75"/>
      <c r="M19" s="77"/>
      <c r="N19" s="77"/>
      <c r="O19" s="77"/>
      <c r="P19" s="77"/>
      <c r="Q19" s="77"/>
      <c r="R19" s="77"/>
      <c r="V19" s="51"/>
      <c r="W19" s="51"/>
      <c r="X19" s="51"/>
    </row>
    <row r="20" spans="1:24" ht="18" customHeight="1" x14ac:dyDescent="0.25">
      <c r="A20" s="43"/>
      <c r="B20" s="53" t="s">
        <v>317</v>
      </c>
      <c r="C20" s="717">
        <v>14161615.908417528</v>
      </c>
      <c r="D20" s="50"/>
      <c r="E20" s="74"/>
      <c r="F20" s="75"/>
      <c r="G20" s="75"/>
      <c r="H20" s="75"/>
      <c r="I20" s="75"/>
      <c r="J20" s="75"/>
      <c r="K20" s="75"/>
      <c r="L20" s="75"/>
      <c r="M20" s="77"/>
      <c r="N20" s="77"/>
      <c r="O20" s="77"/>
      <c r="P20" s="77"/>
      <c r="Q20" s="77"/>
      <c r="R20" s="77"/>
      <c r="V20" s="51"/>
      <c r="W20" s="51"/>
      <c r="X20" s="51"/>
    </row>
    <row r="21" spans="1:24" ht="18" customHeight="1" x14ac:dyDescent="0.25">
      <c r="A21" s="43"/>
      <c r="B21" s="54" t="s">
        <v>318</v>
      </c>
      <c r="C21" s="717">
        <v>0</v>
      </c>
      <c r="D21" s="50"/>
      <c r="E21" s="74"/>
      <c r="F21" s="75"/>
      <c r="G21" s="75"/>
      <c r="H21" s="75"/>
      <c r="I21" s="75"/>
      <c r="J21" s="75"/>
      <c r="K21" s="75"/>
      <c r="L21" s="75"/>
      <c r="M21" s="77"/>
      <c r="N21" s="77"/>
      <c r="O21" s="77"/>
      <c r="P21" s="77"/>
      <c r="Q21" s="77"/>
      <c r="R21" s="77"/>
      <c r="V21" s="51"/>
      <c r="W21" s="51"/>
      <c r="X21" s="51"/>
    </row>
    <row r="22" spans="1:24" ht="18" customHeight="1" x14ac:dyDescent="0.25">
      <c r="A22" s="43"/>
      <c r="B22" s="48" t="s">
        <v>336</v>
      </c>
      <c r="C22" s="65">
        <f>SUM(C20:C21)</f>
        <v>14161615.908417528</v>
      </c>
      <c r="D22" s="50"/>
      <c r="E22" s="74"/>
      <c r="F22" s="75"/>
      <c r="G22" s="75"/>
      <c r="H22" s="75"/>
      <c r="I22" s="75"/>
      <c r="J22" s="75"/>
      <c r="K22" s="75"/>
      <c r="L22" s="75"/>
      <c r="M22" s="77"/>
      <c r="N22" s="77"/>
      <c r="O22" s="77"/>
      <c r="P22" s="77"/>
      <c r="Q22" s="77"/>
      <c r="R22" s="77"/>
      <c r="V22" s="51"/>
      <c r="W22" s="51"/>
      <c r="X22" s="51"/>
    </row>
    <row r="23" spans="1:24" ht="18" customHeight="1" x14ac:dyDescent="0.25">
      <c r="A23" s="43"/>
      <c r="B23" s="57"/>
      <c r="C23" s="68"/>
      <c r="D23" s="50"/>
      <c r="E23" s="74"/>
      <c r="F23" s="75"/>
      <c r="G23" s="75"/>
      <c r="H23" s="75"/>
      <c r="I23" s="75"/>
      <c r="J23" s="75"/>
      <c r="K23" s="75"/>
      <c r="L23" s="75"/>
      <c r="M23" s="77"/>
      <c r="N23" s="77"/>
      <c r="O23" s="77"/>
      <c r="P23" s="77"/>
      <c r="Q23" s="77"/>
      <c r="R23" s="77"/>
      <c r="V23" s="51"/>
      <c r="W23" s="51"/>
      <c r="X23" s="51"/>
    </row>
    <row r="27" spans="1:24" ht="15.75" x14ac:dyDescent="0.25">
      <c r="B27" s="121" t="s">
        <v>337</v>
      </c>
    </row>
    <row r="28" spans="1:24" ht="15" x14ac:dyDescent="0.25">
      <c r="B28" s="113"/>
      <c r="C28" s="126" t="s">
        <v>266</v>
      </c>
      <c r="D28" s="126" t="s">
        <v>575</v>
      </c>
      <c r="E28" s="126" t="s">
        <v>35</v>
      </c>
    </row>
    <row r="29" spans="1:24" ht="15" x14ac:dyDescent="0.25">
      <c r="B29" s="114"/>
      <c r="C29" s="127" t="s">
        <v>34</v>
      </c>
      <c r="D29" s="127" t="s">
        <v>484</v>
      </c>
      <c r="E29" s="127" t="s">
        <v>36</v>
      </c>
    </row>
    <row r="30" spans="1:24" ht="15" x14ac:dyDescent="0.25">
      <c r="B30" s="114"/>
      <c r="C30" s="128">
        <f>D30-1</f>
        <v>2017</v>
      </c>
      <c r="D30" s="128">
        <f>E30-1</f>
        <v>2018</v>
      </c>
      <c r="E30" s="128">
        <f>C$6</f>
        <v>2019</v>
      </c>
    </row>
    <row r="31" spans="1:24" x14ac:dyDescent="0.2">
      <c r="B31" s="114"/>
      <c r="C31" s="112"/>
      <c r="D31" s="112"/>
      <c r="E31" s="124"/>
    </row>
    <row r="32" spans="1:24" ht="15" x14ac:dyDescent="0.25">
      <c r="B32" s="659" t="s">
        <v>338</v>
      </c>
      <c r="C32" s="651">
        <v>15190536.559999922</v>
      </c>
      <c r="D32" s="651">
        <f>Est2018JSRev!AS66</f>
        <v>12996968.937704964</v>
      </c>
      <c r="E32" s="110">
        <f>C9</f>
        <v>13115987.688594991</v>
      </c>
    </row>
    <row r="33" spans="2:5" x14ac:dyDescent="0.2">
      <c r="B33" s="287"/>
      <c r="C33" s="112"/>
      <c r="D33" s="112"/>
      <c r="E33" s="123"/>
    </row>
    <row r="34" spans="2:5" x14ac:dyDescent="0.2">
      <c r="B34" s="115"/>
      <c r="C34" s="112"/>
      <c r="D34" s="112"/>
      <c r="E34" s="123"/>
    </row>
    <row r="35" spans="2:5" ht="15" x14ac:dyDescent="0.25">
      <c r="B35" s="116" t="s">
        <v>339</v>
      </c>
      <c r="C35" s="110">
        <f>SUM(C37:C39)</f>
        <v>13816418.152949486</v>
      </c>
      <c r="D35" s="110">
        <f>SUM(D37:D39)</f>
        <v>13856650.656997057</v>
      </c>
      <c r="E35" s="110">
        <f>SUM(E37:E39)</f>
        <v>14161615.908417528</v>
      </c>
    </row>
    <row r="36" spans="2:5" ht="15" x14ac:dyDescent="0.25">
      <c r="B36" s="116"/>
      <c r="C36" s="110"/>
      <c r="D36" s="110"/>
      <c r="E36" s="110"/>
    </row>
    <row r="37" spans="2:5" x14ac:dyDescent="0.2">
      <c r="B37" s="117" t="s">
        <v>340</v>
      </c>
      <c r="C37" s="761">
        <v>317074.79294948664</v>
      </c>
      <c r="D37" s="785"/>
      <c r="E37" s="775"/>
    </row>
    <row r="38" spans="2:5" x14ac:dyDescent="0.2">
      <c r="B38" s="117"/>
      <c r="C38" s="160"/>
      <c r="D38" s="160"/>
      <c r="E38" s="664"/>
    </row>
    <row r="39" spans="2:5" x14ac:dyDescent="0.2">
      <c r="B39" s="117" t="s">
        <v>341</v>
      </c>
      <c r="C39" s="109">
        <f>SUM(C40:C41)</f>
        <v>13499343.359999999</v>
      </c>
      <c r="D39" s="109">
        <f>SUM(D40:D41)</f>
        <v>13856650.656997057</v>
      </c>
      <c r="E39" s="109">
        <f>SUM(E40:E41)</f>
        <v>14161615.908417528</v>
      </c>
    </row>
    <row r="40" spans="2:5" x14ac:dyDescent="0.2">
      <c r="B40" s="118" t="s">
        <v>342</v>
      </c>
      <c r="C40" s="160">
        <f>'JS cost audit template'!F4</f>
        <v>12876415.92</v>
      </c>
      <c r="D40" s="848">
        <v>13856650.656997057</v>
      </c>
      <c r="E40" s="158">
        <f>C20</f>
        <v>14161615.908417528</v>
      </c>
    </row>
    <row r="41" spans="2:5" x14ac:dyDescent="0.2">
      <c r="B41" s="118" t="s">
        <v>343</v>
      </c>
      <c r="C41" s="774">
        <f>'JS cost audit template'!F5</f>
        <v>622927.43999999994</v>
      </c>
      <c r="D41" s="133">
        <v>0</v>
      </c>
      <c r="E41" s="134">
        <f>C21</f>
        <v>0</v>
      </c>
    </row>
    <row r="42" spans="2:5" ht="15" x14ac:dyDescent="0.25">
      <c r="B42" s="119"/>
      <c r="C42" s="112"/>
      <c r="D42" s="112"/>
      <c r="E42" s="123"/>
    </row>
    <row r="43" spans="2:5" x14ac:dyDescent="0.2">
      <c r="B43" s="117"/>
      <c r="C43" s="160"/>
      <c r="D43" s="160"/>
      <c r="E43" s="125"/>
    </row>
    <row r="44" spans="2:5" x14ac:dyDescent="0.2">
      <c r="B44" s="120"/>
      <c r="C44" s="112"/>
      <c r="D44" s="112"/>
      <c r="E44" s="123"/>
    </row>
    <row r="45" spans="2:5" ht="15" x14ac:dyDescent="0.25">
      <c r="B45" s="660" t="s">
        <v>45</v>
      </c>
      <c r="C45" s="110">
        <f>C32-C35</f>
        <v>1374118.4070504364</v>
      </c>
      <c r="D45" s="110">
        <f>D32-D35</f>
        <v>-859681.71929209307</v>
      </c>
      <c r="E45" s="110">
        <f>E32-E35</f>
        <v>-1045628.2198225372</v>
      </c>
    </row>
    <row r="46" spans="2:5" x14ac:dyDescent="0.2">
      <c r="B46" s="40"/>
      <c r="D46" s="34"/>
    </row>
    <row r="47" spans="2:5" x14ac:dyDescent="0.2">
      <c r="B47" s="40"/>
      <c r="D47" s="34"/>
    </row>
    <row r="48" spans="2:5" x14ac:dyDescent="0.2">
      <c r="B48" s="220"/>
      <c r="D48" s="34"/>
    </row>
    <row r="49" spans="2:7" ht="15.75" x14ac:dyDescent="0.25">
      <c r="B49" s="219" t="s">
        <v>344</v>
      </c>
      <c r="D49" s="34"/>
    </row>
    <row r="50" spans="2:7" ht="15" x14ac:dyDescent="0.25">
      <c r="B50" s="661"/>
      <c r="C50" s="126" t="s">
        <v>266</v>
      </c>
      <c r="D50" s="126" t="s">
        <v>575</v>
      </c>
      <c r="E50" s="126" t="s">
        <v>35</v>
      </c>
    </row>
    <row r="51" spans="2:7" ht="15" x14ac:dyDescent="0.25">
      <c r="B51" s="120"/>
      <c r="C51" s="127" t="s">
        <v>34</v>
      </c>
      <c r="D51" s="127" t="s">
        <v>484</v>
      </c>
      <c r="E51" s="127" t="s">
        <v>36</v>
      </c>
    </row>
    <row r="52" spans="2:7" ht="15" x14ac:dyDescent="0.25">
      <c r="B52" s="662" t="s">
        <v>268</v>
      </c>
      <c r="C52" s="128">
        <f>D52-1</f>
        <v>2017</v>
      </c>
      <c r="D52" s="128">
        <f>E52-1</f>
        <v>2018</v>
      </c>
      <c r="E52" s="128">
        <f>C$6</f>
        <v>2019</v>
      </c>
    </row>
    <row r="53" spans="2:7" x14ac:dyDescent="0.2">
      <c r="B53" s="120"/>
      <c r="C53" s="122"/>
      <c r="D53" s="122"/>
      <c r="E53" s="124"/>
    </row>
    <row r="54" spans="2:7" x14ac:dyDescent="0.2">
      <c r="B54" s="120" t="s">
        <v>576</v>
      </c>
      <c r="C54" s="652">
        <f>(1+'Model update'!$B$47)*(1+'Model update'!$C$28)-1</f>
        <v>4.9323538988905291E-2</v>
      </c>
      <c r="D54" s="122">
        <f>(1+'Model update'!$B$45)*(1+'Model update'!$C$29)-1</f>
        <v>5.8198039573977622E-2</v>
      </c>
      <c r="E54" s="653">
        <f>(1+'Model update'!$B$43)*(1+'Model update'!$C$30)-1</f>
        <v>5.90724924111663E-2</v>
      </c>
    </row>
    <row r="55" spans="2:7" x14ac:dyDescent="0.2">
      <c r="B55" s="120"/>
      <c r="C55" s="112"/>
      <c r="D55" s="112"/>
      <c r="E55" s="124"/>
    </row>
    <row r="56" spans="2:7" x14ac:dyDescent="0.2">
      <c r="B56" s="120" t="s">
        <v>47</v>
      </c>
      <c r="C56" s="761">
        <v>323567.57703443029</v>
      </c>
      <c r="D56" s="123">
        <f>C60</f>
        <v>1747125.8004539406</v>
      </c>
      <c r="E56" s="123">
        <f>D60</f>
        <v>964461.23035337287</v>
      </c>
    </row>
    <row r="57" spans="2:7" x14ac:dyDescent="0.2">
      <c r="B57" s="120" t="s">
        <v>577</v>
      </c>
      <c r="C57" s="160">
        <f>C56*C54</f>
        <v>15959.498001403339</v>
      </c>
      <c r="D57" s="160">
        <f>D56*D54</f>
        <v>101679.29647553577</v>
      </c>
      <c r="E57" s="160">
        <f>E56*E54</f>
        <v>56973.128710913734</v>
      </c>
    </row>
    <row r="58" spans="2:7" x14ac:dyDescent="0.2">
      <c r="B58" s="120" t="s">
        <v>48</v>
      </c>
      <c r="C58" s="123">
        <f>C45</f>
        <v>1374118.4070504364</v>
      </c>
      <c r="D58" s="123">
        <f>D45</f>
        <v>-859681.71929209307</v>
      </c>
      <c r="E58" s="123">
        <f>E45</f>
        <v>-1045628.2198225372</v>
      </c>
    </row>
    <row r="59" spans="2:7" x14ac:dyDescent="0.2">
      <c r="B59" s="120" t="s">
        <v>501</v>
      </c>
      <c r="C59" s="160">
        <f>C58*((1+C54)^0.5-1)</f>
        <v>33480.31836767045</v>
      </c>
      <c r="D59" s="160">
        <f>D58*((1+D54)^0.5-1)</f>
        <v>-24662.147284010432</v>
      </c>
      <c r="E59" s="160">
        <f>E58*((1+E54)^0.5-1)</f>
        <v>-30440.828563983549</v>
      </c>
    </row>
    <row r="60" spans="2:7" ht="15" x14ac:dyDescent="0.25">
      <c r="B60" s="660" t="s">
        <v>399</v>
      </c>
      <c r="C60" s="110">
        <f>SUM(C56:C59)</f>
        <v>1747125.8004539406</v>
      </c>
      <c r="D60" s="110">
        <f t="shared" ref="D60:E60" si="0">SUM(D56:D59)</f>
        <v>964461.23035337287</v>
      </c>
      <c r="E60" s="110">
        <f t="shared" si="0"/>
        <v>-54634.689322234131</v>
      </c>
      <c r="G60" s="786"/>
    </row>
    <row r="62" spans="2:7" x14ac:dyDescent="0.2">
      <c r="B62" s="726" t="s">
        <v>590</v>
      </c>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15"/>
    <pageSetUpPr fitToPage="1"/>
  </sheetPr>
  <dimension ref="A1:AO176"/>
  <sheetViews>
    <sheetView showGridLines="0" zoomScaleNormal="100" workbookViewId="0"/>
  </sheetViews>
  <sheetFormatPr defaultColWidth="9.140625" defaultRowHeight="12.75" x14ac:dyDescent="0.2"/>
  <cols>
    <col min="1" max="1" width="4.7109375" style="210" customWidth="1"/>
    <col min="2" max="2" width="35.140625" style="249" bestFit="1" customWidth="1"/>
    <col min="3" max="3" width="12.140625" style="249" customWidth="1"/>
    <col min="4" max="4" width="16" style="249" customWidth="1"/>
    <col min="5" max="5" width="10.140625" style="249" customWidth="1"/>
    <col min="6" max="6" width="13.7109375" style="249" customWidth="1"/>
    <col min="7" max="7" width="10.5703125" style="210" customWidth="1"/>
    <col min="8" max="9" width="13.5703125" style="210" customWidth="1"/>
    <col min="10" max="13" width="10.5703125" style="210" customWidth="1"/>
    <col min="14" max="14" width="10.5703125" style="249" customWidth="1"/>
    <col min="15" max="16384" width="9.140625" style="249"/>
  </cols>
  <sheetData>
    <row r="1" spans="1:41" s="210" customFormat="1" ht="15.75" thickBot="1" x14ac:dyDescent="0.3">
      <c r="A1" s="89"/>
      <c r="B1" s="166" t="str">
        <f>"Tariff Approval - "&amp;'Model update'!C3</f>
        <v>Tariff Approval - United Energy</v>
      </c>
    </row>
    <row r="2" spans="1:41" x14ac:dyDescent="0.2">
      <c r="B2" s="868" t="s">
        <v>316</v>
      </c>
      <c r="C2" s="869"/>
      <c r="D2" s="869"/>
      <c r="E2" s="171"/>
      <c r="F2" s="135" t="s">
        <v>272</v>
      </c>
      <c r="G2" s="514"/>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row>
    <row r="3" spans="1:41" x14ac:dyDescent="0.2">
      <c r="B3" s="863"/>
      <c r="C3" s="867"/>
      <c r="D3" s="867"/>
      <c r="E3" s="172"/>
      <c r="F3" s="136"/>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row>
    <row r="4" spans="1:41" x14ac:dyDescent="0.2">
      <c r="B4" s="863" t="s">
        <v>317</v>
      </c>
      <c r="C4" s="867"/>
      <c r="D4" s="867"/>
      <c r="E4" s="172"/>
      <c r="F4" s="849">
        <v>12876415.92</v>
      </c>
      <c r="N4" s="210"/>
      <c r="O4" s="210"/>
      <c r="P4" s="210"/>
      <c r="Q4" s="210"/>
      <c r="R4" s="210"/>
      <c r="S4" s="210"/>
      <c r="T4" s="210"/>
      <c r="U4" s="210"/>
      <c r="V4" s="210"/>
      <c r="W4" s="210"/>
      <c r="X4" s="210"/>
      <c r="Y4" s="210"/>
      <c r="Z4" s="210"/>
      <c r="AA4" s="210"/>
      <c r="AB4" s="210"/>
      <c r="AC4" s="210"/>
      <c r="AD4" s="210"/>
      <c r="AE4" s="210"/>
      <c r="AF4" s="210"/>
      <c r="AG4" s="210"/>
      <c r="AH4" s="210"/>
      <c r="AI4" s="210"/>
      <c r="AJ4" s="210"/>
      <c r="AK4" s="210"/>
      <c r="AL4" s="210"/>
      <c r="AM4" s="210"/>
      <c r="AN4" s="210"/>
      <c r="AO4" s="210"/>
    </row>
    <row r="5" spans="1:41" x14ac:dyDescent="0.2">
      <c r="B5" s="863" t="s">
        <v>318</v>
      </c>
      <c r="C5" s="867"/>
      <c r="D5" s="867"/>
      <c r="E5" s="172"/>
      <c r="F5" s="849">
        <v>622927.43999999994</v>
      </c>
      <c r="N5" s="210"/>
      <c r="O5" s="210"/>
      <c r="P5" s="210"/>
      <c r="Q5" s="210"/>
      <c r="R5" s="210"/>
      <c r="S5" s="210"/>
      <c r="T5" s="210"/>
      <c r="U5" s="210"/>
      <c r="V5" s="210"/>
      <c r="W5" s="210"/>
      <c r="X5" s="210"/>
      <c r="Y5" s="210"/>
      <c r="Z5" s="210"/>
      <c r="AA5" s="210"/>
      <c r="AB5" s="210"/>
      <c r="AC5" s="210"/>
      <c r="AD5" s="210"/>
      <c r="AE5" s="210"/>
      <c r="AF5" s="210"/>
      <c r="AG5" s="210"/>
      <c r="AH5" s="210"/>
      <c r="AI5" s="210"/>
      <c r="AJ5" s="210"/>
      <c r="AK5" s="210"/>
      <c r="AL5" s="210"/>
      <c r="AM5" s="210"/>
      <c r="AN5" s="210"/>
      <c r="AO5" s="210"/>
    </row>
    <row r="6" spans="1:41" x14ac:dyDescent="0.2">
      <c r="B6" s="863"/>
      <c r="C6" s="867"/>
      <c r="D6" s="867"/>
      <c r="E6" s="172"/>
      <c r="F6" s="136"/>
      <c r="N6" s="210"/>
      <c r="O6" s="210"/>
      <c r="P6" s="210"/>
      <c r="Q6" s="210"/>
      <c r="R6" s="210"/>
      <c r="S6" s="210"/>
      <c r="T6" s="210"/>
      <c r="U6" s="210"/>
      <c r="V6" s="210"/>
      <c r="W6" s="210"/>
      <c r="X6" s="210"/>
      <c r="Y6" s="210"/>
      <c r="Z6" s="210"/>
      <c r="AA6" s="210"/>
      <c r="AB6" s="210"/>
      <c r="AC6" s="210"/>
      <c r="AD6" s="210"/>
      <c r="AE6" s="210"/>
      <c r="AF6" s="210"/>
      <c r="AG6" s="210"/>
      <c r="AH6" s="210"/>
      <c r="AI6" s="210"/>
      <c r="AJ6" s="210"/>
      <c r="AK6" s="210"/>
      <c r="AL6" s="210"/>
      <c r="AM6" s="210"/>
      <c r="AN6" s="210"/>
      <c r="AO6" s="210"/>
    </row>
    <row r="7" spans="1:41" ht="13.5" thickBot="1" x14ac:dyDescent="0.25">
      <c r="B7" s="870"/>
      <c r="C7" s="857"/>
      <c r="D7" s="857"/>
      <c r="E7" s="137" t="s">
        <v>122</v>
      </c>
      <c r="F7" s="138">
        <f>SUM(F3:F6)</f>
        <v>13499343.359999999</v>
      </c>
      <c r="N7" s="210"/>
      <c r="O7" s="210"/>
      <c r="P7" s="210"/>
      <c r="Q7" s="210"/>
      <c r="R7" s="210"/>
      <c r="S7" s="210"/>
      <c r="T7" s="210"/>
      <c r="U7" s="210"/>
      <c r="V7" s="210"/>
      <c r="W7" s="210"/>
      <c r="X7" s="210"/>
      <c r="Y7" s="210"/>
      <c r="Z7" s="210"/>
      <c r="AA7" s="210"/>
      <c r="AB7" s="210"/>
      <c r="AC7" s="210"/>
      <c r="AD7" s="210"/>
      <c r="AE7" s="210"/>
      <c r="AF7" s="210"/>
      <c r="AG7" s="210"/>
      <c r="AH7" s="210"/>
      <c r="AI7" s="210"/>
      <c r="AJ7" s="210"/>
      <c r="AK7" s="210"/>
      <c r="AL7" s="210"/>
      <c r="AM7" s="210"/>
      <c r="AN7" s="210"/>
      <c r="AO7" s="210"/>
    </row>
    <row r="8" spans="1:41" x14ac:dyDescent="0.2">
      <c r="B8" s="210"/>
      <c r="C8" s="210"/>
      <c r="D8" s="210"/>
      <c r="E8" s="210"/>
      <c r="F8" s="210"/>
      <c r="N8" s="210"/>
      <c r="O8" s="210"/>
      <c r="P8" s="210"/>
      <c r="Q8" s="210"/>
      <c r="R8" s="210"/>
      <c r="S8" s="210"/>
      <c r="T8" s="210"/>
      <c r="U8" s="210"/>
      <c r="V8" s="210"/>
      <c r="W8" s="210"/>
      <c r="X8" s="210"/>
      <c r="Y8" s="210"/>
      <c r="Z8" s="210"/>
      <c r="AA8" s="210"/>
      <c r="AB8" s="210"/>
      <c r="AC8" s="210"/>
      <c r="AD8" s="210"/>
      <c r="AE8" s="210"/>
      <c r="AF8" s="210"/>
      <c r="AG8" s="210"/>
      <c r="AH8" s="210"/>
      <c r="AI8" s="210"/>
      <c r="AJ8" s="210"/>
      <c r="AK8" s="210"/>
      <c r="AL8" s="210"/>
      <c r="AM8" s="210"/>
      <c r="AN8" s="210"/>
      <c r="AO8" s="210"/>
    </row>
    <row r="9" spans="1:41" x14ac:dyDescent="0.2">
      <c r="B9" s="210"/>
      <c r="C9" s="210"/>
      <c r="D9" s="210"/>
      <c r="E9" s="210"/>
      <c r="F9" s="210"/>
      <c r="N9" s="210"/>
      <c r="O9" s="210"/>
      <c r="P9" s="210"/>
      <c r="Q9" s="210"/>
      <c r="R9" s="210"/>
      <c r="S9" s="210"/>
      <c r="T9" s="210"/>
      <c r="U9" s="210"/>
      <c r="V9" s="210"/>
      <c r="W9" s="210"/>
      <c r="X9" s="210"/>
      <c r="Y9" s="210"/>
      <c r="Z9" s="210"/>
      <c r="AA9" s="210"/>
      <c r="AB9" s="210"/>
      <c r="AC9" s="210"/>
      <c r="AD9" s="210"/>
      <c r="AE9" s="210"/>
      <c r="AF9" s="210"/>
      <c r="AG9" s="210"/>
      <c r="AH9" s="210"/>
      <c r="AI9" s="210"/>
      <c r="AJ9" s="210"/>
      <c r="AK9" s="210"/>
      <c r="AL9" s="210"/>
      <c r="AM9" s="210"/>
      <c r="AN9" s="210"/>
      <c r="AO9" s="210"/>
    </row>
    <row r="10" spans="1:41" x14ac:dyDescent="0.2">
      <c r="B10" s="250" t="s">
        <v>284</v>
      </c>
      <c r="C10" s="210"/>
      <c r="D10" s="210"/>
      <c r="E10" s="210"/>
      <c r="F10" s="210"/>
      <c r="N10" s="210"/>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c r="AM10" s="210"/>
      <c r="AN10" s="210"/>
      <c r="AO10" s="210"/>
    </row>
    <row r="11" spans="1:41" x14ac:dyDescent="0.2">
      <c r="B11" s="210" t="s">
        <v>317</v>
      </c>
      <c r="C11" s="210" t="s">
        <v>319</v>
      </c>
      <c r="D11" s="210"/>
      <c r="E11" s="210"/>
      <c r="F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row>
    <row r="12" spans="1:41" x14ac:dyDescent="0.2">
      <c r="B12" s="210" t="s">
        <v>318</v>
      </c>
      <c r="C12" s="210" t="s">
        <v>320</v>
      </c>
      <c r="D12" s="210"/>
      <c r="E12" s="210"/>
      <c r="F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row>
    <row r="13" spans="1:41" x14ac:dyDescent="0.2">
      <c r="B13" s="210"/>
      <c r="C13" s="210"/>
      <c r="D13" s="210"/>
      <c r="E13" s="210"/>
      <c r="F13" s="85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row>
    <row r="14" spans="1:41" x14ac:dyDescent="0.2">
      <c r="B14" s="210"/>
      <c r="C14" s="210"/>
      <c r="D14" s="210"/>
      <c r="E14" s="210"/>
      <c r="F14" s="210"/>
      <c r="N14" s="210"/>
      <c r="O14" s="210"/>
      <c r="P14" s="210"/>
      <c r="Q14" s="210"/>
      <c r="R14" s="210"/>
      <c r="S14" s="210"/>
      <c r="T14" s="210"/>
      <c r="U14" s="210"/>
      <c r="V14" s="210"/>
      <c r="W14" s="210"/>
      <c r="X14" s="210"/>
      <c r="Y14" s="210"/>
      <c r="Z14" s="210"/>
      <c r="AA14" s="210"/>
      <c r="AB14" s="210"/>
      <c r="AC14" s="210"/>
      <c r="AD14" s="210"/>
      <c r="AE14" s="210"/>
      <c r="AF14" s="210"/>
      <c r="AG14" s="210"/>
      <c r="AH14" s="210"/>
      <c r="AI14" s="210"/>
      <c r="AJ14" s="210"/>
      <c r="AK14" s="210"/>
      <c r="AL14" s="210"/>
      <c r="AM14" s="210"/>
      <c r="AN14" s="210"/>
      <c r="AO14" s="210"/>
    </row>
    <row r="15" spans="1:41" x14ac:dyDescent="0.2">
      <c r="B15" s="210"/>
      <c r="C15" s="210"/>
      <c r="D15" s="210"/>
      <c r="E15" s="210"/>
      <c r="F15" s="210"/>
      <c r="N15" s="210"/>
      <c r="O15" s="210"/>
      <c r="P15" s="210"/>
      <c r="Q15" s="210"/>
      <c r="R15" s="210"/>
      <c r="S15" s="210"/>
      <c r="T15" s="210"/>
      <c r="U15" s="210"/>
      <c r="V15" s="210"/>
      <c r="W15" s="210"/>
      <c r="X15" s="210"/>
      <c r="Y15" s="210"/>
      <c r="Z15" s="210"/>
      <c r="AA15" s="210"/>
      <c r="AB15" s="210"/>
      <c r="AC15" s="210"/>
      <c r="AD15" s="210"/>
      <c r="AE15" s="210"/>
      <c r="AF15" s="210"/>
      <c r="AG15" s="210"/>
      <c r="AH15" s="210"/>
      <c r="AI15" s="210"/>
      <c r="AJ15" s="210"/>
      <c r="AK15" s="210"/>
      <c r="AL15" s="210"/>
      <c r="AM15" s="210"/>
      <c r="AN15" s="210"/>
      <c r="AO15" s="210"/>
    </row>
    <row r="16" spans="1:41" x14ac:dyDescent="0.2">
      <c r="B16" s="210"/>
      <c r="C16" s="210"/>
      <c r="D16" s="210"/>
      <c r="E16" s="210"/>
      <c r="F16" s="210"/>
      <c r="N16" s="210"/>
      <c r="O16" s="210"/>
      <c r="P16" s="210"/>
      <c r="Q16" s="210"/>
      <c r="R16" s="210"/>
      <c r="S16" s="210"/>
      <c r="T16" s="210"/>
      <c r="U16" s="210"/>
      <c r="V16" s="210"/>
      <c r="W16" s="210"/>
      <c r="X16" s="210"/>
      <c r="Y16" s="210"/>
      <c r="Z16" s="210"/>
      <c r="AA16" s="210"/>
      <c r="AB16" s="210"/>
      <c r="AC16" s="210"/>
      <c r="AD16" s="210"/>
      <c r="AE16" s="210"/>
      <c r="AF16" s="210"/>
      <c r="AG16" s="210"/>
      <c r="AH16" s="210"/>
      <c r="AI16" s="210"/>
      <c r="AJ16" s="210"/>
      <c r="AK16" s="210"/>
      <c r="AL16" s="210"/>
      <c r="AM16" s="210"/>
      <c r="AN16" s="210"/>
      <c r="AO16" s="210"/>
    </row>
    <row r="17" spans="2:41" x14ac:dyDescent="0.2">
      <c r="B17" s="210"/>
      <c r="C17" s="210"/>
      <c r="D17" s="210"/>
      <c r="E17" s="210"/>
      <c r="F17" s="210"/>
      <c r="N17" s="210"/>
      <c r="O17" s="210"/>
      <c r="P17" s="210"/>
      <c r="Q17" s="210"/>
      <c r="R17" s="210"/>
      <c r="S17" s="210"/>
      <c r="T17" s="210"/>
      <c r="U17" s="210"/>
      <c r="V17" s="210"/>
      <c r="W17" s="210"/>
      <c r="X17" s="210"/>
      <c r="Y17" s="210"/>
      <c r="Z17" s="210"/>
      <c r="AA17" s="210"/>
      <c r="AB17" s="210"/>
      <c r="AC17" s="210"/>
      <c r="AD17" s="210"/>
      <c r="AE17" s="210"/>
      <c r="AF17" s="210"/>
      <c r="AG17" s="210"/>
      <c r="AH17" s="210"/>
      <c r="AI17" s="210"/>
      <c r="AJ17" s="210"/>
      <c r="AK17" s="210"/>
      <c r="AL17" s="210"/>
      <c r="AM17" s="210"/>
      <c r="AN17" s="210"/>
      <c r="AO17" s="210"/>
    </row>
    <row r="18" spans="2:41" x14ac:dyDescent="0.2">
      <c r="B18" s="210"/>
      <c r="C18" s="210"/>
      <c r="D18" s="210"/>
      <c r="E18" s="210"/>
      <c r="F18" s="210"/>
      <c r="N18" s="210"/>
      <c r="O18" s="210"/>
      <c r="P18" s="210"/>
      <c r="Q18" s="210"/>
      <c r="R18" s="210"/>
      <c r="S18" s="210"/>
      <c r="T18" s="210"/>
      <c r="U18" s="210"/>
      <c r="V18" s="210"/>
      <c r="W18" s="210"/>
      <c r="X18" s="210"/>
      <c r="Y18" s="210"/>
      <c r="Z18" s="210"/>
      <c r="AA18" s="210"/>
      <c r="AB18" s="210"/>
      <c r="AC18" s="210"/>
      <c r="AD18" s="210"/>
      <c r="AE18" s="210"/>
      <c r="AF18" s="210"/>
      <c r="AG18" s="210"/>
      <c r="AH18" s="210"/>
      <c r="AI18" s="210"/>
      <c r="AJ18" s="210"/>
      <c r="AK18" s="210"/>
      <c r="AL18" s="210"/>
      <c r="AM18" s="210"/>
      <c r="AN18" s="210"/>
      <c r="AO18" s="210"/>
    </row>
    <row r="19" spans="2:41" x14ac:dyDescent="0.2">
      <c r="B19" s="210"/>
      <c r="C19" s="210"/>
      <c r="D19" s="210"/>
      <c r="E19" s="210"/>
      <c r="F19" s="210"/>
      <c r="N19" s="210"/>
      <c r="O19" s="210"/>
      <c r="P19" s="210"/>
      <c r="Q19" s="210"/>
      <c r="R19" s="210"/>
      <c r="S19" s="210"/>
      <c r="T19" s="210"/>
      <c r="U19" s="210"/>
      <c r="V19" s="210"/>
      <c r="W19" s="210"/>
      <c r="X19" s="210"/>
      <c r="Y19" s="210"/>
      <c r="Z19" s="210"/>
      <c r="AA19" s="210"/>
      <c r="AB19" s="210"/>
      <c r="AC19" s="210"/>
      <c r="AD19" s="210"/>
      <c r="AE19" s="210"/>
      <c r="AF19" s="210"/>
      <c r="AG19" s="210"/>
      <c r="AH19" s="210"/>
      <c r="AI19" s="210"/>
      <c r="AJ19" s="210"/>
      <c r="AK19" s="210"/>
      <c r="AL19" s="210"/>
      <c r="AM19" s="210"/>
      <c r="AN19" s="210"/>
      <c r="AO19" s="210"/>
    </row>
    <row r="20" spans="2:41" x14ac:dyDescent="0.2">
      <c r="B20" s="210"/>
      <c r="C20" s="210"/>
      <c r="D20" s="210"/>
      <c r="E20" s="210"/>
      <c r="F20" s="210"/>
      <c r="N20" s="210"/>
      <c r="O20" s="210"/>
      <c r="P20" s="210"/>
      <c r="Q20" s="210"/>
      <c r="R20" s="210"/>
      <c r="S20" s="210"/>
      <c r="T20" s="210"/>
      <c r="U20" s="210"/>
      <c r="V20" s="210"/>
      <c r="W20" s="210"/>
      <c r="X20" s="210"/>
      <c r="Y20" s="210"/>
      <c r="Z20" s="210"/>
      <c r="AA20" s="210"/>
      <c r="AB20" s="210"/>
      <c r="AC20" s="210"/>
      <c r="AD20" s="210"/>
      <c r="AE20" s="210"/>
      <c r="AF20" s="210"/>
      <c r="AG20" s="210"/>
      <c r="AH20" s="210"/>
      <c r="AI20" s="210"/>
      <c r="AJ20" s="210"/>
      <c r="AK20" s="210"/>
      <c r="AL20" s="210"/>
      <c r="AM20" s="210"/>
      <c r="AN20" s="210"/>
      <c r="AO20" s="210"/>
    </row>
    <row r="21" spans="2:41" x14ac:dyDescent="0.2">
      <c r="B21" s="210"/>
      <c r="C21" s="210"/>
      <c r="D21" s="210"/>
      <c r="E21" s="210"/>
      <c r="F21" s="210"/>
      <c r="N21" s="210"/>
      <c r="O21" s="210"/>
      <c r="P21" s="210"/>
      <c r="Q21" s="210"/>
      <c r="R21" s="210"/>
      <c r="S21" s="210"/>
      <c r="T21" s="210"/>
      <c r="U21" s="210"/>
      <c r="V21" s="210"/>
      <c r="W21" s="210"/>
      <c r="X21" s="210"/>
      <c r="Y21" s="210"/>
      <c r="Z21" s="210"/>
      <c r="AA21" s="210"/>
      <c r="AB21" s="210"/>
      <c r="AC21" s="210"/>
      <c r="AD21" s="210"/>
      <c r="AE21" s="210"/>
      <c r="AF21" s="210"/>
      <c r="AG21" s="210"/>
      <c r="AH21" s="210"/>
      <c r="AI21" s="210"/>
      <c r="AJ21" s="210"/>
      <c r="AK21" s="210"/>
      <c r="AL21" s="210"/>
      <c r="AM21" s="210"/>
      <c r="AN21" s="210"/>
      <c r="AO21" s="210"/>
    </row>
    <row r="22" spans="2:41" x14ac:dyDescent="0.2">
      <c r="B22" s="210"/>
      <c r="C22" s="210"/>
      <c r="D22" s="210"/>
      <c r="E22" s="210"/>
      <c r="F22" s="210"/>
      <c r="N22" s="210"/>
      <c r="O22" s="210"/>
      <c r="P22" s="210"/>
      <c r="Q22" s="210"/>
      <c r="R22" s="210"/>
      <c r="S22" s="210"/>
      <c r="T22" s="210"/>
      <c r="U22" s="210"/>
      <c r="V22" s="210"/>
      <c r="W22" s="210"/>
      <c r="X22" s="210"/>
      <c r="Y22" s="210"/>
      <c r="Z22" s="210"/>
      <c r="AA22" s="210"/>
      <c r="AB22" s="210"/>
      <c r="AC22" s="210"/>
      <c r="AD22" s="210"/>
      <c r="AE22" s="210"/>
      <c r="AF22" s="210"/>
      <c r="AG22" s="210"/>
      <c r="AH22" s="210"/>
      <c r="AI22" s="210"/>
      <c r="AJ22" s="210"/>
      <c r="AK22" s="210"/>
      <c r="AL22" s="210"/>
      <c r="AM22" s="210"/>
      <c r="AN22" s="210"/>
      <c r="AO22" s="210"/>
    </row>
    <row r="23" spans="2:41" x14ac:dyDescent="0.2">
      <c r="B23" s="210"/>
      <c r="C23" s="210"/>
      <c r="D23" s="210"/>
      <c r="E23" s="210"/>
      <c r="F23" s="210"/>
      <c r="N23" s="210"/>
      <c r="O23" s="210"/>
      <c r="P23" s="210"/>
      <c r="Q23" s="210"/>
      <c r="R23" s="210"/>
      <c r="S23" s="210"/>
      <c r="T23" s="210"/>
      <c r="U23" s="210"/>
      <c r="V23" s="210"/>
      <c r="W23" s="210"/>
      <c r="X23" s="210"/>
      <c r="Y23" s="210"/>
      <c r="Z23" s="210"/>
      <c r="AA23" s="210"/>
      <c r="AB23" s="210"/>
      <c r="AC23" s="210"/>
      <c r="AD23" s="210"/>
      <c r="AE23" s="210"/>
      <c r="AF23" s="210"/>
      <c r="AG23" s="210"/>
      <c r="AH23" s="210"/>
      <c r="AI23" s="210"/>
      <c r="AJ23" s="210"/>
      <c r="AK23" s="210"/>
      <c r="AL23" s="210"/>
      <c r="AM23" s="210"/>
      <c r="AN23" s="210"/>
      <c r="AO23" s="210"/>
    </row>
    <row r="24" spans="2:41" x14ac:dyDescent="0.2">
      <c r="B24" s="210"/>
      <c r="C24" s="210"/>
      <c r="D24" s="210"/>
      <c r="E24" s="210"/>
      <c r="F24" s="210"/>
      <c r="N24" s="210"/>
      <c r="O24" s="210"/>
      <c r="P24" s="210"/>
      <c r="Q24" s="210"/>
      <c r="R24" s="210"/>
      <c r="S24" s="210"/>
      <c r="T24" s="210"/>
      <c r="U24" s="210"/>
      <c r="V24" s="210"/>
      <c r="W24" s="210"/>
      <c r="X24" s="210"/>
      <c r="Y24" s="210"/>
      <c r="Z24" s="210"/>
      <c r="AA24" s="210"/>
      <c r="AB24" s="210"/>
      <c r="AC24" s="210"/>
      <c r="AD24" s="210"/>
      <c r="AE24" s="210"/>
      <c r="AF24" s="210"/>
      <c r="AG24" s="210"/>
      <c r="AH24" s="210"/>
      <c r="AI24" s="210"/>
      <c r="AJ24" s="210"/>
      <c r="AK24" s="210"/>
      <c r="AL24" s="210"/>
      <c r="AM24" s="210"/>
      <c r="AN24" s="210"/>
      <c r="AO24" s="210"/>
    </row>
    <row r="25" spans="2:41" x14ac:dyDescent="0.2">
      <c r="B25" s="210"/>
      <c r="C25" s="210"/>
      <c r="D25" s="210"/>
      <c r="E25" s="210"/>
      <c r="F25" s="210"/>
      <c r="N25" s="210"/>
      <c r="O25" s="210"/>
      <c r="P25" s="210"/>
      <c r="Q25" s="210"/>
      <c r="R25" s="210"/>
      <c r="S25" s="210"/>
      <c r="T25" s="210"/>
      <c r="U25" s="210"/>
      <c r="V25" s="210"/>
      <c r="W25" s="210"/>
      <c r="X25" s="210"/>
      <c r="Y25" s="210"/>
      <c r="Z25" s="210"/>
      <c r="AA25" s="210"/>
      <c r="AB25" s="210"/>
      <c r="AC25" s="210"/>
      <c r="AD25" s="210"/>
      <c r="AE25" s="210"/>
      <c r="AF25" s="210"/>
      <c r="AG25" s="210"/>
      <c r="AH25" s="210"/>
      <c r="AI25" s="210"/>
      <c r="AJ25" s="210"/>
      <c r="AK25" s="210"/>
      <c r="AL25" s="210"/>
      <c r="AM25" s="210"/>
      <c r="AN25" s="210"/>
      <c r="AO25" s="210"/>
    </row>
    <row r="26" spans="2:41" x14ac:dyDescent="0.2">
      <c r="B26" s="210"/>
      <c r="C26" s="210"/>
      <c r="D26" s="210"/>
      <c r="E26" s="210"/>
      <c r="F26" s="210"/>
      <c r="N26" s="210"/>
      <c r="O26" s="210"/>
      <c r="P26" s="210"/>
      <c r="Q26" s="210"/>
      <c r="R26" s="210"/>
      <c r="S26" s="210"/>
      <c r="T26" s="210"/>
      <c r="U26" s="210"/>
      <c r="V26" s="210"/>
      <c r="W26" s="210"/>
      <c r="X26" s="210"/>
      <c r="Y26" s="210"/>
      <c r="Z26" s="210"/>
      <c r="AA26" s="210"/>
      <c r="AB26" s="210"/>
      <c r="AC26" s="210"/>
      <c r="AD26" s="210"/>
      <c r="AE26" s="210"/>
      <c r="AF26" s="210"/>
      <c r="AG26" s="210"/>
      <c r="AH26" s="210"/>
      <c r="AI26" s="210"/>
      <c r="AJ26" s="210"/>
      <c r="AK26" s="210"/>
      <c r="AL26" s="210"/>
      <c r="AM26" s="210"/>
      <c r="AN26" s="210"/>
      <c r="AO26" s="210"/>
    </row>
    <row r="27" spans="2:41" x14ac:dyDescent="0.2">
      <c r="B27" s="210"/>
      <c r="C27" s="210"/>
      <c r="D27" s="210"/>
      <c r="E27" s="210"/>
      <c r="F27" s="210"/>
      <c r="N27" s="210"/>
      <c r="O27" s="210"/>
      <c r="P27" s="210"/>
      <c r="Q27" s="210"/>
      <c r="R27" s="210"/>
      <c r="S27" s="210"/>
      <c r="T27" s="210"/>
      <c r="U27" s="210"/>
      <c r="V27" s="210"/>
      <c r="W27" s="210"/>
      <c r="X27" s="210"/>
      <c r="Y27" s="210"/>
      <c r="Z27" s="210"/>
      <c r="AA27" s="210"/>
      <c r="AB27" s="210"/>
      <c r="AC27" s="210"/>
      <c r="AD27" s="210"/>
      <c r="AE27" s="210"/>
      <c r="AF27" s="210"/>
      <c r="AG27" s="210"/>
      <c r="AH27" s="210"/>
      <c r="AI27" s="210"/>
      <c r="AJ27" s="210"/>
      <c r="AK27" s="210"/>
      <c r="AL27" s="210"/>
      <c r="AM27" s="210"/>
      <c r="AN27" s="210"/>
      <c r="AO27" s="210"/>
    </row>
    <row r="28" spans="2:41" x14ac:dyDescent="0.2">
      <c r="B28" s="210"/>
      <c r="C28" s="210"/>
      <c r="D28" s="210"/>
      <c r="E28" s="210"/>
      <c r="F28" s="210"/>
      <c r="N28" s="210"/>
      <c r="O28" s="210"/>
      <c r="P28" s="210"/>
      <c r="Q28" s="210"/>
      <c r="R28" s="210"/>
      <c r="S28" s="210"/>
      <c r="T28" s="210"/>
      <c r="U28" s="210"/>
      <c r="V28" s="210"/>
      <c r="W28" s="210"/>
      <c r="X28" s="210"/>
      <c r="Y28" s="210"/>
      <c r="Z28" s="210"/>
      <c r="AA28" s="210"/>
      <c r="AB28" s="210"/>
      <c r="AC28" s="210"/>
      <c r="AD28" s="210"/>
      <c r="AE28" s="210"/>
      <c r="AF28" s="210"/>
      <c r="AG28" s="210"/>
      <c r="AH28" s="210"/>
      <c r="AI28" s="210"/>
      <c r="AJ28" s="210"/>
      <c r="AK28" s="210"/>
      <c r="AL28" s="210"/>
      <c r="AM28" s="210"/>
      <c r="AN28" s="210"/>
      <c r="AO28" s="210"/>
    </row>
    <row r="29" spans="2:41" x14ac:dyDescent="0.2">
      <c r="B29" s="210"/>
      <c r="C29" s="210"/>
      <c r="D29" s="210"/>
      <c r="E29" s="210"/>
      <c r="F29" s="210"/>
      <c r="N29" s="210"/>
      <c r="O29" s="210"/>
      <c r="P29" s="210"/>
      <c r="Q29" s="210"/>
      <c r="R29" s="210"/>
      <c r="S29" s="210"/>
      <c r="T29" s="210"/>
      <c r="U29" s="210"/>
      <c r="V29" s="210"/>
      <c r="W29" s="210"/>
      <c r="X29" s="210"/>
      <c r="Y29" s="210"/>
      <c r="Z29" s="210"/>
      <c r="AA29" s="210"/>
      <c r="AB29" s="210"/>
      <c r="AC29" s="210"/>
      <c r="AD29" s="210"/>
      <c r="AE29" s="210"/>
      <c r="AF29" s="210"/>
      <c r="AG29" s="210"/>
      <c r="AH29" s="210"/>
      <c r="AI29" s="210"/>
      <c r="AJ29" s="210"/>
      <c r="AK29" s="210"/>
      <c r="AL29" s="210"/>
      <c r="AM29" s="210"/>
      <c r="AN29" s="210"/>
      <c r="AO29" s="210"/>
    </row>
    <row r="30" spans="2:41" x14ac:dyDescent="0.2">
      <c r="B30" s="210"/>
      <c r="C30" s="210"/>
      <c r="D30" s="210"/>
      <c r="E30" s="210"/>
      <c r="F30" s="210"/>
      <c r="N30" s="210"/>
      <c r="O30" s="210"/>
      <c r="P30" s="210"/>
      <c r="Q30" s="210"/>
      <c r="R30" s="210"/>
      <c r="S30" s="210"/>
      <c r="T30" s="210"/>
      <c r="U30" s="210"/>
      <c r="V30" s="210"/>
      <c r="W30" s="210"/>
      <c r="X30" s="210"/>
      <c r="Y30" s="210"/>
      <c r="Z30" s="210"/>
      <c r="AA30" s="210"/>
      <c r="AB30" s="210"/>
      <c r="AC30" s="210"/>
      <c r="AD30" s="210"/>
      <c r="AE30" s="210"/>
      <c r="AF30" s="210"/>
      <c r="AG30" s="210"/>
      <c r="AH30" s="210"/>
      <c r="AI30" s="210"/>
      <c r="AJ30" s="210"/>
      <c r="AK30" s="210"/>
      <c r="AL30" s="210"/>
      <c r="AM30" s="210"/>
      <c r="AN30" s="210"/>
      <c r="AO30" s="210"/>
    </row>
    <row r="31" spans="2:41" x14ac:dyDescent="0.2">
      <c r="B31" s="210"/>
      <c r="C31" s="210"/>
      <c r="D31" s="210"/>
      <c r="E31" s="210"/>
      <c r="F31" s="210"/>
      <c r="N31" s="210"/>
      <c r="O31" s="210"/>
      <c r="P31" s="210"/>
      <c r="Q31" s="210"/>
      <c r="R31" s="210"/>
      <c r="S31" s="210"/>
      <c r="T31" s="210"/>
      <c r="U31" s="210"/>
      <c r="V31" s="210"/>
      <c r="W31" s="210"/>
      <c r="X31" s="210"/>
      <c r="Y31" s="210"/>
      <c r="Z31" s="210"/>
      <c r="AA31" s="210"/>
      <c r="AB31" s="210"/>
      <c r="AC31" s="210"/>
      <c r="AD31" s="210"/>
      <c r="AE31" s="210"/>
      <c r="AF31" s="210"/>
      <c r="AG31" s="210"/>
      <c r="AH31" s="210"/>
      <c r="AI31" s="210"/>
      <c r="AJ31" s="210"/>
      <c r="AK31" s="210"/>
      <c r="AL31" s="210"/>
      <c r="AM31" s="210"/>
      <c r="AN31" s="210"/>
      <c r="AO31" s="210"/>
    </row>
    <row r="32" spans="2:41" x14ac:dyDescent="0.2">
      <c r="B32" s="210"/>
      <c r="C32" s="210"/>
      <c r="D32" s="210"/>
      <c r="E32" s="210"/>
      <c r="F32" s="210"/>
      <c r="N32" s="210"/>
      <c r="O32" s="210"/>
      <c r="P32" s="210"/>
      <c r="Q32" s="210"/>
      <c r="R32" s="210"/>
      <c r="S32" s="210"/>
      <c r="T32" s="210"/>
      <c r="U32" s="210"/>
      <c r="V32" s="210"/>
      <c r="W32" s="210"/>
      <c r="X32" s="210"/>
      <c r="Y32" s="210"/>
      <c r="Z32" s="210"/>
      <c r="AA32" s="210"/>
      <c r="AB32" s="210"/>
      <c r="AC32" s="210"/>
      <c r="AD32" s="210"/>
      <c r="AE32" s="210"/>
      <c r="AF32" s="210"/>
      <c r="AG32" s="210"/>
      <c r="AH32" s="210"/>
      <c r="AI32" s="210"/>
      <c r="AJ32" s="210"/>
      <c r="AK32" s="210"/>
      <c r="AL32" s="210"/>
      <c r="AM32" s="210"/>
      <c r="AN32" s="210"/>
      <c r="AO32" s="210"/>
    </row>
    <row r="33" spans="1:41" x14ac:dyDescent="0.2">
      <c r="B33" s="286"/>
      <c r="C33" s="210"/>
      <c r="D33" s="210"/>
      <c r="E33" s="210"/>
      <c r="F33" s="210"/>
      <c r="N33" s="210"/>
      <c r="O33" s="210"/>
      <c r="P33" s="210"/>
      <c r="Q33" s="210"/>
      <c r="R33" s="210"/>
      <c r="S33" s="210"/>
      <c r="T33" s="210"/>
      <c r="U33" s="210"/>
      <c r="V33" s="210"/>
      <c r="W33" s="210"/>
      <c r="X33" s="210"/>
      <c r="Y33" s="210"/>
      <c r="Z33" s="210"/>
      <c r="AA33" s="210"/>
      <c r="AB33" s="210"/>
      <c r="AC33" s="210"/>
      <c r="AD33" s="210"/>
      <c r="AE33" s="210"/>
      <c r="AF33" s="210"/>
      <c r="AG33" s="210"/>
      <c r="AH33" s="210"/>
      <c r="AI33" s="210"/>
      <c r="AJ33" s="210"/>
      <c r="AK33" s="210"/>
      <c r="AL33" s="210"/>
      <c r="AM33" s="210"/>
      <c r="AN33" s="210"/>
      <c r="AO33" s="210"/>
    </row>
    <row r="34" spans="1:41" x14ac:dyDescent="0.2">
      <c r="B34" s="210"/>
      <c r="C34" s="210"/>
      <c r="D34" s="210"/>
      <c r="E34" s="210"/>
      <c r="F34" s="210"/>
      <c r="N34" s="210"/>
      <c r="O34" s="210"/>
      <c r="P34" s="210"/>
      <c r="Q34" s="210"/>
      <c r="R34" s="210"/>
      <c r="S34" s="210"/>
      <c r="T34" s="210"/>
      <c r="U34" s="210"/>
      <c r="V34" s="210"/>
      <c r="W34" s="210"/>
      <c r="X34" s="210"/>
      <c r="Y34" s="210"/>
      <c r="Z34" s="210"/>
      <c r="AA34" s="210"/>
      <c r="AB34" s="210"/>
      <c r="AC34" s="210"/>
      <c r="AD34" s="210"/>
      <c r="AE34" s="210"/>
      <c r="AF34" s="210"/>
      <c r="AG34" s="210"/>
      <c r="AH34" s="210"/>
      <c r="AI34" s="210"/>
      <c r="AJ34" s="210"/>
      <c r="AK34" s="210"/>
      <c r="AL34" s="210"/>
      <c r="AM34" s="210"/>
      <c r="AN34" s="210"/>
      <c r="AO34" s="210"/>
    </row>
    <row r="35" spans="1:41" x14ac:dyDescent="0.2">
      <c r="B35" s="210"/>
      <c r="C35" s="210"/>
      <c r="D35" s="210"/>
      <c r="E35" s="210"/>
      <c r="F35" s="210"/>
      <c r="N35" s="210"/>
      <c r="O35" s="210"/>
      <c r="P35" s="210"/>
      <c r="Q35" s="210"/>
      <c r="R35" s="210"/>
      <c r="S35" s="210"/>
      <c r="T35" s="210"/>
      <c r="U35" s="210"/>
      <c r="V35" s="210"/>
      <c r="W35" s="210"/>
      <c r="X35" s="210"/>
      <c r="Y35" s="210"/>
      <c r="Z35" s="210"/>
      <c r="AA35" s="210"/>
      <c r="AB35" s="210"/>
      <c r="AC35" s="210"/>
      <c r="AD35" s="210"/>
      <c r="AE35" s="210"/>
      <c r="AF35" s="210"/>
      <c r="AG35" s="210"/>
      <c r="AH35" s="210"/>
      <c r="AI35" s="210"/>
      <c r="AJ35" s="210"/>
      <c r="AK35" s="210"/>
      <c r="AL35" s="210"/>
      <c r="AM35" s="210"/>
      <c r="AN35" s="210"/>
      <c r="AO35" s="210"/>
    </row>
    <row r="36" spans="1:41" x14ac:dyDescent="0.2">
      <c r="B36" s="210"/>
      <c r="C36" s="210"/>
      <c r="D36" s="210"/>
      <c r="E36" s="210"/>
      <c r="F36" s="210"/>
      <c r="N36" s="210"/>
      <c r="O36" s="210"/>
      <c r="P36" s="210"/>
      <c r="Q36" s="210"/>
      <c r="R36" s="210"/>
      <c r="S36" s="210"/>
      <c r="T36" s="210"/>
      <c r="U36" s="210"/>
      <c r="V36" s="210"/>
      <c r="W36" s="210"/>
      <c r="X36" s="210"/>
      <c r="Y36" s="210"/>
      <c r="Z36" s="210"/>
      <c r="AA36" s="210"/>
      <c r="AB36" s="210"/>
      <c r="AC36" s="210"/>
      <c r="AD36" s="210"/>
      <c r="AE36" s="210"/>
      <c r="AF36" s="210"/>
      <c r="AG36" s="210"/>
      <c r="AH36" s="210"/>
      <c r="AI36" s="210"/>
      <c r="AJ36" s="210"/>
      <c r="AK36" s="210"/>
      <c r="AL36" s="210"/>
      <c r="AM36" s="210"/>
      <c r="AN36" s="210"/>
      <c r="AO36" s="210"/>
    </row>
    <row r="37" spans="1:41" x14ac:dyDescent="0.2">
      <c r="B37" s="210"/>
      <c r="C37" s="210"/>
      <c r="D37" s="210"/>
      <c r="E37" s="210"/>
      <c r="F37" s="210"/>
      <c r="N37" s="210"/>
      <c r="O37" s="210"/>
      <c r="P37" s="210"/>
      <c r="Q37" s="210"/>
      <c r="R37" s="210"/>
      <c r="S37" s="210"/>
      <c r="T37" s="210"/>
      <c r="U37" s="210"/>
      <c r="V37" s="210"/>
      <c r="W37" s="210"/>
      <c r="X37" s="210"/>
      <c r="Y37" s="210"/>
      <c r="Z37" s="210"/>
      <c r="AA37" s="210"/>
      <c r="AB37" s="210"/>
      <c r="AC37" s="210"/>
      <c r="AD37" s="210"/>
      <c r="AE37" s="210"/>
      <c r="AF37" s="210"/>
      <c r="AG37" s="210"/>
      <c r="AH37" s="210"/>
      <c r="AI37" s="210"/>
      <c r="AJ37" s="210"/>
      <c r="AK37" s="210"/>
      <c r="AL37" s="210"/>
      <c r="AM37" s="210"/>
      <c r="AN37" s="210"/>
      <c r="AO37" s="210"/>
    </row>
    <row r="38" spans="1:41" x14ac:dyDescent="0.2">
      <c r="B38" s="210"/>
      <c r="C38" s="210"/>
      <c r="D38" s="210"/>
      <c r="E38" s="210"/>
      <c r="F38" s="210"/>
      <c r="N38" s="210"/>
      <c r="O38" s="210"/>
      <c r="P38" s="210"/>
      <c r="Q38" s="210"/>
      <c r="R38" s="210"/>
      <c r="S38" s="210"/>
      <c r="T38" s="210"/>
      <c r="U38" s="210"/>
      <c r="V38" s="210"/>
      <c r="W38" s="210"/>
      <c r="X38" s="210"/>
      <c r="Y38" s="210"/>
      <c r="Z38" s="210"/>
      <c r="AA38" s="210"/>
      <c r="AB38" s="210"/>
      <c r="AC38" s="210"/>
      <c r="AD38" s="210"/>
      <c r="AE38" s="210"/>
      <c r="AF38" s="210"/>
      <c r="AG38" s="210"/>
      <c r="AH38" s="210"/>
      <c r="AI38" s="210"/>
      <c r="AJ38" s="210"/>
      <c r="AK38" s="210"/>
      <c r="AL38" s="210"/>
      <c r="AM38" s="210"/>
      <c r="AN38" s="210"/>
      <c r="AO38" s="210"/>
    </row>
    <row r="39" spans="1:41" x14ac:dyDescent="0.2">
      <c r="B39" s="210"/>
      <c r="C39" s="210"/>
      <c r="D39" s="210"/>
      <c r="E39" s="210"/>
      <c r="F39" s="210"/>
      <c r="N39" s="210"/>
      <c r="O39" s="210"/>
      <c r="P39" s="210"/>
      <c r="Q39" s="210"/>
      <c r="R39" s="210"/>
      <c r="S39" s="210"/>
      <c r="T39" s="210"/>
      <c r="U39" s="210"/>
      <c r="V39" s="210"/>
      <c r="W39" s="210"/>
      <c r="X39" s="210"/>
      <c r="Y39" s="210"/>
      <c r="Z39" s="210"/>
      <c r="AA39" s="210"/>
      <c r="AB39" s="210"/>
      <c r="AC39" s="210"/>
      <c r="AD39" s="210"/>
      <c r="AE39" s="210"/>
      <c r="AF39" s="210"/>
      <c r="AG39" s="210"/>
      <c r="AH39" s="210"/>
      <c r="AI39" s="210"/>
      <c r="AJ39" s="210"/>
      <c r="AK39" s="210"/>
      <c r="AL39" s="210"/>
      <c r="AM39" s="210"/>
      <c r="AN39" s="210"/>
      <c r="AO39" s="210"/>
    </row>
    <row r="40" spans="1:41" x14ac:dyDescent="0.2">
      <c r="B40" s="210"/>
      <c r="C40" s="210"/>
      <c r="D40" s="210"/>
      <c r="E40" s="210"/>
      <c r="F40" s="210"/>
      <c r="N40" s="210"/>
      <c r="O40" s="210"/>
      <c r="P40" s="210"/>
      <c r="Q40" s="210"/>
      <c r="R40" s="210"/>
      <c r="S40" s="210"/>
      <c r="T40" s="210"/>
      <c r="U40" s="210"/>
      <c r="V40" s="210"/>
      <c r="W40" s="210"/>
      <c r="X40" s="210"/>
      <c r="Y40" s="210"/>
      <c r="Z40" s="210"/>
      <c r="AA40" s="210"/>
      <c r="AB40" s="210"/>
      <c r="AC40" s="210"/>
      <c r="AD40" s="210"/>
      <c r="AE40" s="210"/>
      <c r="AF40" s="210"/>
      <c r="AG40" s="210"/>
      <c r="AH40" s="210"/>
      <c r="AI40" s="210"/>
      <c r="AJ40" s="210"/>
      <c r="AK40" s="210"/>
      <c r="AL40" s="210"/>
      <c r="AM40" s="210"/>
      <c r="AN40" s="210"/>
      <c r="AO40" s="210"/>
    </row>
    <row r="41" spans="1:41" x14ac:dyDescent="0.2">
      <c r="B41" s="210"/>
      <c r="C41" s="210"/>
      <c r="D41" s="210"/>
      <c r="E41" s="210"/>
      <c r="F41" s="210"/>
      <c r="N41" s="210"/>
      <c r="O41" s="210"/>
      <c r="P41" s="210"/>
      <c r="Q41" s="210"/>
      <c r="R41" s="210"/>
      <c r="S41" s="210"/>
      <c r="T41" s="210"/>
      <c r="U41" s="210"/>
      <c r="V41" s="210"/>
      <c r="W41" s="210"/>
      <c r="X41" s="210"/>
      <c r="Y41" s="210"/>
      <c r="Z41" s="210"/>
      <c r="AA41" s="210"/>
      <c r="AB41" s="210"/>
      <c r="AC41" s="210"/>
      <c r="AD41" s="210"/>
      <c r="AE41" s="210"/>
      <c r="AF41" s="210"/>
      <c r="AG41" s="210"/>
      <c r="AH41" s="210"/>
      <c r="AI41" s="210"/>
      <c r="AJ41" s="210"/>
      <c r="AK41" s="210"/>
      <c r="AL41" s="210"/>
      <c r="AM41" s="210"/>
      <c r="AN41" s="210"/>
      <c r="AO41" s="210"/>
    </row>
    <row r="42" spans="1:41" x14ac:dyDescent="0.2">
      <c r="B42" s="210"/>
      <c r="C42" s="210"/>
      <c r="D42" s="210"/>
      <c r="E42" s="210"/>
      <c r="F42" s="210"/>
      <c r="N42" s="210"/>
      <c r="O42" s="210"/>
      <c r="P42" s="210"/>
      <c r="Q42" s="210"/>
      <c r="R42" s="210"/>
      <c r="S42" s="210"/>
      <c r="T42" s="210"/>
      <c r="U42" s="210"/>
      <c r="V42" s="210"/>
      <c r="W42" s="210"/>
      <c r="X42" s="210"/>
      <c r="Y42" s="210"/>
      <c r="Z42" s="210"/>
      <c r="AA42" s="210"/>
      <c r="AB42" s="210"/>
      <c r="AC42" s="210"/>
      <c r="AD42" s="210"/>
      <c r="AE42" s="210"/>
      <c r="AF42" s="210"/>
      <c r="AG42" s="210"/>
      <c r="AH42" s="210"/>
      <c r="AI42" s="210"/>
      <c r="AJ42" s="210"/>
      <c r="AK42" s="210"/>
      <c r="AL42" s="210"/>
      <c r="AM42" s="210"/>
      <c r="AN42" s="210"/>
      <c r="AO42" s="210"/>
    </row>
    <row r="43" spans="1:41" x14ac:dyDescent="0.2">
      <c r="B43" s="210"/>
      <c r="C43" s="210"/>
      <c r="D43" s="210"/>
      <c r="E43" s="210"/>
      <c r="F43" s="210"/>
      <c r="N43" s="210"/>
      <c r="O43" s="210"/>
      <c r="P43" s="210"/>
      <c r="Q43" s="210"/>
      <c r="R43" s="210"/>
      <c r="S43" s="210"/>
      <c r="T43" s="210"/>
      <c r="U43" s="210"/>
      <c r="V43" s="210"/>
      <c r="W43" s="210"/>
      <c r="X43" s="210"/>
      <c r="Y43" s="210"/>
      <c r="Z43" s="210"/>
      <c r="AA43" s="210"/>
      <c r="AB43" s="210"/>
      <c r="AC43" s="210"/>
      <c r="AD43" s="210"/>
      <c r="AE43" s="210"/>
      <c r="AF43" s="210"/>
      <c r="AG43" s="210"/>
      <c r="AH43" s="210"/>
      <c r="AI43" s="210"/>
      <c r="AJ43" s="210"/>
      <c r="AK43" s="210"/>
      <c r="AL43" s="210"/>
      <c r="AM43" s="210"/>
      <c r="AN43" s="210"/>
      <c r="AO43" s="210"/>
    </row>
    <row r="44" spans="1:41" x14ac:dyDescent="0.2">
      <c r="B44" s="210"/>
      <c r="C44" s="210"/>
      <c r="D44" s="210"/>
      <c r="E44" s="210"/>
      <c r="F44" s="210"/>
      <c r="N44" s="210"/>
      <c r="O44" s="210"/>
      <c r="P44" s="210"/>
      <c r="Q44" s="210"/>
      <c r="R44" s="210"/>
      <c r="S44" s="210"/>
      <c r="T44" s="210"/>
      <c r="U44" s="210"/>
      <c r="V44" s="210"/>
      <c r="W44" s="210"/>
      <c r="X44" s="210"/>
      <c r="Y44" s="210"/>
      <c r="Z44" s="210"/>
      <c r="AA44" s="210"/>
      <c r="AB44" s="210"/>
      <c r="AC44" s="210"/>
      <c r="AD44" s="210"/>
      <c r="AE44" s="210"/>
      <c r="AF44" s="210"/>
      <c r="AG44" s="210"/>
      <c r="AH44" s="210"/>
      <c r="AI44" s="210"/>
      <c r="AJ44" s="210"/>
      <c r="AK44" s="210"/>
      <c r="AL44" s="210"/>
      <c r="AM44" s="210"/>
      <c r="AN44" s="210"/>
      <c r="AO44" s="210"/>
    </row>
    <row r="45" spans="1:41" s="251" customFormat="1" x14ac:dyDescent="0.2">
      <c r="A45" s="210"/>
      <c r="B45" s="210"/>
      <c r="C45" s="210"/>
      <c r="D45" s="210"/>
      <c r="E45" s="210"/>
      <c r="F45" s="210"/>
      <c r="G45" s="210"/>
      <c r="H45" s="210"/>
      <c r="I45" s="210"/>
      <c r="J45" s="210"/>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210"/>
      <c r="AI45" s="210"/>
      <c r="AJ45" s="210"/>
      <c r="AK45" s="210"/>
      <c r="AL45" s="210"/>
      <c r="AM45" s="210"/>
      <c r="AN45" s="210"/>
      <c r="AO45" s="210"/>
    </row>
    <row r="46" spans="1:41" s="251" customFormat="1" x14ac:dyDescent="0.2">
      <c r="A46" s="210"/>
      <c r="B46" s="210"/>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row>
    <row r="47" spans="1:41" s="251" customFormat="1" x14ac:dyDescent="0.2">
      <c r="A47" s="210"/>
      <c r="B47" s="210"/>
      <c r="C47" s="210"/>
      <c r="D47" s="210"/>
      <c r="E47" s="210"/>
      <c r="F47" s="210"/>
      <c r="G47" s="210"/>
      <c r="H47" s="210"/>
      <c r="I47" s="210"/>
      <c r="J47" s="210"/>
      <c r="K47" s="210"/>
      <c r="L47" s="210"/>
      <c r="M47" s="210"/>
      <c r="N47" s="210"/>
      <c r="O47" s="210"/>
      <c r="P47" s="210"/>
      <c r="Q47" s="210"/>
      <c r="R47" s="210"/>
      <c r="S47" s="210"/>
      <c r="T47" s="210"/>
      <c r="U47" s="210"/>
      <c r="V47" s="210"/>
      <c r="W47" s="210"/>
      <c r="X47" s="210"/>
      <c r="Y47" s="210"/>
      <c r="Z47" s="210"/>
      <c r="AA47" s="210"/>
      <c r="AB47" s="210"/>
      <c r="AC47" s="210"/>
      <c r="AD47" s="210"/>
      <c r="AE47" s="210"/>
      <c r="AF47" s="210"/>
      <c r="AG47" s="210"/>
      <c r="AH47" s="210"/>
      <c r="AI47" s="210"/>
      <c r="AJ47" s="210"/>
      <c r="AK47" s="210"/>
      <c r="AL47" s="210"/>
      <c r="AM47" s="210"/>
      <c r="AN47" s="210"/>
      <c r="AO47" s="210"/>
    </row>
    <row r="48" spans="1:41" x14ac:dyDescent="0.2">
      <c r="B48" s="210"/>
      <c r="C48" s="210"/>
      <c r="D48" s="210"/>
      <c r="E48" s="210"/>
      <c r="F48" s="210"/>
      <c r="N48" s="210"/>
      <c r="O48" s="210"/>
      <c r="P48" s="210"/>
      <c r="Q48" s="210"/>
      <c r="R48" s="210"/>
      <c r="S48" s="210"/>
      <c r="T48" s="210"/>
      <c r="U48" s="210"/>
      <c r="V48" s="210"/>
      <c r="W48" s="210"/>
      <c r="X48" s="210"/>
      <c r="Y48" s="210"/>
      <c r="Z48" s="210"/>
      <c r="AA48" s="210"/>
      <c r="AB48" s="210"/>
      <c r="AC48" s="210"/>
      <c r="AD48" s="210"/>
      <c r="AE48" s="210"/>
      <c r="AF48" s="210"/>
      <c r="AG48" s="210"/>
      <c r="AH48" s="210"/>
      <c r="AI48" s="210"/>
      <c r="AJ48" s="210"/>
      <c r="AK48" s="210"/>
      <c r="AL48" s="210"/>
      <c r="AM48" s="210"/>
      <c r="AN48" s="210"/>
      <c r="AO48" s="210"/>
    </row>
    <row r="49" spans="2:41" x14ac:dyDescent="0.2">
      <c r="B49" s="210"/>
      <c r="C49" s="210"/>
      <c r="D49" s="210"/>
      <c r="E49" s="210"/>
      <c r="F49" s="210"/>
      <c r="N49" s="210"/>
      <c r="O49" s="210"/>
      <c r="P49" s="210"/>
      <c r="Q49" s="210"/>
      <c r="R49" s="210"/>
      <c r="S49" s="210"/>
      <c r="T49" s="210"/>
      <c r="U49" s="210"/>
      <c r="V49" s="210"/>
      <c r="W49" s="210"/>
      <c r="X49" s="210"/>
      <c r="Y49" s="210"/>
      <c r="Z49" s="210"/>
      <c r="AA49" s="210"/>
      <c r="AB49" s="210"/>
      <c r="AC49" s="210"/>
      <c r="AD49" s="210"/>
      <c r="AE49" s="210"/>
      <c r="AF49" s="210"/>
      <c r="AG49" s="210"/>
      <c r="AH49" s="210"/>
      <c r="AI49" s="210"/>
      <c r="AJ49" s="210"/>
      <c r="AK49" s="210"/>
      <c r="AL49" s="210"/>
      <c r="AM49" s="210"/>
      <c r="AN49" s="210"/>
      <c r="AO49" s="210"/>
    </row>
    <row r="50" spans="2:41" x14ac:dyDescent="0.2">
      <c r="B50" s="210"/>
      <c r="C50" s="210"/>
      <c r="D50" s="210"/>
      <c r="E50" s="210"/>
      <c r="F50" s="210"/>
      <c r="N50" s="210"/>
      <c r="O50" s="210"/>
      <c r="P50" s="210"/>
      <c r="Q50" s="210"/>
      <c r="R50" s="210"/>
      <c r="S50" s="210"/>
      <c r="T50" s="210"/>
      <c r="U50" s="210"/>
      <c r="V50" s="210"/>
      <c r="W50" s="210"/>
      <c r="X50" s="210"/>
      <c r="Y50" s="210"/>
      <c r="Z50" s="210"/>
      <c r="AA50" s="210"/>
      <c r="AB50" s="210"/>
      <c r="AC50" s="210"/>
      <c r="AD50" s="210"/>
      <c r="AE50" s="210"/>
      <c r="AF50" s="210"/>
      <c r="AG50" s="210"/>
      <c r="AH50" s="210"/>
      <c r="AI50" s="210"/>
      <c r="AJ50" s="210"/>
      <c r="AK50" s="210"/>
      <c r="AL50" s="210"/>
      <c r="AM50" s="210"/>
      <c r="AN50" s="210"/>
      <c r="AO50" s="210"/>
    </row>
    <row r="51" spans="2:41" x14ac:dyDescent="0.2">
      <c r="B51" s="210"/>
      <c r="C51" s="210"/>
      <c r="D51" s="210"/>
      <c r="E51" s="210"/>
      <c r="F51" s="210"/>
      <c r="N51" s="210"/>
      <c r="O51" s="210"/>
      <c r="P51" s="210"/>
      <c r="Q51" s="210"/>
      <c r="R51" s="210"/>
      <c r="S51" s="210"/>
      <c r="T51" s="210"/>
      <c r="U51" s="210"/>
      <c r="V51" s="210"/>
      <c r="W51" s="210"/>
      <c r="X51" s="210"/>
      <c r="Y51" s="210"/>
      <c r="Z51" s="210"/>
      <c r="AA51" s="210"/>
      <c r="AB51" s="210"/>
      <c r="AC51" s="210"/>
      <c r="AD51" s="210"/>
      <c r="AE51" s="210"/>
      <c r="AF51" s="210"/>
      <c r="AG51" s="210"/>
      <c r="AH51" s="210"/>
      <c r="AI51" s="210"/>
      <c r="AJ51" s="210"/>
      <c r="AK51" s="210"/>
      <c r="AL51" s="210"/>
      <c r="AM51" s="210"/>
      <c r="AN51" s="210"/>
      <c r="AO51" s="210"/>
    </row>
    <row r="52" spans="2:41" x14ac:dyDescent="0.2">
      <c r="B52" s="210"/>
      <c r="C52" s="210"/>
      <c r="D52" s="210"/>
      <c r="E52" s="210"/>
      <c r="F52" s="210"/>
      <c r="N52" s="210"/>
      <c r="O52" s="210"/>
      <c r="P52" s="210"/>
      <c r="Q52" s="210"/>
      <c r="R52" s="210"/>
      <c r="S52" s="210"/>
      <c r="T52" s="210"/>
      <c r="U52" s="210"/>
      <c r="V52" s="210"/>
      <c r="W52" s="210"/>
      <c r="X52" s="210"/>
      <c r="Y52" s="210"/>
      <c r="Z52" s="210"/>
      <c r="AA52" s="210"/>
      <c r="AB52" s="210"/>
      <c r="AC52" s="210"/>
      <c r="AD52" s="210"/>
      <c r="AE52" s="210"/>
      <c r="AF52" s="210"/>
      <c r="AG52" s="210"/>
      <c r="AH52" s="210"/>
      <c r="AI52" s="210"/>
      <c r="AJ52" s="210"/>
      <c r="AK52" s="210"/>
      <c r="AL52" s="210"/>
      <c r="AM52" s="210"/>
      <c r="AN52" s="210"/>
      <c r="AO52" s="210"/>
    </row>
    <row r="53" spans="2:41" x14ac:dyDescent="0.2">
      <c r="B53" s="210"/>
      <c r="C53" s="210"/>
      <c r="D53" s="210"/>
      <c r="E53" s="210"/>
      <c r="F53" s="210"/>
      <c r="N53" s="210"/>
      <c r="O53" s="210"/>
      <c r="P53" s="210"/>
      <c r="Q53" s="210"/>
      <c r="R53" s="210"/>
      <c r="S53" s="210"/>
      <c r="T53" s="210"/>
      <c r="U53" s="210"/>
      <c r="V53" s="210"/>
      <c r="W53" s="210"/>
      <c r="X53" s="210"/>
      <c r="Y53" s="210"/>
      <c r="Z53" s="210"/>
      <c r="AA53" s="210"/>
      <c r="AB53" s="210"/>
      <c r="AC53" s="210"/>
      <c r="AD53" s="210"/>
      <c r="AE53" s="210"/>
      <c r="AF53" s="210"/>
      <c r="AG53" s="210"/>
      <c r="AH53" s="210"/>
      <c r="AI53" s="210"/>
      <c r="AJ53" s="210"/>
      <c r="AK53" s="210"/>
      <c r="AL53" s="210"/>
      <c r="AM53" s="210"/>
      <c r="AN53" s="210"/>
      <c r="AO53" s="210"/>
    </row>
    <row r="54" spans="2:41" x14ac:dyDescent="0.2">
      <c r="B54" s="210"/>
      <c r="C54" s="210"/>
      <c r="D54" s="210"/>
      <c r="E54" s="210"/>
      <c r="F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c r="AL54" s="210"/>
      <c r="AM54" s="210"/>
      <c r="AN54" s="210"/>
      <c r="AO54" s="210"/>
    </row>
    <row r="55" spans="2:41" x14ac:dyDescent="0.2">
      <c r="B55" s="210"/>
      <c r="C55" s="210"/>
      <c r="D55" s="210"/>
      <c r="E55" s="210"/>
      <c r="F55" s="210"/>
      <c r="N55" s="210"/>
      <c r="O55" s="210"/>
      <c r="P55" s="210"/>
      <c r="Q55" s="210"/>
      <c r="R55" s="210"/>
      <c r="S55" s="210"/>
      <c r="T55" s="210"/>
      <c r="U55" s="210"/>
      <c r="V55" s="210"/>
      <c r="W55" s="210"/>
      <c r="X55" s="210"/>
      <c r="Y55" s="210"/>
      <c r="Z55" s="210"/>
      <c r="AA55" s="210"/>
      <c r="AB55" s="210"/>
      <c r="AC55" s="210"/>
      <c r="AD55" s="210"/>
      <c r="AE55" s="210"/>
      <c r="AF55" s="210"/>
      <c r="AG55" s="210"/>
      <c r="AH55" s="210"/>
      <c r="AI55" s="210"/>
      <c r="AJ55" s="210"/>
      <c r="AK55" s="210"/>
      <c r="AL55" s="210"/>
      <c r="AM55" s="210"/>
      <c r="AN55" s="210"/>
      <c r="AO55" s="210"/>
    </row>
    <row r="56" spans="2:41" x14ac:dyDescent="0.2">
      <c r="B56" s="210"/>
      <c r="C56" s="210"/>
      <c r="D56" s="210"/>
      <c r="E56" s="210"/>
      <c r="F56" s="210"/>
      <c r="N56" s="210"/>
      <c r="O56" s="210"/>
      <c r="P56" s="210"/>
      <c r="Q56" s="210"/>
      <c r="R56" s="210"/>
      <c r="S56" s="210"/>
      <c r="T56" s="210"/>
      <c r="U56" s="210"/>
      <c r="V56" s="210"/>
      <c r="W56" s="210"/>
      <c r="X56" s="210"/>
      <c r="Y56" s="210"/>
      <c r="Z56" s="210"/>
      <c r="AA56" s="210"/>
      <c r="AB56" s="210"/>
      <c r="AC56" s="210"/>
      <c r="AD56" s="210"/>
      <c r="AE56" s="210"/>
      <c r="AF56" s="210"/>
      <c r="AG56" s="210"/>
      <c r="AH56" s="210"/>
      <c r="AI56" s="210"/>
      <c r="AJ56" s="210"/>
      <c r="AK56" s="210"/>
      <c r="AL56" s="210"/>
      <c r="AM56" s="210"/>
      <c r="AN56" s="210"/>
      <c r="AO56" s="210"/>
    </row>
    <row r="57" spans="2:41" x14ac:dyDescent="0.2">
      <c r="B57" s="210"/>
      <c r="C57" s="210"/>
      <c r="D57" s="210"/>
      <c r="E57" s="210"/>
      <c r="F57" s="210"/>
      <c r="N57" s="210"/>
      <c r="O57" s="210"/>
      <c r="P57" s="210"/>
      <c r="Q57" s="210"/>
      <c r="R57" s="210"/>
      <c r="S57" s="210"/>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row>
    <row r="58" spans="2:41" x14ac:dyDescent="0.2">
      <c r="B58" s="210"/>
      <c r="C58" s="210"/>
      <c r="D58" s="210"/>
      <c r="E58" s="210"/>
      <c r="F58" s="210"/>
      <c r="N58" s="210"/>
      <c r="O58" s="210"/>
      <c r="P58" s="210"/>
      <c r="Q58" s="210"/>
      <c r="R58" s="210"/>
      <c r="S58" s="210"/>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row>
    <row r="59" spans="2:41" x14ac:dyDescent="0.2">
      <c r="B59" s="210"/>
      <c r="C59" s="210"/>
      <c r="D59" s="210"/>
      <c r="E59" s="210"/>
      <c r="F59" s="210"/>
      <c r="N59" s="210"/>
      <c r="O59" s="210"/>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row>
    <row r="60" spans="2:41" x14ac:dyDescent="0.2">
      <c r="B60" s="210"/>
      <c r="C60" s="210"/>
      <c r="D60" s="210"/>
      <c r="E60" s="210"/>
      <c r="F60" s="210"/>
      <c r="N60" s="210"/>
      <c r="O60" s="210"/>
      <c r="P60" s="210"/>
      <c r="Q60" s="210"/>
      <c r="R60" s="210"/>
      <c r="S60" s="210"/>
      <c r="T60" s="210"/>
      <c r="U60" s="210"/>
      <c r="V60" s="210"/>
      <c r="W60" s="210"/>
      <c r="X60" s="210"/>
      <c r="Y60" s="210"/>
      <c r="Z60" s="210"/>
      <c r="AA60" s="210"/>
      <c r="AB60" s="210"/>
      <c r="AC60" s="210"/>
      <c r="AD60" s="210"/>
      <c r="AE60" s="210"/>
      <c r="AF60" s="210"/>
      <c r="AG60" s="210"/>
      <c r="AH60" s="210"/>
      <c r="AI60" s="210"/>
      <c r="AJ60" s="210"/>
      <c r="AK60" s="210"/>
      <c r="AL60" s="210"/>
      <c r="AM60" s="210"/>
      <c r="AN60" s="210"/>
      <c r="AO60" s="210"/>
    </row>
    <row r="61" spans="2:41" x14ac:dyDescent="0.2">
      <c r="B61" s="210"/>
      <c r="C61" s="210"/>
      <c r="D61" s="210"/>
      <c r="E61" s="210"/>
      <c r="F61" s="210"/>
      <c r="N61" s="210"/>
      <c r="O61" s="210"/>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row>
    <row r="62" spans="2:41" x14ac:dyDescent="0.2">
      <c r="B62" s="210"/>
      <c r="C62" s="210"/>
      <c r="D62" s="210"/>
      <c r="E62" s="210"/>
      <c r="F62" s="210"/>
      <c r="N62" s="210"/>
      <c r="O62" s="210"/>
      <c r="P62" s="210"/>
      <c r="Q62" s="210"/>
      <c r="R62" s="210"/>
      <c r="S62" s="210"/>
      <c r="T62" s="210"/>
      <c r="U62" s="210"/>
      <c r="V62" s="210"/>
      <c r="W62" s="210"/>
      <c r="X62" s="210"/>
      <c r="Y62" s="210"/>
      <c r="Z62" s="210"/>
      <c r="AA62" s="210"/>
      <c r="AB62" s="210"/>
      <c r="AC62" s="210"/>
      <c r="AD62" s="210"/>
      <c r="AE62" s="210"/>
      <c r="AF62" s="210"/>
      <c r="AG62" s="210"/>
      <c r="AH62" s="210"/>
      <c r="AI62" s="210"/>
      <c r="AJ62" s="210"/>
      <c r="AK62" s="210"/>
      <c r="AL62" s="210"/>
      <c r="AM62" s="210"/>
      <c r="AN62" s="210"/>
      <c r="AO62" s="210"/>
    </row>
    <row r="63" spans="2:41" x14ac:dyDescent="0.2">
      <c r="B63" s="210"/>
      <c r="C63" s="210"/>
      <c r="D63" s="210"/>
      <c r="E63" s="210"/>
      <c r="F63" s="210"/>
      <c r="N63" s="210"/>
      <c r="O63" s="210"/>
      <c r="P63" s="210"/>
      <c r="Q63" s="210"/>
      <c r="R63" s="210"/>
      <c r="S63" s="210"/>
      <c r="T63" s="210"/>
      <c r="U63" s="210"/>
      <c r="V63" s="210"/>
      <c r="W63" s="210"/>
      <c r="X63" s="210"/>
      <c r="Y63" s="210"/>
      <c r="Z63" s="210"/>
      <c r="AA63" s="210"/>
      <c r="AB63" s="210"/>
      <c r="AC63" s="210"/>
      <c r="AD63" s="210"/>
      <c r="AE63" s="210"/>
      <c r="AF63" s="210"/>
      <c r="AG63" s="210"/>
      <c r="AH63" s="210"/>
      <c r="AI63" s="210"/>
      <c r="AJ63" s="210"/>
      <c r="AK63" s="210"/>
      <c r="AL63" s="210"/>
      <c r="AM63" s="210"/>
      <c r="AN63" s="210"/>
      <c r="AO63" s="210"/>
    </row>
    <row r="64" spans="2:41" x14ac:dyDescent="0.2">
      <c r="B64" s="210"/>
      <c r="C64" s="210"/>
      <c r="D64" s="210"/>
      <c r="E64" s="210"/>
      <c r="F64" s="210"/>
      <c r="N64" s="210"/>
      <c r="O64" s="210"/>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row>
    <row r="65" spans="2:41" x14ac:dyDescent="0.2">
      <c r="B65" s="210"/>
      <c r="C65" s="210"/>
      <c r="D65" s="210"/>
      <c r="E65" s="210"/>
      <c r="F65" s="210"/>
      <c r="N65" s="210"/>
      <c r="O65" s="210"/>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row>
    <row r="66" spans="2:41" x14ac:dyDescent="0.2">
      <c r="B66" s="210"/>
      <c r="C66" s="210"/>
      <c r="D66" s="210"/>
      <c r="E66" s="210"/>
      <c r="F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row>
    <row r="67" spans="2:41" x14ac:dyDescent="0.2">
      <c r="B67" s="210"/>
      <c r="C67" s="210"/>
      <c r="D67" s="210"/>
      <c r="E67" s="210"/>
      <c r="F67" s="210"/>
      <c r="N67" s="210"/>
      <c r="O67" s="210"/>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row>
    <row r="68" spans="2:41" x14ac:dyDescent="0.2">
      <c r="B68" s="210"/>
      <c r="C68" s="210"/>
      <c r="D68" s="210"/>
      <c r="E68" s="210"/>
      <c r="F68" s="210"/>
      <c r="N68" s="210"/>
      <c r="O68" s="210"/>
      <c r="P68" s="210"/>
      <c r="Q68" s="210"/>
      <c r="R68" s="210"/>
      <c r="S68" s="210"/>
      <c r="T68" s="210"/>
      <c r="U68" s="210"/>
      <c r="V68" s="210"/>
      <c r="W68" s="210"/>
      <c r="X68" s="210"/>
      <c r="Y68" s="210"/>
      <c r="Z68" s="210"/>
      <c r="AA68" s="210"/>
      <c r="AB68" s="210"/>
      <c r="AC68" s="210"/>
      <c r="AD68" s="210"/>
      <c r="AE68" s="210"/>
      <c r="AF68" s="210"/>
      <c r="AG68" s="210"/>
      <c r="AH68" s="210"/>
      <c r="AI68" s="210"/>
      <c r="AJ68" s="210"/>
      <c r="AK68" s="210"/>
      <c r="AL68" s="210"/>
      <c r="AM68" s="210"/>
      <c r="AN68" s="210"/>
      <c r="AO68" s="210"/>
    </row>
    <row r="69" spans="2:41" x14ac:dyDescent="0.2">
      <c r="B69" s="210"/>
      <c r="C69" s="210"/>
      <c r="D69" s="210"/>
      <c r="E69" s="210"/>
      <c r="F69" s="210"/>
      <c r="N69" s="210"/>
      <c r="O69" s="210"/>
      <c r="P69" s="210"/>
      <c r="Q69" s="210"/>
      <c r="R69" s="210"/>
      <c r="S69" s="210"/>
      <c r="T69" s="210"/>
      <c r="U69" s="210"/>
      <c r="V69" s="210"/>
      <c r="W69" s="210"/>
      <c r="X69" s="210"/>
      <c r="Y69" s="210"/>
      <c r="Z69" s="210"/>
      <c r="AA69" s="210"/>
      <c r="AB69" s="210"/>
      <c r="AC69" s="210"/>
      <c r="AD69" s="210"/>
      <c r="AE69" s="210"/>
      <c r="AF69" s="210"/>
      <c r="AG69" s="210"/>
      <c r="AH69" s="210"/>
      <c r="AI69" s="210"/>
      <c r="AJ69" s="210"/>
      <c r="AK69" s="210"/>
      <c r="AL69" s="210"/>
      <c r="AM69" s="210"/>
      <c r="AN69" s="210"/>
      <c r="AO69" s="210"/>
    </row>
    <row r="70" spans="2:41" x14ac:dyDescent="0.2">
      <c r="B70" s="210"/>
      <c r="C70" s="210"/>
      <c r="D70" s="210"/>
      <c r="E70" s="210"/>
      <c r="F70" s="210"/>
      <c r="N70" s="210"/>
      <c r="O70" s="210"/>
      <c r="P70" s="210"/>
      <c r="Q70" s="210"/>
      <c r="R70" s="210"/>
      <c r="S70" s="210"/>
      <c r="T70" s="210"/>
      <c r="U70" s="210"/>
      <c r="V70" s="210"/>
      <c r="W70" s="210"/>
      <c r="X70" s="210"/>
      <c r="Y70" s="210"/>
      <c r="Z70" s="210"/>
      <c r="AA70" s="210"/>
      <c r="AB70" s="210"/>
      <c r="AC70" s="210"/>
      <c r="AD70" s="210"/>
      <c r="AE70" s="210"/>
      <c r="AF70" s="210"/>
      <c r="AG70" s="210"/>
      <c r="AH70" s="210"/>
      <c r="AI70" s="210"/>
      <c r="AJ70" s="210"/>
      <c r="AK70" s="210"/>
      <c r="AL70" s="210"/>
      <c r="AM70" s="210"/>
      <c r="AN70" s="210"/>
      <c r="AO70" s="210"/>
    </row>
    <row r="71" spans="2:41" x14ac:dyDescent="0.2">
      <c r="B71" s="210"/>
      <c r="C71" s="210"/>
      <c r="D71" s="210"/>
      <c r="E71" s="210"/>
      <c r="F71" s="210"/>
      <c r="N71" s="210"/>
      <c r="O71" s="210"/>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row>
    <row r="72" spans="2:41" x14ac:dyDescent="0.2">
      <c r="B72" s="210"/>
      <c r="C72" s="210"/>
      <c r="D72" s="210"/>
      <c r="E72" s="210"/>
      <c r="F72" s="210"/>
      <c r="N72" s="210"/>
      <c r="O72" s="210"/>
      <c r="P72" s="210"/>
      <c r="Q72" s="210"/>
      <c r="R72" s="210"/>
      <c r="S72" s="210"/>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row>
    <row r="73" spans="2:41" x14ac:dyDescent="0.2">
      <c r="B73" s="210"/>
      <c r="C73" s="210"/>
      <c r="D73" s="210"/>
      <c r="E73" s="210"/>
      <c r="F73" s="210"/>
      <c r="N73" s="210"/>
      <c r="O73" s="210"/>
      <c r="P73" s="210"/>
      <c r="Q73" s="210"/>
      <c r="R73" s="210"/>
      <c r="S73" s="210"/>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row>
    <row r="74" spans="2:41" x14ac:dyDescent="0.2">
      <c r="B74" s="210"/>
      <c r="C74" s="210"/>
      <c r="D74" s="210"/>
      <c r="E74" s="210"/>
      <c r="F74" s="210"/>
      <c r="N74" s="210"/>
      <c r="O74" s="210"/>
      <c r="P74" s="210"/>
      <c r="Q74" s="210"/>
      <c r="R74" s="210"/>
      <c r="S74" s="210"/>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row>
    <row r="75" spans="2:41" x14ac:dyDescent="0.2">
      <c r="B75" s="210"/>
      <c r="C75" s="210"/>
      <c r="D75" s="210"/>
      <c r="E75" s="210"/>
      <c r="F75" s="210"/>
      <c r="N75" s="210"/>
      <c r="O75" s="210"/>
      <c r="P75" s="210"/>
      <c r="Q75" s="210"/>
      <c r="R75" s="210"/>
      <c r="S75" s="210"/>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row>
    <row r="76" spans="2:41" x14ac:dyDescent="0.2">
      <c r="B76" s="210"/>
      <c r="C76" s="210"/>
      <c r="D76" s="210"/>
      <c r="E76" s="210"/>
      <c r="F76" s="210"/>
      <c r="N76" s="210"/>
      <c r="O76" s="210"/>
      <c r="P76" s="210"/>
      <c r="Q76" s="210"/>
      <c r="R76" s="210"/>
      <c r="S76" s="210"/>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row>
    <row r="77" spans="2:41" x14ac:dyDescent="0.2">
      <c r="B77" s="210"/>
      <c r="C77" s="210"/>
      <c r="D77" s="210"/>
      <c r="E77" s="210"/>
      <c r="F77" s="210"/>
      <c r="N77" s="210"/>
      <c r="O77" s="210"/>
      <c r="P77" s="210"/>
      <c r="Q77" s="210"/>
      <c r="R77" s="210"/>
      <c r="S77" s="210"/>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row>
    <row r="78" spans="2:41" x14ac:dyDescent="0.2">
      <c r="B78" s="210"/>
      <c r="C78" s="210"/>
      <c r="D78" s="210"/>
      <c r="E78" s="210"/>
      <c r="F78" s="210"/>
      <c r="N78" s="210"/>
      <c r="O78" s="210"/>
      <c r="P78" s="210"/>
      <c r="Q78" s="210"/>
      <c r="R78" s="210"/>
      <c r="S78" s="210"/>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row>
    <row r="79" spans="2:41" x14ac:dyDescent="0.2">
      <c r="B79" s="210"/>
      <c r="C79" s="210"/>
      <c r="D79" s="210"/>
      <c r="E79" s="210"/>
      <c r="F79" s="210"/>
      <c r="N79" s="210"/>
      <c r="O79" s="210"/>
      <c r="P79" s="210"/>
      <c r="Q79" s="210"/>
      <c r="R79" s="210"/>
      <c r="S79" s="210"/>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row>
    <row r="80" spans="2:41" x14ac:dyDescent="0.2">
      <c r="B80" s="210"/>
      <c r="C80" s="210"/>
      <c r="D80" s="210"/>
      <c r="E80" s="210"/>
      <c r="F80" s="210"/>
      <c r="N80" s="210"/>
      <c r="O80" s="210"/>
      <c r="P80" s="210"/>
      <c r="Q80" s="210"/>
      <c r="R80" s="210"/>
      <c r="S80" s="210"/>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row>
    <row r="81" spans="2:41" x14ac:dyDescent="0.2">
      <c r="B81" s="210"/>
      <c r="C81" s="210"/>
      <c r="D81" s="210"/>
      <c r="E81" s="210"/>
      <c r="F81" s="210"/>
      <c r="N81" s="210"/>
      <c r="O81" s="210"/>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row>
    <row r="82" spans="2:41" x14ac:dyDescent="0.2">
      <c r="B82" s="210"/>
      <c r="C82" s="210"/>
      <c r="D82" s="210"/>
      <c r="E82" s="210"/>
      <c r="F82" s="210"/>
      <c r="N82" s="210"/>
      <c r="O82" s="210"/>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row>
    <row r="83" spans="2:41" x14ac:dyDescent="0.2">
      <c r="B83" s="210"/>
      <c r="C83" s="210"/>
      <c r="D83" s="210"/>
      <c r="E83" s="210"/>
      <c r="F83" s="210"/>
      <c r="N83" s="210"/>
      <c r="O83" s="210"/>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row>
    <row r="84" spans="2:41" x14ac:dyDescent="0.2">
      <c r="B84" s="210"/>
      <c r="C84" s="210"/>
      <c r="D84" s="210"/>
      <c r="E84" s="210"/>
      <c r="F84" s="210"/>
      <c r="N84" s="210"/>
      <c r="O84" s="210"/>
      <c r="P84" s="210"/>
      <c r="Q84" s="210"/>
      <c r="R84" s="210"/>
      <c r="S84" s="210"/>
      <c r="T84" s="210"/>
      <c r="U84" s="210"/>
      <c r="V84" s="210"/>
      <c r="W84" s="210"/>
      <c r="X84" s="210"/>
      <c r="Y84" s="210"/>
      <c r="Z84" s="210"/>
      <c r="AA84" s="210"/>
      <c r="AB84" s="210"/>
      <c r="AC84" s="210"/>
      <c r="AD84" s="210"/>
      <c r="AE84" s="210"/>
      <c r="AF84" s="210"/>
      <c r="AG84" s="210"/>
      <c r="AH84" s="210"/>
      <c r="AI84" s="210"/>
      <c r="AJ84" s="210"/>
      <c r="AK84" s="210"/>
      <c r="AL84" s="210"/>
      <c r="AM84" s="210"/>
      <c r="AN84" s="210"/>
      <c r="AO84" s="210"/>
    </row>
    <row r="85" spans="2:41" x14ac:dyDescent="0.2">
      <c r="B85" s="210"/>
      <c r="C85" s="210"/>
      <c r="D85" s="210"/>
      <c r="E85" s="210"/>
      <c r="F85" s="210"/>
      <c r="N85" s="210"/>
      <c r="O85" s="210"/>
      <c r="P85" s="210"/>
      <c r="Q85" s="210"/>
      <c r="R85" s="210"/>
      <c r="S85" s="210"/>
      <c r="T85" s="210"/>
      <c r="U85" s="210"/>
      <c r="V85" s="210"/>
      <c r="W85" s="210"/>
      <c r="X85" s="210"/>
      <c r="Y85" s="210"/>
      <c r="Z85" s="210"/>
      <c r="AA85" s="210"/>
      <c r="AB85" s="210"/>
      <c r="AC85" s="210"/>
      <c r="AD85" s="210"/>
      <c r="AE85" s="210"/>
      <c r="AF85" s="210"/>
      <c r="AG85" s="210"/>
      <c r="AH85" s="210"/>
      <c r="AI85" s="210"/>
      <c r="AJ85" s="210"/>
      <c r="AK85" s="210"/>
      <c r="AL85" s="210"/>
      <c r="AM85" s="210"/>
      <c r="AN85" s="210"/>
      <c r="AO85" s="210"/>
    </row>
    <row r="86" spans="2:41" x14ac:dyDescent="0.2">
      <c r="B86" s="210"/>
      <c r="C86" s="210"/>
      <c r="D86" s="210"/>
      <c r="E86" s="210"/>
      <c r="F86" s="210"/>
      <c r="N86" s="210"/>
      <c r="O86" s="210"/>
      <c r="P86" s="210"/>
      <c r="Q86" s="210"/>
      <c r="R86" s="210"/>
      <c r="S86" s="210"/>
      <c r="T86" s="210"/>
      <c r="U86" s="210"/>
      <c r="V86" s="210"/>
      <c r="W86" s="210"/>
      <c r="X86" s="210"/>
      <c r="Y86" s="210"/>
      <c r="Z86" s="210"/>
      <c r="AA86" s="210"/>
      <c r="AB86" s="210"/>
      <c r="AC86" s="210"/>
      <c r="AD86" s="210"/>
      <c r="AE86" s="210"/>
      <c r="AF86" s="210"/>
      <c r="AG86" s="210"/>
      <c r="AH86" s="210"/>
      <c r="AI86" s="210"/>
      <c r="AJ86" s="210"/>
      <c r="AK86" s="210"/>
      <c r="AL86" s="210"/>
      <c r="AM86" s="210"/>
      <c r="AN86" s="210"/>
      <c r="AO86" s="210"/>
    </row>
    <row r="87" spans="2:41" x14ac:dyDescent="0.2">
      <c r="B87" s="210"/>
      <c r="C87" s="210"/>
      <c r="D87" s="210"/>
      <c r="E87" s="210"/>
      <c r="F87" s="210"/>
      <c r="N87" s="210"/>
      <c r="O87" s="210"/>
      <c r="P87" s="210"/>
      <c r="Q87" s="210"/>
      <c r="R87" s="210"/>
      <c r="S87" s="210"/>
      <c r="T87" s="210"/>
      <c r="U87" s="210"/>
      <c r="V87" s="210"/>
      <c r="W87" s="210"/>
      <c r="X87" s="210"/>
      <c r="Y87" s="210"/>
      <c r="Z87" s="210"/>
      <c r="AA87" s="210"/>
      <c r="AB87" s="210"/>
      <c r="AC87" s="210"/>
      <c r="AD87" s="210"/>
      <c r="AE87" s="210"/>
      <c r="AF87" s="210"/>
      <c r="AG87" s="210"/>
      <c r="AH87" s="210"/>
      <c r="AI87" s="210"/>
      <c r="AJ87" s="210"/>
      <c r="AK87" s="210"/>
      <c r="AL87" s="210"/>
      <c r="AM87" s="210"/>
      <c r="AN87" s="210"/>
      <c r="AO87" s="210"/>
    </row>
    <row r="88" spans="2:41" x14ac:dyDescent="0.2">
      <c r="B88" s="210"/>
      <c r="C88" s="210"/>
      <c r="D88" s="210"/>
      <c r="E88" s="210"/>
      <c r="F88" s="210"/>
      <c r="N88" s="210"/>
      <c r="O88" s="210"/>
      <c r="P88" s="210"/>
      <c r="Q88" s="210"/>
      <c r="R88" s="210"/>
      <c r="S88" s="210"/>
      <c r="T88" s="210"/>
      <c r="U88" s="210"/>
      <c r="V88" s="210"/>
      <c r="W88" s="210"/>
      <c r="X88" s="210"/>
      <c r="Y88" s="210"/>
      <c r="Z88" s="210"/>
      <c r="AA88" s="210"/>
      <c r="AB88" s="210"/>
      <c r="AC88" s="210"/>
      <c r="AD88" s="210"/>
      <c r="AE88" s="210"/>
      <c r="AF88" s="210"/>
      <c r="AG88" s="210"/>
      <c r="AH88" s="210"/>
      <c r="AI88" s="210"/>
      <c r="AJ88" s="210"/>
      <c r="AK88" s="210"/>
      <c r="AL88" s="210"/>
      <c r="AM88" s="210"/>
      <c r="AN88" s="210"/>
      <c r="AO88" s="210"/>
    </row>
    <row r="89" spans="2:41" x14ac:dyDescent="0.2">
      <c r="B89" s="210"/>
      <c r="C89" s="210"/>
      <c r="D89" s="210"/>
      <c r="E89" s="210"/>
      <c r="F89" s="210"/>
      <c r="N89" s="210"/>
      <c r="O89" s="210"/>
      <c r="P89" s="210"/>
      <c r="Q89" s="210"/>
      <c r="R89" s="210"/>
      <c r="S89" s="210"/>
      <c r="T89" s="210"/>
      <c r="U89" s="210"/>
      <c r="V89" s="210"/>
      <c r="W89" s="210"/>
      <c r="X89" s="210"/>
      <c r="Y89" s="210"/>
      <c r="Z89" s="210"/>
      <c r="AA89" s="210"/>
      <c r="AB89" s="210"/>
      <c r="AC89" s="210"/>
      <c r="AD89" s="210"/>
      <c r="AE89" s="210"/>
      <c r="AF89" s="210"/>
      <c r="AG89" s="210"/>
      <c r="AH89" s="210"/>
      <c r="AI89" s="210"/>
      <c r="AJ89" s="210"/>
      <c r="AK89" s="210"/>
      <c r="AL89" s="210"/>
      <c r="AM89" s="210"/>
      <c r="AN89" s="210"/>
      <c r="AO89" s="210"/>
    </row>
    <row r="90" spans="2:41" x14ac:dyDescent="0.2">
      <c r="B90" s="210"/>
      <c r="C90" s="210"/>
      <c r="D90" s="210"/>
      <c r="E90" s="210"/>
      <c r="F90" s="210"/>
      <c r="N90" s="210"/>
      <c r="O90" s="210"/>
      <c r="P90" s="210"/>
      <c r="Q90" s="210"/>
      <c r="R90" s="210"/>
      <c r="S90" s="210"/>
      <c r="T90" s="210"/>
      <c r="U90" s="210"/>
      <c r="V90" s="210"/>
      <c r="W90" s="210"/>
      <c r="X90" s="210"/>
      <c r="Y90" s="210"/>
      <c r="Z90" s="210"/>
      <c r="AA90" s="210"/>
      <c r="AB90" s="210"/>
      <c r="AC90" s="210"/>
      <c r="AD90" s="210"/>
      <c r="AE90" s="210"/>
      <c r="AF90" s="210"/>
      <c r="AG90" s="210"/>
      <c r="AH90" s="210"/>
      <c r="AI90" s="210"/>
      <c r="AJ90" s="210"/>
      <c r="AK90" s="210"/>
      <c r="AL90" s="210"/>
      <c r="AM90" s="210"/>
      <c r="AN90" s="210"/>
      <c r="AO90" s="210"/>
    </row>
    <row r="91" spans="2:41" x14ac:dyDescent="0.2">
      <c r="B91" s="210"/>
      <c r="C91" s="210"/>
      <c r="D91" s="210"/>
      <c r="E91" s="210"/>
      <c r="F91" s="210"/>
      <c r="N91" s="210"/>
      <c r="O91" s="210"/>
      <c r="P91" s="210"/>
      <c r="Q91" s="210"/>
      <c r="R91" s="210"/>
      <c r="S91" s="210"/>
      <c r="T91" s="210"/>
      <c r="U91" s="210"/>
      <c r="V91" s="210"/>
      <c r="W91" s="210"/>
      <c r="X91" s="210"/>
      <c r="Y91" s="210"/>
      <c r="Z91" s="210"/>
      <c r="AA91" s="210"/>
      <c r="AB91" s="210"/>
      <c r="AC91" s="210"/>
      <c r="AD91" s="210"/>
      <c r="AE91" s="210"/>
      <c r="AF91" s="210"/>
      <c r="AG91" s="210"/>
      <c r="AH91" s="210"/>
      <c r="AI91" s="210"/>
      <c r="AJ91" s="210"/>
      <c r="AK91" s="210"/>
      <c r="AL91" s="210"/>
      <c r="AM91" s="210"/>
      <c r="AN91" s="210"/>
      <c r="AO91" s="210"/>
    </row>
    <row r="92" spans="2:41" x14ac:dyDescent="0.2">
      <c r="B92" s="210"/>
      <c r="C92" s="210"/>
      <c r="D92" s="210"/>
      <c r="E92" s="210"/>
      <c r="F92" s="210"/>
      <c r="N92" s="210"/>
      <c r="O92" s="210"/>
      <c r="P92" s="210"/>
      <c r="Q92" s="210"/>
      <c r="R92" s="210"/>
      <c r="S92" s="210"/>
      <c r="T92" s="210"/>
      <c r="U92" s="210"/>
      <c r="V92" s="210"/>
      <c r="W92" s="210"/>
      <c r="X92" s="210"/>
      <c r="Y92" s="210"/>
      <c r="Z92" s="210"/>
      <c r="AA92" s="210"/>
      <c r="AB92" s="210"/>
      <c r="AC92" s="210"/>
      <c r="AD92" s="210"/>
      <c r="AE92" s="210"/>
      <c r="AF92" s="210"/>
      <c r="AG92" s="210"/>
      <c r="AH92" s="210"/>
      <c r="AI92" s="210"/>
      <c r="AJ92" s="210"/>
      <c r="AK92" s="210"/>
      <c r="AL92" s="210"/>
      <c r="AM92" s="210"/>
      <c r="AN92" s="210"/>
      <c r="AO92" s="210"/>
    </row>
    <row r="93" spans="2:41" x14ac:dyDescent="0.2">
      <c r="B93" s="210"/>
      <c r="C93" s="210"/>
      <c r="D93" s="210"/>
      <c r="E93" s="210"/>
      <c r="F93" s="210"/>
    </row>
    <row r="94" spans="2:41" x14ac:dyDescent="0.2">
      <c r="B94" s="210"/>
      <c r="C94" s="210"/>
      <c r="D94" s="210"/>
      <c r="E94" s="210"/>
      <c r="F94" s="210"/>
    </row>
    <row r="95" spans="2:41" x14ac:dyDescent="0.2">
      <c r="B95" s="210"/>
      <c r="C95" s="210"/>
      <c r="D95" s="210"/>
      <c r="E95" s="210"/>
      <c r="F95" s="210"/>
    </row>
    <row r="96" spans="2:41" x14ac:dyDescent="0.2">
      <c r="B96" s="210"/>
      <c r="C96" s="210"/>
      <c r="D96" s="210"/>
      <c r="E96" s="210"/>
      <c r="F96" s="210"/>
    </row>
    <row r="97" spans="2:6" x14ac:dyDescent="0.2">
      <c r="B97" s="210"/>
      <c r="C97" s="210"/>
      <c r="D97" s="210"/>
      <c r="E97" s="210"/>
      <c r="F97" s="210"/>
    </row>
    <row r="98" spans="2:6" x14ac:dyDescent="0.2">
      <c r="B98" s="210"/>
      <c r="C98" s="210"/>
      <c r="D98" s="210"/>
      <c r="E98" s="210"/>
      <c r="F98" s="210"/>
    </row>
    <row r="99" spans="2:6" x14ac:dyDescent="0.2">
      <c r="B99" s="210"/>
      <c r="C99" s="210"/>
      <c r="D99" s="210"/>
      <c r="E99" s="210"/>
      <c r="F99" s="210"/>
    </row>
    <row r="100" spans="2:6" x14ac:dyDescent="0.2">
      <c r="B100" s="210"/>
      <c r="C100" s="210"/>
      <c r="D100" s="210"/>
      <c r="E100" s="210"/>
      <c r="F100" s="210"/>
    </row>
    <row r="101" spans="2:6" x14ac:dyDescent="0.2">
      <c r="B101" s="210"/>
      <c r="C101" s="210"/>
      <c r="D101" s="210"/>
      <c r="E101" s="210"/>
      <c r="F101" s="210"/>
    </row>
    <row r="102" spans="2:6" x14ac:dyDescent="0.2">
      <c r="B102" s="210"/>
      <c r="C102" s="210"/>
      <c r="D102" s="210"/>
      <c r="E102" s="210"/>
      <c r="F102" s="210"/>
    </row>
    <row r="103" spans="2:6" x14ac:dyDescent="0.2">
      <c r="B103" s="210"/>
      <c r="C103" s="210"/>
      <c r="D103" s="210"/>
      <c r="E103" s="210"/>
      <c r="F103" s="210"/>
    </row>
    <row r="104" spans="2:6" x14ac:dyDescent="0.2">
      <c r="B104" s="210"/>
      <c r="C104" s="210"/>
      <c r="D104" s="210"/>
      <c r="E104" s="210"/>
      <c r="F104" s="210"/>
    </row>
    <row r="105" spans="2:6" x14ac:dyDescent="0.2">
      <c r="B105" s="210"/>
      <c r="C105" s="210"/>
      <c r="D105" s="210"/>
      <c r="E105" s="210"/>
      <c r="F105" s="210"/>
    </row>
    <row r="106" spans="2:6" x14ac:dyDescent="0.2">
      <c r="B106" s="210"/>
      <c r="C106" s="210"/>
      <c r="D106" s="210"/>
      <c r="E106" s="210"/>
      <c r="F106" s="210"/>
    </row>
    <row r="107" spans="2:6" x14ac:dyDescent="0.2">
      <c r="B107" s="210"/>
      <c r="C107" s="210"/>
      <c r="D107" s="210"/>
      <c r="E107" s="210"/>
      <c r="F107" s="210"/>
    </row>
    <row r="108" spans="2:6" x14ac:dyDescent="0.2">
      <c r="B108" s="210"/>
      <c r="C108" s="210"/>
      <c r="D108" s="210"/>
      <c r="E108" s="210"/>
      <c r="F108" s="210"/>
    </row>
    <row r="109" spans="2:6" x14ac:dyDescent="0.2">
      <c r="B109" s="210"/>
      <c r="C109" s="210"/>
      <c r="D109" s="210"/>
      <c r="E109" s="210"/>
      <c r="F109" s="210"/>
    </row>
    <row r="110" spans="2:6" x14ac:dyDescent="0.2">
      <c r="B110" s="210"/>
      <c r="C110" s="210"/>
      <c r="D110" s="210"/>
      <c r="E110" s="210"/>
      <c r="F110" s="210"/>
    </row>
    <row r="111" spans="2:6" x14ac:dyDescent="0.2">
      <c r="B111" s="210"/>
      <c r="C111" s="210"/>
      <c r="D111" s="210"/>
      <c r="E111" s="210"/>
      <c r="F111" s="210"/>
    </row>
    <row r="112" spans="2:6" x14ac:dyDescent="0.2">
      <c r="B112" s="210"/>
      <c r="C112" s="210"/>
      <c r="D112" s="210"/>
      <c r="E112" s="210"/>
      <c r="F112" s="210"/>
    </row>
    <row r="113" spans="2:6" x14ac:dyDescent="0.2">
      <c r="B113" s="210"/>
      <c r="C113" s="210"/>
      <c r="D113" s="210"/>
      <c r="E113" s="210"/>
      <c r="F113" s="210"/>
    </row>
    <row r="114" spans="2:6" x14ac:dyDescent="0.2">
      <c r="B114" s="210"/>
      <c r="C114" s="210"/>
      <c r="D114" s="210"/>
      <c r="E114" s="210"/>
      <c r="F114" s="210"/>
    </row>
    <row r="115" spans="2:6" x14ac:dyDescent="0.2">
      <c r="B115" s="210"/>
      <c r="C115" s="210"/>
      <c r="D115" s="210"/>
      <c r="E115" s="210"/>
      <c r="F115" s="210"/>
    </row>
    <row r="116" spans="2:6" x14ac:dyDescent="0.2">
      <c r="B116" s="210"/>
      <c r="C116" s="210"/>
      <c r="D116" s="210"/>
      <c r="E116" s="210"/>
      <c r="F116" s="210"/>
    </row>
    <row r="117" spans="2:6" x14ac:dyDescent="0.2">
      <c r="B117" s="210"/>
      <c r="C117" s="210"/>
      <c r="D117" s="210"/>
      <c r="E117" s="210"/>
      <c r="F117" s="210"/>
    </row>
    <row r="118" spans="2:6" x14ac:dyDescent="0.2">
      <c r="B118" s="210"/>
      <c r="C118" s="210"/>
      <c r="D118" s="210"/>
      <c r="E118" s="210"/>
      <c r="F118" s="210"/>
    </row>
    <row r="119" spans="2:6" x14ac:dyDescent="0.2">
      <c r="B119" s="210"/>
      <c r="C119" s="210"/>
      <c r="D119" s="210"/>
      <c r="E119" s="210"/>
      <c r="F119" s="210"/>
    </row>
    <row r="120" spans="2:6" x14ac:dyDescent="0.2">
      <c r="B120" s="210"/>
      <c r="C120" s="210"/>
      <c r="D120" s="210"/>
      <c r="E120" s="210"/>
      <c r="F120" s="210"/>
    </row>
    <row r="121" spans="2:6" x14ac:dyDescent="0.2">
      <c r="B121" s="210"/>
      <c r="C121" s="210"/>
      <c r="D121" s="210"/>
      <c r="E121" s="210"/>
      <c r="F121" s="210"/>
    </row>
    <row r="122" spans="2:6" x14ac:dyDescent="0.2">
      <c r="B122" s="210"/>
      <c r="C122" s="210"/>
      <c r="D122" s="210"/>
      <c r="E122" s="210"/>
      <c r="F122" s="210"/>
    </row>
    <row r="123" spans="2:6" x14ac:dyDescent="0.2">
      <c r="B123" s="210"/>
      <c r="C123" s="210"/>
      <c r="D123" s="210"/>
      <c r="E123" s="210"/>
      <c r="F123" s="210"/>
    </row>
    <row r="124" spans="2:6" x14ac:dyDescent="0.2">
      <c r="B124" s="210"/>
      <c r="C124" s="210"/>
      <c r="D124" s="210"/>
      <c r="E124" s="210"/>
      <c r="F124" s="210"/>
    </row>
    <row r="125" spans="2:6" x14ac:dyDescent="0.2">
      <c r="B125" s="210"/>
      <c r="C125" s="210"/>
      <c r="D125" s="210"/>
      <c r="E125" s="210"/>
      <c r="F125" s="210"/>
    </row>
    <row r="126" spans="2:6" x14ac:dyDescent="0.2">
      <c r="B126" s="210"/>
      <c r="C126" s="210"/>
      <c r="D126" s="210"/>
      <c r="E126" s="210"/>
      <c r="F126" s="210"/>
    </row>
    <row r="127" spans="2:6" x14ac:dyDescent="0.2">
      <c r="B127" s="210"/>
      <c r="C127" s="210"/>
      <c r="D127" s="210"/>
      <c r="E127" s="210"/>
      <c r="F127" s="210"/>
    </row>
    <row r="128" spans="2:6" x14ac:dyDescent="0.2">
      <c r="B128" s="210"/>
      <c r="C128" s="210"/>
      <c r="D128" s="210"/>
      <c r="E128" s="210"/>
      <c r="F128" s="210"/>
    </row>
    <row r="129" spans="2:6" x14ac:dyDescent="0.2">
      <c r="B129" s="210"/>
      <c r="C129" s="210"/>
      <c r="D129" s="210"/>
      <c r="E129" s="210"/>
      <c r="F129" s="210"/>
    </row>
    <row r="130" spans="2:6" x14ac:dyDescent="0.2">
      <c r="B130" s="210"/>
      <c r="C130" s="210"/>
      <c r="D130" s="210"/>
      <c r="E130" s="210"/>
      <c r="F130" s="210"/>
    </row>
    <row r="131" spans="2:6" x14ac:dyDescent="0.2">
      <c r="B131" s="210"/>
      <c r="C131" s="210"/>
      <c r="D131" s="210"/>
      <c r="E131" s="210"/>
      <c r="F131" s="210"/>
    </row>
    <row r="132" spans="2:6" x14ac:dyDescent="0.2">
      <c r="B132" s="210"/>
      <c r="C132" s="210"/>
      <c r="D132" s="210"/>
      <c r="E132" s="210"/>
      <c r="F132" s="210"/>
    </row>
    <row r="133" spans="2:6" x14ac:dyDescent="0.2">
      <c r="B133" s="210"/>
      <c r="C133" s="210"/>
      <c r="D133" s="210"/>
      <c r="E133" s="210"/>
      <c r="F133" s="210"/>
    </row>
    <row r="134" spans="2:6" x14ac:dyDescent="0.2">
      <c r="B134" s="210"/>
      <c r="C134" s="210"/>
      <c r="D134" s="210"/>
      <c r="E134" s="210"/>
      <c r="F134" s="210"/>
    </row>
    <row r="135" spans="2:6" x14ac:dyDescent="0.2">
      <c r="B135" s="210"/>
      <c r="C135" s="210"/>
      <c r="D135" s="210"/>
      <c r="E135" s="210"/>
      <c r="F135" s="210"/>
    </row>
    <row r="136" spans="2:6" x14ac:dyDescent="0.2">
      <c r="B136" s="210"/>
      <c r="C136" s="210"/>
      <c r="D136" s="210"/>
      <c r="E136" s="210"/>
      <c r="F136" s="210"/>
    </row>
    <row r="137" spans="2:6" x14ac:dyDescent="0.2">
      <c r="B137" s="210"/>
      <c r="C137" s="210"/>
      <c r="D137" s="210"/>
      <c r="E137" s="210"/>
      <c r="F137" s="210"/>
    </row>
    <row r="138" spans="2:6" x14ac:dyDescent="0.2">
      <c r="B138" s="210"/>
      <c r="C138" s="210"/>
      <c r="D138" s="210"/>
      <c r="E138" s="210"/>
      <c r="F138" s="210"/>
    </row>
    <row r="139" spans="2:6" x14ac:dyDescent="0.2">
      <c r="B139" s="210"/>
      <c r="C139" s="210"/>
      <c r="D139" s="210"/>
      <c r="E139" s="210"/>
      <c r="F139" s="210"/>
    </row>
    <row r="140" spans="2:6" x14ac:dyDescent="0.2">
      <c r="B140" s="210"/>
      <c r="C140" s="210"/>
      <c r="D140" s="210"/>
      <c r="E140" s="210"/>
      <c r="F140" s="210"/>
    </row>
    <row r="141" spans="2:6" x14ac:dyDescent="0.2">
      <c r="B141" s="210"/>
      <c r="C141" s="210"/>
      <c r="D141" s="210"/>
      <c r="E141" s="210"/>
      <c r="F141" s="210"/>
    </row>
    <row r="142" spans="2:6" x14ac:dyDescent="0.2">
      <c r="B142" s="210"/>
      <c r="C142" s="210"/>
      <c r="D142" s="210"/>
      <c r="E142" s="210"/>
      <c r="F142" s="210"/>
    </row>
    <row r="143" spans="2:6" x14ac:dyDescent="0.2">
      <c r="B143" s="210"/>
      <c r="C143" s="210"/>
      <c r="D143" s="210"/>
      <c r="E143" s="210"/>
      <c r="F143" s="210"/>
    </row>
    <row r="144" spans="2:6" x14ac:dyDescent="0.2">
      <c r="B144" s="210"/>
      <c r="C144" s="210"/>
      <c r="D144" s="210"/>
      <c r="E144" s="210"/>
      <c r="F144" s="210"/>
    </row>
    <row r="145" spans="2:6" x14ac:dyDescent="0.2">
      <c r="B145" s="210"/>
      <c r="C145" s="210"/>
      <c r="D145" s="210"/>
      <c r="E145" s="210"/>
      <c r="F145" s="210"/>
    </row>
    <row r="146" spans="2:6" x14ac:dyDescent="0.2">
      <c r="B146" s="210"/>
      <c r="C146" s="210"/>
      <c r="D146" s="210"/>
      <c r="E146" s="210"/>
      <c r="F146" s="210"/>
    </row>
    <row r="147" spans="2:6" x14ac:dyDescent="0.2">
      <c r="B147" s="210"/>
      <c r="C147" s="210"/>
      <c r="D147" s="210"/>
      <c r="E147" s="210"/>
      <c r="F147" s="210"/>
    </row>
    <row r="148" spans="2:6" x14ac:dyDescent="0.2">
      <c r="B148" s="210"/>
      <c r="C148" s="210"/>
      <c r="D148" s="210"/>
      <c r="E148" s="210"/>
      <c r="F148" s="210"/>
    </row>
    <row r="149" spans="2:6" x14ac:dyDescent="0.2">
      <c r="B149" s="210"/>
      <c r="C149" s="210"/>
      <c r="D149" s="210"/>
      <c r="E149" s="210"/>
      <c r="F149" s="210"/>
    </row>
    <row r="150" spans="2:6" x14ac:dyDescent="0.2">
      <c r="B150" s="210"/>
      <c r="C150" s="210"/>
      <c r="D150" s="210"/>
      <c r="E150" s="210"/>
      <c r="F150" s="210"/>
    </row>
    <row r="151" spans="2:6" x14ac:dyDescent="0.2">
      <c r="B151" s="210"/>
      <c r="C151" s="210"/>
      <c r="D151" s="210"/>
      <c r="E151" s="210"/>
      <c r="F151" s="210"/>
    </row>
    <row r="152" spans="2:6" x14ac:dyDescent="0.2">
      <c r="B152" s="210"/>
      <c r="C152" s="210"/>
      <c r="D152" s="210"/>
      <c r="E152" s="210"/>
      <c r="F152" s="210"/>
    </row>
    <row r="153" spans="2:6" x14ac:dyDescent="0.2">
      <c r="B153" s="210"/>
      <c r="C153" s="210"/>
      <c r="D153" s="210"/>
      <c r="E153" s="210"/>
      <c r="F153" s="210"/>
    </row>
    <row r="154" spans="2:6" x14ac:dyDescent="0.2">
      <c r="B154" s="210"/>
      <c r="C154" s="210"/>
      <c r="D154" s="210"/>
      <c r="E154" s="210"/>
      <c r="F154" s="210"/>
    </row>
    <row r="155" spans="2:6" x14ac:dyDescent="0.2">
      <c r="B155" s="210"/>
      <c r="C155" s="210"/>
      <c r="D155" s="210"/>
      <c r="E155" s="210"/>
      <c r="F155" s="210"/>
    </row>
    <row r="156" spans="2:6" x14ac:dyDescent="0.2">
      <c r="B156" s="210"/>
      <c r="C156" s="210"/>
      <c r="D156" s="210"/>
      <c r="E156" s="210"/>
      <c r="F156" s="210"/>
    </row>
    <row r="157" spans="2:6" x14ac:dyDescent="0.2">
      <c r="B157" s="210"/>
      <c r="C157" s="210"/>
      <c r="D157" s="210"/>
      <c r="E157" s="210"/>
      <c r="F157" s="210"/>
    </row>
    <row r="158" spans="2:6" x14ac:dyDescent="0.2">
      <c r="B158" s="210"/>
      <c r="C158" s="210"/>
      <c r="D158" s="210"/>
      <c r="E158" s="210"/>
      <c r="F158" s="210"/>
    </row>
    <row r="159" spans="2:6" x14ac:dyDescent="0.2">
      <c r="B159" s="210"/>
      <c r="C159" s="210"/>
      <c r="D159" s="210"/>
      <c r="E159" s="210"/>
      <c r="F159" s="210"/>
    </row>
    <row r="160" spans="2:6" x14ac:dyDescent="0.2">
      <c r="B160" s="210"/>
      <c r="C160" s="210"/>
      <c r="D160" s="210"/>
      <c r="E160" s="210"/>
      <c r="F160" s="210"/>
    </row>
    <row r="161" spans="2:6" x14ac:dyDescent="0.2">
      <c r="B161" s="210"/>
      <c r="C161" s="210"/>
      <c r="D161" s="210"/>
      <c r="E161" s="210"/>
      <c r="F161" s="210"/>
    </row>
    <row r="162" spans="2:6" x14ac:dyDescent="0.2">
      <c r="B162" s="210"/>
      <c r="C162" s="210"/>
      <c r="D162" s="210"/>
      <c r="E162" s="210"/>
      <c r="F162" s="210"/>
    </row>
    <row r="163" spans="2:6" x14ac:dyDescent="0.2">
      <c r="B163" s="210"/>
      <c r="C163" s="210"/>
      <c r="D163" s="210"/>
      <c r="E163" s="210"/>
      <c r="F163" s="210"/>
    </row>
    <row r="164" spans="2:6" x14ac:dyDescent="0.2">
      <c r="B164" s="210"/>
      <c r="C164" s="210"/>
      <c r="D164" s="210"/>
      <c r="E164" s="210"/>
      <c r="F164" s="210"/>
    </row>
    <row r="165" spans="2:6" x14ac:dyDescent="0.2">
      <c r="B165" s="210"/>
      <c r="C165" s="210"/>
      <c r="D165" s="210"/>
      <c r="E165" s="210"/>
      <c r="F165" s="210"/>
    </row>
    <row r="166" spans="2:6" x14ac:dyDescent="0.2">
      <c r="B166" s="210"/>
      <c r="C166" s="210"/>
      <c r="D166" s="210"/>
      <c r="E166" s="210"/>
      <c r="F166" s="210"/>
    </row>
    <row r="167" spans="2:6" x14ac:dyDescent="0.2">
      <c r="B167" s="210"/>
      <c r="C167" s="210"/>
      <c r="D167" s="210"/>
      <c r="E167" s="210"/>
      <c r="F167" s="210"/>
    </row>
    <row r="168" spans="2:6" x14ac:dyDescent="0.2">
      <c r="B168" s="210"/>
      <c r="C168" s="210"/>
      <c r="D168" s="210"/>
      <c r="E168" s="210"/>
      <c r="F168" s="210"/>
    </row>
    <row r="169" spans="2:6" x14ac:dyDescent="0.2">
      <c r="B169" s="210"/>
      <c r="C169" s="210"/>
      <c r="D169" s="210"/>
      <c r="E169" s="210"/>
      <c r="F169" s="210"/>
    </row>
    <row r="170" spans="2:6" x14ac:dyDescent="0.2">
      <c r="B170" s="210"/>
      <c r="C170" s="210"/>
      <c r="D170" s="210"/>
      <c r="E170" s="210"/>
      <c r="F170" s="210"/>
    </row>
    <row r="171" spans="2:6" x14ac:dyDescent="0.2">
      <c r="B171" s="210"/>
      <c r="C171" s="210"/>
      <c r="D171" s="210"/>
      <c r="E171" s="210"/>
      <c r="F171" s="210"/>
    </row>
    <row r="172" spans="2:6" x14ac:dyDescent="0.2">
      <c r="B172" s="210"/>
      <c r="C172" s="210"/>
      <c r="D172" s="210"/>
      <c r="E172" s="210"/>
      <c r="F172" s="210"/>
    </row>
    <row r="173" spans="2:6" x14ac:dyDescent="0.2">
      <c r="B173" s="210"/>
      <c r="C173" s="210"/>
      <c r="D173" s="210"/>
      <c r="E173" s="210"/>
      <c r="F173" s="210"/>
    </row>
    <row r="174" spans="2:6" x14ac:dyDescent="0.2">
      <c r="B174" s="210"/>
      <c r="C174" s="210"/>
      <c r="D174" s="210"/>
      <c r="E174" s="210"/>
      <c r="F174" s="210"/>
    </row>
    <row r="175" spans="2:6" x14ac:dyDescent="0.2">
      <c r="B175" s="210"/>
      <c r="C175" s="210"/>
      <c r="D175" s="210"/>
      <c r="E175" s="210"/>
      <c r="F175" s="210"/>
    </row>
    <row r="176" spans="2:6" x14ac:dyDescent="0.2">
      <c r="B176" s="210"/>
      <c r="C176" s="210"/>
      <c r="D176" s="210"/>
      <c r="E176" s="210"/>
      <c r="F176" s="210"/>
    </row>
  </sheetData>
  <mergeCells count="6">
    <mergeCell ref="B7:D7"/>
    <mergeCell ref="B2:D2"/>
    <mergeCell ref="B3:D3"/>
    <mergeCell ref="B4:D4"/>
    <mergeCell ref="B5:D5"/>
    <mergeCell ref="B6:D6"/>
  </mergeCells>
  <pageMargins left="0.75" right="0.75" top="1" bottom="1" header="0.5" footer="0.5"/>
  <pageSetup paperSize="9" scale="20" orientation="landscape" r:id="rId1"/>
  <headerFooter alignWithMargins="0">
    <oddFooter>&amp;L&amp;T / &amp;D&amp;C&amp;P of &amp;N&amp;R&amp;F</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pageSetUpPr autoPageBreaks="0" fitToPage="1"/>
  </sheetPr>
  <dimension ref="B1:AT104"/>
  <sheetViews>
    <sheetView zoomScale="80" zoomScaleNormal="80" zoomScaleSheetLayoutView="85" workbookViewId="0">
      <pane xSplit="3" ySplit="5" topLeftCell="D6" activePane="bottomRight" state="frozen"/>
      <selection activeCell="C18" sqref="C18"/>
      <selection pane="topRight" activeCell="C18" sqref="C18"/>
      <selection pane="bottomLeft" activeCell="C18" sqref="C18"/>
      <selection pane="bottomRight"/>
    </sheetView>
  </sheetViews>
  <sheetFormatPr defaultRowHeight="12.75" x14ac:dyDescent="0.2"/>
  <cols>
    <col min="1" max="1" width="1.85546875" style="210" customWidth="1"/>
    <col min="2" max="2" width="41.140625" style="210" customWidth="1"/>
    <col min="3" max="3" width="39.5703125" style="210" customWidth="1"/>
    <col min="4" max="4" width="14.7109375" style="210" customWidth="1"/>
    <col min="5" max="5" width="11.28515625" style="210" customWidth="1"/>
    <col min="6" max="6" width="12.42578125" style="210" customWidth="1"/>
    <col min="7" max="7" width="13.5703125" style="210" customWidth="1"/>
    <col min="8" max="8" width="12.42578125" style="210" customWidth="1"/>
    <col min="9" max="9" width="11.28515625" style="210" customWidth="1"/>
    <col min="10" max="10" width="11" style="210" customWidth="1"/>
    <col min="11" max="11" width="9.140625" style="210" customWidth="1"/>
    <col min="12" max="12" width="9.7109375" style="210" customWidth="1"/>
    <col min="13" max="13" width="13.28515625" style="210" customWidth="1"/>
    <col min="14" max="14" width="10.5703125" style="210" customWidth="1"/>
    <col min="15" max="16" width="11" style="210" customWidth="1"/>
    <col min="17" max="17" width="1.85546875" style="210" customWidth="1"/>
    <col min="18" max="18" width="13.7109375" style="210" customWidth="1"/>
    <col min="19" max="22" width="11.28515625" style="210" customWidth="1"/>
    <col min="23" max="23" width="10" style="210" customWidth="1"/>
    <col min="24" max="26" width="9.85546875" style="210" customWidth="1"/>
    <col min="27" max="27" width="12.42578125" style="210" customWidth="1"/>
    <col min="28" max="30" width="10.5703125" style="210" customWidth="1"/>
    <col min="31" max="32" width="1.85546875" style="210" customWidth="1"/>
    <col min="33" max="45" width="12.140625" style="210" customWidth="1"/>
    <col min="46" max="46" width="18.28515625" style="210" customWidth="1"/>
    <col min="47" max="16384" width="9.140625" style="210"/>
  </cols>
  <sheetData>
    <row r="1" spans="2:46" ht="15" x14ac:dyDescent="0.25">
      <c r="B1" s="166" t="str">
        <f>"Tariff Approval - "&amp;'Model update'!$C$3</f>
        <v>Tariff Approval - United Energy</v>
      </c>
      <c r="C1" s="166"/>
      <c r="D1" s="514"/>
      <c r="F1" s="514"/>
    </row>
    <row r="2" spans="2:46" ht="13.5" thickBot="1" x14ac:dyDescent="0.25"/>
    <row r="3" spans="2:46" x14ac:dyDescent="0.2">
      <c r="B3" s="250" t="str">
        <f>"COMPARISON OF "&amp;'Model update'!$C$5&amp;" PROPOSED AND TSS INDICATIVE DISTRIBUTION TARIFFS"</f>
        <v>COMPARISON OF 2019 PROPOSED AND TSS INDICATIVE DISTRIBUTION TARIFFS</v>
      </c>
      <c r="C3" s="250"/>
      <c r="AT3" s="793" t="s">
        <v>630</v>
      </c>
    </row>
    <row r="4" spans="2:46" ht="13.5" thickBot="1" x14ac:dyDescent="0.25">
      <c r="D4" s="252" t="str">
        <f>"Proposed NUOS Tariffs (Pt) for "&amp;'Model update'!$C$5</f>
        <v>Proposed NUOS Tariffs (Pt) for 2019</v>
      </c>
      <c r="E4" s="253"/>
      <c r="F4" s="253"/>
      <c r="G4" s="196"/>
      <c r="H4" s="196"/>
      <c r="M4" s="794"/>
      <c r="R4" s="252" t="str">
        <f>"TSS indicative tariffs for "&amp;'Model update'!$C$5</f>
        <v>TSS indicative tariffs for 2019</v>
      </c>
      <c r="S4" s="253"/>
      <c r="T4" s="253"/>
      <c r="U4" s="196"/>
      <c r="V4" s="196"/>
      <c r="AG4" s="254" t="str">
        <f>"Percentage difference between proposed "&amp;'Model update'!$C$5&amp;" tariffs and indicative TSS tariffs"</f>
        <v>Percentage difference between proposed 2019 tariffs and indicative TSS tariffs</v>
      </c>
      <c r="AH4" s="255"/>
      <c r="AI4" s="255"/>
      <c r="AJ4" s="255"/>
      <c r="AK4" s="255"/>
      <c r="AL4" s="255"/>
      <c r="AM4" s="255"/>
      <c r="AT4" s="825">
        <v>0.15</v>
      </c>
    </row>
    <row r="5" spans="2:46" ht="25.5" x14ac:dyDescent="0.2">
      <c r="B5" s="256" t="s">
        <v>631</v>
      </c>
      <c r="C5" s="795" t="s">
        <v>632</v>
      </c>
      <c r="D5" s="796" t="str">
        <f>Prop2019DistTar!D5</f>
        <v>PropTar
Fixed</v>
      </c>
      <c r="E5" s="797" t="str">
        <f>Prop2019DistTar!E5</f>
        <v>PropTar
PkBlk1</v>
      </c>
      <c r="F5" s="797" t="str">
        <f>Prop2019DistTar!F5</f>
        <v>PropTar
PkBlk2</v>
      </c>
      <c r="G5" s="797" t="str">
        <f>Prop2019DistTar!G5</f>
        <v>PropTar
PkBlk3</v>
      </c>
      <c r="H5" s="797" t="str">
        <f>Prop2019DistTar!H5</f>
        <v>PropTar
PkBlk4</v>
      </c>
      <c r="I5" s="797" t="str">
        <f>Prop2019DistTar!I5</f>
        <v>PropTar
OPkBlk1</v>
      </c>
      <c r="J5" s="797" t="str">
        <f>Prop2019DistTar!J5</f>
        <v>PropTar
OPkBlk2</v>
      </c>
      <c r="K5" s="797" t="str">
        <f>Prop2019DistTar!K5</f>
        <v>PropTar
OPkBlk3</v>
      </c>
      <c r="L5" s="797" t="str">
        <f>Prop2019DistTar!L5</f>
        <v>PropTar
OPkBlk4</v>
      </c>
      <c r="M5" s="797" t="str">
        <f>Prop2019DistTar!M5</f>
        <v>PropTar
DemBlk1</v>
      </c>
      <c r="N5" s="797" t="str">
        <f>Prop2019DistTar!N5</f>
        <v>PropTar
DemBlk2</v>
      </c>
      <c r="O5" s="797" t="str">
        <f>Prop2019DistTar!O5</f>
        <v>PropTar
DemBlk3</v>
      </c>
      <c r="P5" s="798" t="str">
        <f>Prop2019DistTar!P5</f>
        <v>PropTar
DemBlk4</v>
      </c>
      <c r="Q5" s="799"/>
      <c r="R5" s="796" t="s">
        <v>633</v>
      </c>
      <c r="S5" s="797" t="s">
        <v>634</v>
      </c>
      <c r="T5" s="797" t="s">
        <v>635</v>
      </c>
      <c r="U5" s="797" t="s">
        <v>636</v>
      </c>
      <c r="V5" s="797" t="s">
        <v>637</v>
      </c>
      <c r="W5" s="797" t="s">
        <v>638</v>
      </c>
      <c r="X5" s="797" t="s">
        <v>639</v>
      </c>
      <c r="Y5" s="797" t="s">
        <v>640</v>
      </c>
      <c r="Z5" s="797" t="s">
        <v>641</v>
      </c>
      <c r="AA5" s="797" t="s">
        <v>642</v>
      </c>
      <c r="AB5" s="797" t="s">
        <v>643</v>
      </c>
      <c r="AC5" s="797" t="s">
        <v>644</v>
      </c>
      <c r="AD5" s="798" t="s">
        <v>645</v>
      </c>
      <c r="AE5" s="799"/>
      <c r="AF5" s="799"/>
      <c r="AG5" s="796" t="s">
        <v>646</v>
      </c>
      <c r="AH5" s="797" t="s">
        <v>647</v>
      </c>
      <c r="AI5" s="797" t="s">
        <v>648</v>
      </c>
      <c r="AJ5" s="797" t="s">
        <v>649</v>
      </c>
      <c r="AK5" s="797" t="s">
        <v>650</v>
      </c>
      <c r="AL5" s="797" t="s">
        <v>651</v>
      </c>
      <c r="AM5" s="797" t="s">
        <v>652</v>
      </c>
      <c r="AN5" s="797" t="s">
        <v>653</v>
      </c>
      <c r="AO5" s="797" t="s">
        <v>654</v>
      </c>
      <c r="AP5" s="797" t="s">
        <v>655</v>
      </c>
      <c r="AQ5" s="797" t="s">
        <v>656</v>
      </c>
      <c r="AR5" s="797" t="s">
        <v>657</v>
      </c>
      <c r="AS5" s="798" t="s">
        <v>658</v>
      </c>
      <c r="AT5" s="800" t="s">
        <v>659</v>
      </c>
    </row>
    <row r="6" spans="2:46" x14ac:dyDescent="0.2">
      <c r="B6" s="801" t="s">
        <v>660</v>
      </c>
      <c r="C6" s="802" t="str">
        <f>Prop2019DistTar!B6</f>
        <v>Low voltage small 1 rate</v>
      </c>
      <c r="D6" s="637">
        <f>SUM(Prop2019DistTar!D6,Prop2019TransTar!D6)</f>
        <v>7.09</v>
      </c>
      <c r="E6" s="638">
        <f>SUM(Prop2019DistTar!E6,Prop2019TransTar!E6,Prop2019JSTar!E6)</f>
        <v>9.36</v>
      </c>
      <c r="F6" s="638">
        <f>SUM(Prop2019DistTar!F6,Prop2019TransTar!F6,Prop2019JSTar!F6)</f>
        <v>0</v>
      </c>
      <c r="G6" s="638">
        <f>SUM(Prop2019DistTar!G6,Prop2019TransTar!G6,Prop2019JSTar!G6)</f>
        <v>0</v>
      </c>
      <c r="H6" s="638">
        <f>SUM(Prop2019DistTar!H6,Prop2019TransTar!H6,Prop2019JSTar!H6)</f>
        <v>7.83</v>
      </c>
      <c r="I6" s="638">
        <f>SUM(Prop2019DistTar!I6,Prop2019TransTar!I6,Prop2019JSTar!I6)</f>
        <v>0</v>
      </c>
      <c r="J6" s="638">
        <f>SUM(Prop2019DistTar!J6,Prop2019TransTar!J6,Prop2019JSTar!J6)</f>
        <v>0</v>
      </c>
      <c r="K6" s="638">
        <f>SUM(Prop2019DistTar!K6,Prop2019TransTar!K6,Prop2019JSTar!K6)</f>
        <v>0</v>
      </c>
      <c r="L6" s="638">
        <f>SUM(Prop2019DistTar!L6,Prop2019TransTar!L6,Prop2019JSTar!L6)</f>
        <v>0</v>
      </c>
      <c r="M6" s="638">
        <f>SUM(Prop2019DistTar!M6,Prop2019TransTar!M6,Prop2019JSTar!M6)</f>
        <v>0</v>
      </c>
      <c r="N6" s="638">
        <f>SUM(Prop2019DistTar!N6,Prop2019TransTar!N6,Prop2019JSTar!N6)</f>
        <v>0</v>
      </c>
      <c r="O6" s="638">
        <f>SUM(Prop2019DistTar!O6,Prop2019TransTar!O6,Prop2019JSTar!O6)</f>
        <v>0</v>
      </c>
      <c r="P6" s="638">
        <f>SUM(Prop2019DistTar!P6,Prop2019TransTar!P6,Prop2019JSTar!P6)</f>
        <v>0</v>
      </c>
      <c r="R6" s="803">
        <v>7.2469999999999999</v>
      </c>
      <c r="S6" s="700">
        <v>10.726000000000001</v>
      </c>
      <c r="T6" s="700"/>
      <c r="U6" s="700"/>
      <c r="V6" s="700">
        <v>7.2480000000000002</v>
      </c>
      <c r="W6" s="700"/>
      <c r="X6" s="700"/>
      <c r="Y6" s="700"/>
      <c r="Z6" s="700"/>
      <c r="AA6" s="804"/>
      <c r="AB6" s="804"/>
      <c r="AC6" s="804"/>
      <c r="AD6" s="804"/>
      <c r="AG6" s="805">
        <f t="shared" ref="AG6:AS25" si="0">IFERROR(D6/R6-1,0)</f>
        <v>-2.1664136884227969E-2</v>
      </c>
      <c r="AH6" s="806">
        <f t="shared" si="0"/>
        <v>-0.12735409285847488</v>
      </c>
      <c r="AI6" s="806">
        <f t="shared" si="0"/>
        <v>0</v>
      </c>
      <c r="AJ6" s="806">
        <f t="shared" si="0"/>
        <v>0</v>
      </c>
      <c r="AK6" s="806">
        <f t="shared" si="0"/>
        <v>8.0298013245033051E-2</v>
      </c>
      <c r="AL6" s="806">
        <f t="shared" si="0"/>
        <v>0</v>
      </c>
      <c r="AM6" s="806">
        <f t="shared" si="0"/>
        <v>0</v>
      </c>
      <c r="AN6" s="806">
        <f t="shared" si="0"/>
        <v>0</v>
      </c>
      <c r="AO6" s="806">
        <f t="shared" si="0"/>
        <v>0</v>
      </c>
      <c r="AP6" s="806">
        <f t="shared" si="0"/>
        <v>0</v>
      </c>
      <c r="AQ6" s="806">
        <f t="shared" si="0"/>
        <v>0</v>
      </c>
      <c r="AR6" s="806">
        <f t="shared" si="0"/>
        <v>0</v>
      </c>
      <c r="AS6" s="806">
        <f t="shared" si="0"/>
        <v>0</v>
      </c>
      <c r="AT6" s="447" t="str">
        <f t="array" ref="AT6">IF(MAX(ABS(AG6:AS6))&gt;$AT$4,"EXPLAIN","")</f>
        <v/>
      </c>
    </row>
    <row r="7" spans="2:46" x14ac:dyDescent="0.2">
      <c r="B7" s="801" t="s">
        <v>685</v>
      </c>
      <c r="C7" s="802" t="str">
        <f>Prop2019DistTar!B7</f>
        <v>Winter economy tariff</v>
      </c>
      <c r="D7" s="807">
        <f>SUM(Prop2019DistTar!D7,Prop2019TransTar!D7)</f>
        <v>9.1300000000000008</v>
      </c>
      <c r="E7" s="642">
        <f>SUM(Prop2019DistTar!E7,Prop2019TransTar!E7,Prop2019JSTar!E7)</f>
        <v>9.33</v>
      </c>
      <c r="F7" s="642">
        <f>SUM(Prop2019DistTar!F7,Prop2019TransTar!F7,Prop2019JSTar!F7)</f>
        <v>0</v>
      </c>
      <c r="G7" s="642">
        <f>SUM(Prop2019DistTar!G7,Prop2019TransTar!G7,Prop2019JSTar!G7)</f>
        <v>0</v>
      </c>
      <c r="H7" s="642">
        <f>SUM(Prop2019DistTar!H7,Prop2019TransTar!H7,Prop2019JSTar!H7)</f>
        <v>7.02</v>
      </c>
      <c r="I7" s="642">
        <f>SUM(Prop2019DistTar!I7,Prop2019TransTar!I7,Prop2019JSTar!I7)</f>
        <v>3.55</v>
      </c>
      <c r="J7" s="642">
        <f>SUM(Prop2019DistTar!J7,Prop2019TransTar!J7,Prop2019JSTar!J7)</f>
        <v>0</v>
      </c>
      <c r="K7" s="642">
        <f>SUM(Prop2019DistTar!K7,Prop2019TransTar!K7,Prop2019JSTar!K7)</f>
        <v>0</v>
      </c>
      <c r="L7" s="642">
        <f>SUM(Prop2019DistTar!L7,Prop2019TransTar!L7,Prop2019JSTar!L7)</f>
        <v>0</v>
      </c>
      <c r="M7" s="642">
        <f>SUM(Prop2019DistTar!M7,Prop2019TransTar!M7,Prop2019JSTar!M7)</f>
        <v>0</v>
      </c>
      <c r="N7" s="642">
        <f>SUM(Prop2019DistTar!N7,Prop2019TransTar!N7,Prop2019JSTar!N7)</f>
        <v>0</v>
      </c>
      <c r="O7" s="642">
        <f>SUM(Prop2019DistTar!O7,Prop2019TransTar!O7,Prop2019JSTar!O7)</f>
        <v>0</v>
      </c>
      <c r="P7" s="642">
        <f>SUM(Prop2019DistTar!P7,Prop2019TransTar!P7,Prop2019JSTar!P7)</f>
        <v>0</v>
      </c>
      <c r="R7" s="808">
        <v>9.3330000000000002</v>
      </c>
      <c r="S7" s="702">
        <v>8.9629999999999992</v>
      </c>
      <c r="T7" s="702"/>
      <c r="U7" s="702"/>
      <c r="V7" s="702">
        <v>6.76</v>
      </c>
      <c r="W7" s="702">
        <v>3.5350000000000001</v>
      </c>
      <c r="X7" s="702"/>
      <c r="Y7" s="702"/>
      <c r="Z7" s="702"/>
      <c r="AA7" s="702"/>
      <c r="AB7" s="702"/>
      <c r="AC7" s="702"/>
      <c r="AD7" s="702"/>
      <c r="AG7" s="805">
        <f t="shared" si="0"/>
        <v>-2.1750776813457606E-2</v>
      </c>
      <c r="AH7" s="806">
        <f t="shared" si="0"/>
        <v>4.0946111792926621E-2</v>
      </c>
      <c r="AI7" s="806">
        <f t="shared" si="0"/>
        <v>0</v>
      </c>
      <c r="AJ7" s="806">
        <f t="shared" si="0"/>
        <v>0</v>
      </c>
      <c r="AK7" s="806">
        <f t="shared" si="0"/>
        <v>3.8461538461538325E-2</v>
      </c>
      <c r="AL7" s="806">
        <f t="shared" si="0"/>
        <v>4.2432814710040567E-3</v>
      </c>
      <c r="AM7" s="806">
        <f t="shared" si="0"/>
        <v>0</v>
      </c>
      <c r="AN7" s="806">
        <f t="shared" si="0"/>
        <v>0</v>
      </c>
      <c r="AO7" s="806">
        <f t="shared" si="0"/>
        <v>0</v>
      </c>
      <c r="AP7" s="806">
        <f t="shared" si="0"/>
        <v>0</v>
      </c>
      <c r="AQ7" s="806">
        <f t="shared" si="0"/>
        <v>0</v>
      </c>
      <c r="AR7" s="806">
        <f t="shared" si="0"/>
        <v>0</v>
      </c>
      <c r="AS7" s="806">
        <f t="shared" si="0"/>
        <v>0</v>
      </c>
      <c r="AT7" s="447" t="str">
        <f t="array" ref="AT7">IF(MAX(ABS(AG7:AS7))&gt;$AT$4,"EXPLAIN","")</f>
        <v/>
      </c>
    </row>
    <row r="8" spans="2:46" x14ac:dyDescent="0.2">
      <c r="B8" s="801" t="s">
        <v>686</v>
      </c>
      <c r="C8" s="802" t="str">
        <f>Prop2019DistTar!B8</f>
        <v>Reverse cycle airconditioning time of use</v>
      </c>
      <c r="D8" s="807">
        <f>SUM(Prop2019DistTar!D8,Prop2019TransTar!D8)</f>
        <v>0</v>
      </c>
      <c r="E8" s="642">
        <f>SUM(Prop2019DistTar!E8,Prop2019TransTar!E8,Prop2019JSTar!E8)</f>
        <v>0</v>
      </c>
      <c r="F8" s="642">
        <f>SUM(Prop2019DistTar!F8,Prop2019TransTar!F8,Prop2019JSTar!F8)</f>
        <v>0</v>
      </c>
      <c r="G8" s="642">
        <f>SUM(Prop2019DistTar!G8,Prop2019TransTar!G8,Prop2019JSTar!G8)</f>
        <v>0</v>
      </c>
      <c r="H8" s="642">
        <f>SUM(Prop2019DistTar!H8,Prop2019TransTar!H8,Prop2019JSTar!H8)</f>
        <v>0</v>
      </c>
      <c r="I8" s="642">
        <f>SUM(Prop2019DistTar!I8,Prop2019TransTar!I8,Prop2019JSTar!I8)</f>
        <v>0</v>
      </c>
      <c r="J8" s="642">
        <f>SUM(Prop2019DistTar!J8,Prop2019TransTar!J8,Prop2019JSTar!J8)</f>
        <v>0</v>
      </c>
      <c r="K8" s="642">
        <f>SUM(Prop2019DistTar!K8,Prop2019TransTar!K8,Prop2019JSTar!K8)</f>
        <v>0</v>
      </c>
      <c r="L8" s="642">
        <f>SUM(Prop2019DistTar!L8,Prop2019TransTar!L8,Prop2019JSTar!L8)</f>
        <v>0</v>
      </c>
      <c r="M8" s="642">
        <f>SUM(Prop2019DistTar!M8,Prop2019TransTar!M8,Prop2019JSTar!M8)</f>
        <v>0</v>
      </c>
      <c r="N8" s="642">
        <f>SUM(Prop2019DistTar!N8,Prop2019TransTar!N8,Prop2019JSTar!N8)</f>
        <v>0</v>
      </c>
      <c r="O8" s="642">
        <f>SUM(Prop2019DistTar!O8,Prop2019TransTar!O8,Prop2019JSTar!O8)</f>
        <v>0</v>
      </c>
      <c r="P8" s="642">
        <f>SUM(Prop2019DistTar!P8,Prop2019TransTar!P8,Prop2019JSTar!P8)</f>
        <v>0</v>
      </c>
      <c r="R8" s="808"/>
      <c r="S8" s="702"/>
      <c r="T8" s="702"/>
      <c r="U8" s="702"/>
      <c r="V8" s="702"/>
      <c r="W8" s="702"/>
      <c r="X8" s="702"/>
      <c r="Y8" s="702"/>
      <c r="Z8" s="702"/>
      <c r="AA8" s="702"/>
      <c r="AB8" s="702"/>
      <c r="AC8" s="702"/>
      <c r="AD8" s="702"/>
      <c r="AG8" s="805">
        <f t="shared" si="0"/>
        <v>0</v>
      </c>
      <c r="AH8" s="806">
        <f t="shared" si="0"/>
        <v>0</v>
      </c>
      <c r="AI8" s="806">
        <f t="shared" si="0"/>
        <v>0</v>
      </c>
      <c r="AJ8" s="806">
        <f t="shared" si="0"/>
        <v>0</v>
      </c>
      <c r="AK8" s="806">
        <f t="shared" si="0"/>
        <v>0</v>
      </c>
      <c r="AL8" s="806">
        <f t="shared" si="0"/>
        <v>0</v>
      </c>
      <c r="AM8" s="806">
        <f t="shared" si="0"/>
        <v>0</v>
      </c>
      <c r="AN8" s="806">
        <f t="shared" si="0"/>
        <v>0</v>
      </c>
      <c r="AO8" s="806">
        <f t="shared" si="0"/>
        <v>0</v>
      </c>
      <c r="AP8" s="806">
        <f t="shared" si="0"/>
        <v>0</v>
      </c>
      <c r="AQ8" s="806">
        <f t="shared" si="0"/>
        <v>0</v>
      </c>
      <c r="AR8" s="806">
        <f t="shared" si="0"/>
        <v>0</v>
      </c>
      <c r="AS8" s="806">
        <f t="shared" si="0"/>
        <v>0</v>
      </c>
      <c r="AT8" s="447" t="str">
        <f t="array" ref="AT8">IF(MAX(ABS(AG8:AS8))&gt;$AT$4,"EXPLAIN","")</f>
        <v/>
      </c>
    </row>
    <row r="9" spans="2:46" x14ac:dyDescent="0.2">
      <c r="B9" s="801" t="s">
        <v>687</v>
      </c>
      <c r="C9" s="802" t="str">
        <f>Prop2019DistTar!B9</f>
        <v>Low voltage small 2 rate</v>
      </c>
      <c r="D9" s="807">
        <f>SUM(Prop2019DistTar!D9,Prop2019TransTar!D9)</f>
        <v>14.48</v>
      </c>
      <c r="E9" s="642">
        <f>SUM(Prop2019DistTar!E9,Prop2019TransTar!E9,Prop2019JSTar!E9)</f>
        <v>0</v>
      </c>
      <c r="F9" s="642">
        <f>SUM(Prop2019DistTar!F9,Prop2019TransTar!F9,Prop2019JSTar!F9)</f>
        <v>0</v>
      </c>
      <c r="G9" s="642">
        <f>SUM(Prop2019DistTar!G9,Prop2019TransTar!G9,Prop2019JSTar!G9)</f>
        <v>14.58</v>
      </c>
      <c r="H9" s="642">
        <f>SUM(Prop2019DistTar!H9,Prop2019TransTar!H9,Prop2019JSTar!H9)</f>
        <v>0</v>
      </c>
      <c r="I9" s="642">
        <f>SUM(Prop2019DistTar!I9,Prop2019TransTar!I9,Prop2019JSTar!I9)</f>
        <v>0</v>
      </c>
      <c r="J9" s="642">
        <f>SUM(Prop2019DistTar!J9,Prop2019TransTar!J9,Prop2019JSTar!J9)</f>
        <v>11.2</v>
      </c>
      <c r="K9" s="642">
        <f>SUM(Prop2019DistTar!K9,Prop2019TransTar!K9,Prop2019JSTar!K9)</f>
        <v>1.98</v>
      </c>
      <c r="L9" s="642">
        <f>SUM(Prop2019DistTar!L9,Prop2019TransTar!L9,Prop2019JSTar!L9)</f>
        <v>0</v>
      </c>
      <c r="M9" s="642">
        <f>SUM(Prop2019DistTar!M9,Prop2019TransTar!M9,Prop2019JSTar!M9)</f>
        <v>0</v>
      </c>
      <c r="N9" s="642">
        <f>SUM(Prop2019DistTar!N9,Prop2019TransTar!N9,Prop2019JSTar!N9)</f>
        <v>0</v>
      </c>
      <c r="O9" s="642">
        <f>SUM(Prop2019DistTar!O9,Prop2019TransTar!O9,Prop2019JSTar!O9)</f>
        <v>0</v>
      </c>
      <c r="P9" s="642">
        <f>SUM(Prop2019DistTar!P9,Prop2019TransTar!P9,Prop2019JSTar!P9)</f>
        <v>0</v>
      </c>
      <c r="R9" s="808">
        <v>14.801</v>
      </c>
      <c r="S9" s="702"/>
      <c r="T9" s="702"/>
      <c r="U9" s="702">
        <v>13.629</v>
      </c>
      <c r="V9" s="702"/>
      <c r="W9" s="702"/>
      <c r="X9" s="702">
        <v>10.464</v>
      </c>
      <c r="Y9" s="702">
        <v>1.8420000000000001</v>
      </c>
      <c r="Z9" s="702"/>
      <c r="AA9" s="702"/>
      <c r="AB9" s="702"/>
      <c r="AC9" s="702"/>
      <c r="AD9" s="702"/>
      <c r="AG9" s="805">
        <f t="shared" si="0"/>
        <v>-2.1687723802445769E-2</v>
      </c>
      <c r="AH9" s="806">
        <f t="shared" si="0"/>
        <v>0</v>
      </c>
      <c r="AI9" s="806">
        <f t="shared" si="0"/>
        <v>0</v>
      </c>
      <c r="AJ9" s="806">
        <f t="shared" si="0"/>
        <v>6.9777679947171434E-2</v>
      </c>
      <c r="AK9" s="806">
        <f t="shared" si="0"/>
        <v>0</v>
      </c>
      <c r="AL9" s="806">
        <f t="shared" si="0"/>
        <v>0</v>
      </c>
      <c r="AM9" s="806">
        <f t="shared" si="0"/>
        <v>7.0336391437308743E-2</v>
      </c>
      <c r="AN9" s="806">
        <f t="shared" si="0"/>
        <v>7.4918566775244333E-2</v>
      </c>
      <c r="AO9" s="806">
        <f t="shared" si="0"/>
        <v>0</v>
      </c>
      <c r="AP9" s="806">
        <f t="shared" si="0"/>
        <v>0</v>
      </c>
      <c r="AQ9" s="806">
        <f t="shared" si="0"/>
        <v>0</v>
      </c>
      <c r="AR9" s="806">
        <f t="shared" si="0"/>
        <v>0</v>
      </c>
      <c r="AS9" s="806">
        <f t="shared" si="0"/>
        <v>0</v>
      </c>
      <c r="AT9" s="447" t="str">
        <f t="array" ref="AT9">IF(MAX(ABS(AG9:AS9))&gt;$AT$4,"EXPLAIN","")</f>
        <v/>
      </c>
    </row>
    <row r="10" spans="2:46" x14ac:dyDescent="0.2">
      <c r="B10" s="801" t="s">
        <v>688</v>
      </c>
      <c r="C10" s="802" t="str">
        <f>Prop2019DistTar!B10</f>
        <v>Dedicated circuit</v>
      </c>
      <c r="D10" s="807">
        <f>SUM(Prop2019DistTar!D10,Prop2019TransTar!D10)</f>
        <v>0</v>
      </c>
      <c r="E10" s="642">
        <f>SUM(Prop2019DistTar!E10,Prop2019TransTar!E10,Prop2019JSTar!E10)</f>
        <v>0</v>
      </c>
      <c r="F10" s="642">
        <f>SUM(Prop2019DistTar!F10,Prop2019TransTar!F10,Prop2019JSTar!F10)</f>
        <v>0</v>
      </c>
      <c r="G10" s="642">
        <f>SUM(Prop2019DistTar!G10,Prop2019TransTar!G10,Prop2019JSTar!G10)</f>
        <v>0</v>
      </c>
      <c r="H10" s="642">
        <f>SUM(Prop2019DistTar!H10,Prop2019TransTar!H10,Prop2019JSTar!H10)</f>
        <v>0</v>
      </c>
      <c r="I10" s="642">
        <f>SUM(Prop2019DistTar!I10,Prop2019TransTar!I10,Prop2019JSTar!I10)</f>
        <v>0</v>
      </c>
      <c r="J10" s="642">
        <f>SUM(Prop2019DistTar!J10,Prop2019TransTar!J10,Prop2019JSTar!J10)</f>
        <v>0</v>
      </c>
      <c r="K10" s="642">
        <f>SUM(Prop2019DistTar!K10,Prop2019TransTar!K10,Prop2019JSTar!K10)</f>
        <v>1.99</v>
      </c>
      <c r="L10" s="642">
        <f>SUM(Prop2019DistTar!L10,Prop2019TransTar!L10,Prop2019JSTar!L10)</f>
        <v>0</v>
      </c>
      <c r="M10" s="642">
        <f>SUM(Prop2019DistTar!M10,Prop2019TransTar!M10,Prop2019JSTar!M10)</f>
        <v>0</v>
      </c>
      <c r="N10" s="642">
        <f>SUM(Prop2019DistTar!N10,Prop2019TransTar!N10,Prop2019JSTar!N10)</f>
        <v>0</v>
      </c>
      <c r="O10" s="642">
        <f>SUM(Prop2019DistTar!O10,Prop2019TransTar!O10,Prop2019JSTar!O10)</f>
        <v>0</v>
      </c>
      <c r="P10" s="642">
        <f>SUM(Prop2019DistTar!P10,Prop2019TransTar!P10,Prop2019JSTar!P10)</f>
        <v>0</v>
      </c>
      <c r="R10" s="808"/>
      <c r="S10" s="702"/>
      <c r="T10" s="702"/>
      <c r="U10" s="702"/>
      <c r="V10" s="702"/>
      <c r="W10" s="702"/>
      <c r="X10" s="702"/>
      <c r="Y10" s="702">
        <v>2.0379999999999998</v>
      </c>
      <c r="Z10" s="702"/>
      <c r="AA10" s="702"/>
      <c r="AB10" s="702"/>
      <c r="AC10" s="702"/>
      <c r="AD10" s="702"/>
      <c r="AG10" s="805">
        <f t="shared" si="0"/>
        <v>0</v>
      </c>
      <c r="AH10" s="806">
        <f t="shared" si="0"/>
        <v>0</v>
      </c>
      <c r="AI10" s="806">
        <f t="shared" si="0"/>
        <v>0</v>
      </c>
      <c r="AJ10" s="806">
        <f t="shared" si="0"/>
        <v>0</v>
      </c>
      <c r="AK10" s="806">
        <f t="shared" si="0"/>
        <v>0</v>
      </c>
      <c r="AL10" s="806">
        <f t="shared" si="0"/>
        <v>0</v>
      </c>
      <c r="AM10" s="806">
        <f t="shared" si="0"/>
        <v>0</v>
      </c>
      <c r="AN10" s="806">
        <f t="shared" si="0"/>
        <v>-2.3552502453385582E-2</v>
      </c>
      <c r="AO10" s="806">
        <f t="shared" si="0"/>
        <v>0</v>
      </c>
      <c r="AP10" s="806">
        <f t="shared" si="0"/>
        <v>0</v>
      </c>
      <c r="AQ10" s="806">
        <f t="shared" si="0"/>
        <v>0</v>
      </c>
      <c r="AR10" s="806">
        <f t="shared" si="0"/>
        <v>0</v>
      </c>
      <c r="AS10" s="806">
        <f t="shared" si="0"/>
        <v>0</v>
      </c>
      <c r="AT10" s="447" t="str">
        <f t="array" ref="AT10">IF(MAX(ABS(AG10:AS10))&gt;$AT$4,"EXPLAIN","")</f>
        <v/>
      </c>
    </row>
    <row r="11" spans="2:46" x14ac:dyDescent="0.2">
      <c r="B11" s="801" t="s">
        <v>665</v>
      </c>
      <c r="C11" s="802" t="str">
        <f>Prop2019DistTar!B11</f>
        <v>Low voltage medium 1 rate</v>
      </c>
      <c r="D11" s="807">
        <f>SUM(Prop2019DistTar!D11,Prop2019TransTar!D11)</f>
        <v>12.03</v>
      </c>
      <c r="E11" s="642">
        <f>SUM(Prop2019DistTar!E11,Prop2019TransTar!E11,Prop2019JSTar!E11)</f>
        <v>11.32</v>
      </c>
      <c r="F11" s="642">
        <f>SUM(Prop2019DistTar!F11,Prop2019TransTar!F11,Prop2019JSTar!F11)</f>
        <v>0</v>
      </c>
      <c r="G11" s="642">
        <f>SUM(Prop2019DistTar!G11,Prop2019TransTar!G11,Prop2019JSTar!G11)</f>
        <v>0</v>
      </c>
      <c r="H11" s="642">
        <f>SUM(Prop2019DistTar!H11,Prop2019TransTar!H11,Prop2019JSTar!H11)</f>
        <v>9.0500000000000007</v>
      </c>
      <c r="I11" s="642">
        <f>SUM(Prop2019DistTar!I11,Prop2019TransTar!I11,Prop2019JSTar!I11)</f>
        <v>0</v>
      </c>
      <c r="J11" s="642">
        <f>SUM(Prop2019DistTar!J11,Prop2019TransTar!J11,Prop2019JSTar!J11)</f>
        <v>0</v>
      </c>
      <c r="K11" s="642">
        <f>SUM(Prop2019DistTar!K11,Prop2019TransTar!K11,Prop2019JSTar!K11)</f>
        <v>0</v>
      </c>
      <c r="L11" s="642">
        <f>SUM(Prop2019DistTar!L11,Prop2019TransTar!L11,Prop2019JSTar!L11)</f>
        <v>0</v>
      </c>
      <c r="M11" s="642">
        <f>SUM(Prop2019DistTar!M11,Prop2019TransTar!M11,Prop2019JSTar!M11)</f>
        <v>0</v>
      </c>
      <c r="N11" s="642">
        <f>SUM(Prop2019DistTar!N11,Prop2019TransTar!N11,Prop2019JSTar!N11)</f>
        <v>0</v>
      </c>
      <c r="O11" s="642">
        <f>SUM(Prop2019DistTar!O11,Prop2019TransTar!O11,Prop2019JSTar!O11)</f>
        <v>0</v>
      </c>
      <c r="P11" s="642">
        <f>SUM(Prop2019DistTar!P11,Prop2019TransTar!P11,Prop2019JSTar!P11)</f>
        <v>0</v>
      </c>
      <c r="R11" s="808">
        <v>12.301</v>
      </c>
      <c r="S11" s="702">
        <v>12.914999999999999</v>
      </c>
      <c r="T11" s="702"/>
      <c r="U11" s="702"/>
      <c r="V11" s="702">
        <v>8.4260000000000002</v>
      </c>
      <c r="W11" s="702"/>
      <c r="X11" s="702"/>
      <c r="Y11" s="702"/>
      <c r="Z11" s="702"/>
      <c r="AA11" s="702"/>
      <c r="AB11" s="702"/>
      <c r="AC11" s="702"/>
      <c r="AD11" s="702"/>
      <c r="AG11" s="805">
        <f t="shared" si="0"/>
        <v>-2.2030729209007505E-2</v>
      </c>
      <c r="AH11" s="806">
        <f t="shared" si="0"/>
        <v>-0.12349980642663561</v>
      </c>
      <c r="AI11" s="806">
        <f t="shared" si="0"/>
        <v>0</v>
      </c>
      <c r="AJ11" s="806">
        <f t="shared" si="0"/>
        <v>0</v>
      </c>
      <c r="AK11" s="806">
        <f t="shared" si="0"/>
        <v>7.4056491811061109E-2</v>
      </c>
      <c r="AL11" s="806">
        <f t="shared" si="0"/>
        <v>0</v>
      </c>
      <c r="AM11" s="806">
        <f t="shared" si="0"/>
        <v>0</v>
      </c>
      <c r="AN11" s="806">
        <f t="shared" si="0"/>
        <v>0</v>
      </c>
      <c r="AO11" s="806">
        <f t="shared" si="0"/>
        <v>0</v>
      </c>
      <c r="AP11" s="806">
        <f t="shared" si="0"/>
        <v>0</v>
      </c>
      <c r="AQ11" s="806">
        <f t="shared" si="0"/>
        <v>0</v>
      </c>
      <c r="AR11" s="806">
        <f t="shared" si="0"/>
        <v>0</v>
      </c>
      <c r="AS11" s="806">
        <f t="shared" si="0"/>
        <v>0</v>
      </c>
      <c r="AT11" s="447" t="str">
        <f t="array" ref="AT11">IF(MAX(ABS(AG11:AS11))&gt;$AT$4,"EXPLAIN","")</f>
        <v/>
      </c>
    </row>
    <row r="12" spans="2:46" x14ac:dyDescent="0.2">
      <c r="B12" s="801" t="s">
        <v>689</v>
      </c>
      <c r="C12" s="802" t="str">
        <f>Prop2019DistTar!B12</f>
        <v>Low voltage medium 2 rate 5 day</v>
      </c>
      <c r="D12" s="807">
        <f>SUM(Prop2019DistTar!D12,Prop2019TransTar!D12)</f>
        <v>23.03</v>
      </c>
      <c r="E12" s="642">
        <f>SUM(Prop2019DistTar!E12,Prop2019TransTar!E12,Prop2019JSTar!E12)</f>
        <v>0</v>
      </c>
      <c r="F12" s="642">
        <f>SUM(Prop2019DistTar!F12,Prop2019TransTar!F12,Prop2019JSTar!F12)</f>
        <v>0</v>
      </c>
      <c r="G12" s="642">
        <f>SUM(Prop2019DistTar!G12,Prop2019TransTar!G12,Prop2019JSTar!G12)</f>
        <v>14.4</v>
      </c>
      <c r="H12" s="642">
        <f>SUM(Prop2019DistTar!H12,Prop2019TransTar!H12,Prop2019JSTar!H12)</f>
        <v>0</v>
      </c>
      <c r="I12" s="642">
        <f>SUM(Prop2019DistTar!I12,Prop2019TransTar!I12,Prop2019JSTar!I12)</f>
        <v>0</v>
      </c>
      <c r="J12" s="642">
        <f>SUM(Prop2019DistTar!J12,Prop2019TransTar!J12,Prop2019JSTar!J12)</f>
        <v>10.89</v>
      </c>
      <c r="K12" s="642">
        <f>SUM(Prop2019DistTar!K12,Prop2019TransTar!K12,Prop2019JSTar!K12)</f>
        <v>2.3199999999999998</v>
      </c>
      <c r="L12" s="642">
        <f>SUM(Prop2019DistTar!L12,Prop2019TransTar!L12,Prop2019JSTar!L12)</f>
        <v>0</v>
      </c>
      <c r="M12" s="642">
        <f>SUM(Prop2019DistTar!M12,Prop2019TransTar!M12,Prop2019JSTar!M12)</f>
        <v>0</v>
      </c>
      <c r="N12" s="642">
        <f>SUM(Prop2019DistTar!N12,Prop2019TransTar!N12,Prop2019JSTar!N12)</f>
        <v>0</v>
      </c>
      <c r="O12" s="642">
        <f>SUM(Prop2019DistTar!O12,Prop2019TransTar!O12,Prop2019JSTar!O12)</f>
        <v>0</v>
      </c>
      <c r="P12" s="642">
        <f>SUM(Prop2019DistTar!P12,Prop2019TransTar!P12,Prop2019JSTar!P12)</f>
        <v>0</v>
      </c>
      <c r="R12" s="808">
        <v>23.545000000000002</v>
      </c>
      <c r="S12" s="702"/>
      <c r="T12" s="702"/>
      <c r="U12" s="702">
        <v>13.255000000000001</v>
      </c>
      <c r="V12" s="702"/>
      <c r="W12" s="702"/>
      <c r="X12" s="702">
        <v>10.025</v>
      </c>
      <c r="Y12" s="702">
        <v>2.1349999999999998</v>
      </c>
      <c r="Z12" s="702"/>
      <c r="AA12" s="702"/>
      <c r="AB12" s="702"/>
      <c r="AC12" s="702"/>
      <c r="AD12" s="702"/>
      <c r="AG12" s="805">
        <f t="shared" si="0"/>
        <v>-2.1873009131450405E-2</v>
      </c>
      <c r="AH12" s="806">
        <f t="shared" si="0"/>
        <v>0</v>
      </c>
      <c r="AI12" s="806">
        <f t="shared" si="0"/>
        <v>0</v>
      </c>
      <c r="AJ12" s="806">
        <f t="shared" si="0"/>
        <v>8.6382497170878869E-2</v>
      </c>
      <c r="AK12" s="806">
        <f t="shared" si="0"/>
        <v>0</v>
      </c>
      <c r="AL12" s="806">
        <f t="shared" si="0"/>
        <v>0</v>
      </c>
      <c r="AM12" s="806">
        <f t="shared" si="0"/>
        <v>8.628428927680809E-2</v>
      </c>
      <c r="AN12" s="806">
        <f t="shared" si="0"/>
        <v>8.6651053864168714E-2</v>
      </c>
      <c r="AO12" s="806">
        <f t="shared" si="0"/>
        <v>0</v>
      </c>
      <c r="AP12" s="806">
        <f t="shared" si="0"/>
        <v>0</v>
      </c>
      <c r="AQ12" s="806">
        <f t="shared" si="0"/>
        <v>0</v>
      </c>
      <c r="AR12" s="806">
        <f t="shared" si="0"/>
        <v>0</v>
      </c>
      <c r="AS12" s="806">
        <f t="shared" si="0"/>
        <v>0</v>
      </c>
      <c r="AT12" s="447" t="str">
        <f t="array" ref="AT12">IF(MAX(ABS(AG12:AS12))&gt;$AT$4,"EXPLAIN","")</f>
        <v/>
      </c>
    </row>
    <row r="13" spans="2:46" x14ac:dyDescent="0.2">
      <c r="B13" s="801" t="s">
        <v>690</v>
      </c>
      <c r="C13" s="802" t="str">
        <f>Prop2019DistTar!B13</f>
        <v>Low voltage medium 2 rate 7 day</v>
      </c>
      <c r="D13" s="807">
        <f>SUM(Prop2019DistTar!D13,Prop2019TransTar!D13)</f>
        <v>24.51</v>
      </c>
      <c r="E13" s="642">
        <f>SUM(Prop2019DistTar!E13,Prop2019TransTar!E13,Prop2019JSTar!E13)</f>
        <v>0</v>
      </c>
      <c r="F13" s="642">
        <f>SUM(Prop2019DistTar!F13,Prop2019TransTar!F13,Prop2019JSTar!F13)</f>
        <v>0</v>
      </c>
      <c r="G13" s="642">
        <f>SUM(Prop2019DistTar!G13,Prop2019TransTar!G13,Prop2019JSTar!G13)</f>
        <v>12.23</v>
      </c>
      <c r="H13" s="642">
        <f>SUM(Prop2019DistTar!H13,Prop2019TransTar!H13,Prop2019JSTar!H13)</f>
        <v>0</v>
      </c>
      <c r="I13" s="642">
        <f>SUM(Prop2019DistTar!I13,Prop2019TransTar!I13,Prop2019JSTar!I13)</f>
        <v>0</v>
      </c>
      <c r="J13" s="642">
        <f>SUM(Prop2019DistTar!J13,Prop2019TransTar!J13,Prop2019JSTar!J13)</f>
        <v>9.52</v>
      </c>
      <c r="K13" s="642">
        <f>SUM(Prop2019DistTar!K13,Prop2019TransTar!K13,Prop2019JSTar!K13)</f>
        <v>1.87</v>
      </c>
      <c r="L13" s="642">
        <f>SUM(Prop2019DistTar!L13,Prop2019TransTar!L13,Prop2019JSTar!L13)</f>
        <v>0</v>
      </c>
      <c r="M13" s="642">
        <f>SUM(Prop2019DistTar!M13,Prop2019TransTar!M13,Prop2019JSTar!M13)</f>
        <v>0</v>
      </c>
      <c r="N13" s="642">
        <f>SUM(Prop2019DistTar!N13,Prop2019TransTar!N13,Prop2019JSTar!N13)</f>
        <v>0</v>
      </c>
      <c r="O13" s="642">
        <f>SUM(Prop2019DistTar!O13,Prop2019TransTar!O13,Prop2019JSTar!O13)</f>
        <v>0</v>
      </c>
      <c r="P13" s="642">
        <f>SUM(Prop2019DistTar!P13,Prop2019TransTar!P13,Prop2019JSTar!P13)</f>
        <v>0</v>
      </c>
      <c r="R13" s="808">
        <v>25.064</v>
      </c>
      <c r="S13" s="702"/>
      <c r="T13" s="702"/>
      <c r="U13" s="702">
        <v>13.048999999999999</v>
      </c>
      <c r="V13" s="702"/>
      <c r="W13" s="702"/>
      <c r="X13" s="702">
        <v>10.162000000000001</v>
      </c>
      <c r="Y13" s="702">
        <v>1.9850000000000001</v>
      </c>
      <c r="Z13" s="702"/>
      <c r="AA13" s="702"/>
      <c r="AB13" s="702"/>
      <c r="AC13" s="702"/>
      <c r="AD13" s="702"/>
      <c r="AG13" s="805">
        <f t="shared" si="0"/>
        <v>-2.2103415256942149E-2</v>
      </c>
      <c r="AH13" s="806">
        <f t="shared" si="0"/>
        <v>0</v>
      </c>
      <c r="AI13" s="806">
        <f t="shared" si="0"/>
        <v>0</v>
      </c>
      <c r="AJ13" s="806">
        <f t="shared" si="0"/>
        <v>-6.2763430147903976E-2</v>
      </c>
      <c r="AK13" s="806">
        <f t="shared" si="0"/>
        <v>0</v>
      </c>
      <c r="AL13" s="806">
        <f t="shared" si="0"/>
        <v>0</v>
      </c>
      <c r="AM13" s="806">
        <f t="shared" si="0"/>
        <v>-6.3176540051171126E-2</v>
      </c>
      <c r="AN13" s="806">
        <f t="shared" si="0"/>
        <v>-5.7934508816120944E-2</v>
      </c>
      <c r="AO13" s="806">
        <f t="shared" si="0"/>
        <v>0</v>
      </c>
      <c r="AP13" s="806">
        <f t="shared" si="0"/>
        <v>0</v>
      </c>
      <c r="AQ13" s="806">
        <f t="shared" si="0"/>
        <v>0</v>
      </c>
      <c r="AR13" s="806">
        <f t="shared" si="0"/>
        <v>0</v>
      </c>
      <c r="AS13" s="806">
        <f t="shared" si="0"/>
        <v>0</v>
      </c>
      <c r="AT13" s="447" t="str">
        <f t="array" ref="AT13">IF(MAX(ABS(AG13:AS13))&gt;$AT$4,"EXPLAIN","")</f>
        <v/>
      </c>
    </row>
    <row r="14" spans="2:46" x14ac:dyDescent="0.2">
      <c r="B14" s="801" t="s">
        <v>668</v>
      </c>
      <c r="C14" s="802" t="str">
        <f>Prop2019DistTar!B14</f>
        <v>Unmetered supplies</v>
      </c>
      <c r="D14" s="807">
        <f>SUM(Prop2019DistTar!D14,Prop2019TransTar!D14)</f>
        <v>0</v>
      </c>
      <c r="E14" s="642">
        <f>SUM(Prop2019DistTar!E14,Prop2019TransTar!E14,Prop2019JSTar!E14)</f>
        <v>0</v>
      </c>
      <c r="F14" s="642">
        <f>SUM(Prop2019DistTar!F14,Prop2019TransTar!F14,Prop2019JSTar!F14)</f>
        <v>0</v>
      </c>
      <c r="G14" s="642">
        <f>SUM(Prop2019DistTar!G14,Prop2019TransTar!G14,Prop2019JSTar!G14)</f>
        <v>11.600000000000001</v>
      </c>
      <c r="H14" s="642">
        <f>SUM(Prop2019DistTar!H14,Prop2019TransTar!H14,Prop2019JSTar!H14)</f>
        <v>0</v>
      </c>
      <c r="I14" s="642">
        <f>SUM(Prop2019DistTar!I14,Prop2019TransTar!I14,Prop2019JSTar!I14)</f>
        <v>0</v>
      </c>
      <c r="J14" s="642">
        <f>SUM(Prop2019DistTar!J14,Prop2019TransTar!J14,Prop2019JSTar!J14)</f>
        <v>8.69</v>
      </c>
      <c r="K14" s="642">
        <f>SUM(Prop2019DistTar!K14,Prop2019TransTar!K14,Prop2019JSTar!K14)</f>
        <v>1.57</v>
      </c>
      <c r="L14" s="642">
        <f>SUM(Prop2019DistTar!L14,Prop2019TransTar!L14,Prop2019JSTar!L14)</f>
        <v>0</v>
      </c>
      <c r="M14" s="642">
        <f>SUM(Prop2019DistTar!M14,Prop2019TransTar!M14,Prop2019JSTar!M14)</f>
        <v>0</v>
      </c>
      <c r="N14" s="642">
        <f>SUM(Prop2019DistTar!N14,Prop2019TransTar!N14,Prop2019JSTar!N14)</f>
        <v>0</v>
      </c>
      <c r="O14" s="642">
        <f>SUM(Prop2019DistTar!O14,Prop2019TransTar!O14,Prop2019JSTar!O14)</f>
        <v>0</v>
      </c>
      <c r="P14" s="642">
        <f>SUM(Prop2019DistTar!P14,Prop2019TransTar!P14,Prop2019JSTar!P14)</f>
        <v>0</v>
      </c>
      <c r="R14" s="808"/>
      <c r="S14" s="702"/>
      <c r="T14" s="702"/>
      <c r="U14" s="702">
        <v>11.747</v>
      </c>
      <c r="V14" s="702"/>
      <c r="W14" s="702"/>
      <c r="X14" s="702">
        <v>8.7829999999999995</v>
      </c>
      <c r="Y14" s="702">
        <v>1.61</v>
      </c>
      <c r="Z14" s="702"/>
      <c r="AA14" s="702"/>
      <c r="AB14" s="702"/>
      <c r="AC14" s="702"/>
      <c r="AD14" s="702"/>
      <c r="AG14" s="805">
        <f t="shared" si="0"/>
        <v>0</v>
      </c>
      <c r="AH14" s="806">
        <f t="shared" si="0"/>
        <v>0</v>
      </c>
      <c r="AI14" s="806">
        <f t="shared" si="0"/>
        <v>0</v>
      </c>
      <c r="AJ14" s="806">
        <f t="shared" si="0"/>
        <v>-1.2513833319145129E-2</v>
      </c>
      <c r="AK14" s="806">
        <f t="shared" si="0"/>
        <v>0</v>
      </c>
      <c r="AL14" s="806">
        <f t="shared" si="0"/>
        <v>0</v>
      </c>
      <c r="AM14" s="806">
        <f t="shared" si="0"/>
        <v>-1.0588637139929413E-2</v>
      </c>
      <c r="AN14" s="806">
        <f t="shared" si="0"/>
        <v>-2.4844720496894457E-2</v>
      </c>
      <c r="AO14" s="806">
        <f t="shared" si="0"/>
        <v>0</v>
      </c>
      <c r="AP14" s="806">
        <f t="shared" si="0"/>
        <v>0</v>
      </c>
      <c r="AQ14" s="806">
        <f t="shared" si="0"/>
        <v>0</v>
      </c>
      <c r="AR14" s="806">
        <f t="shared" si="0"/>
        <v>0</v>
      </c>
      <c r="AS14" s="806">
        <f t="shared" si="0"/>
        <v>0</v>
      </c>
      <c r="AT14" s="447" t="str">
        <f t="array" ref="AT14">IF(MAX(ABS(AG14:AS14))&gt;$AT$4,"EXPLAIN","")</f>
        <v/>
      </c>
    </row>
    <row r="15" spans="2:46" x14ac:dyDescent="0.2">
      <c r="B15" s="801" t="s">
        <v>691</v>
      </c>
      <c r="C15" s="802" t="str">
        <f>Prop2019DistTar!B15</f>
        <v>Low voltage large 1 rate</v>
      </c>
      <c r="D15" s="807">
        <f>SUM(Prop2019DistTar!D15,Prop2019TransTar!D15)</f>
        <v>14.08</v>
      </c>
      <c r="E15" s="642">
        <f>SUM(Prop2019DistTar!E15,Prop2019TransTar!E15,Prop2019JSTar!E15)</f>
        <v>8.93</v>
      </c>
      <c r="F15" s="642">
        <f>SUM(Prop2019DistTar!F15,Prop2019TransTar!F15,Prop2019JSTar!F15)</f>
        <v>0</v>
      </c>
      <c r="G15" s="642">
        <f>SUM(Prop2019DistTar!G15,Prop2019TransTar!G15,Prop2019JSTar!G15)</f>
        <v>0</v>
      </c>
      <c r="H15" s="642">
        <f>SUM(Prop2019DistTar!H15,Prop2019TransTar!H15,Prop2019JSTar!H15)</f>
        <v>7.0600000000000005</v>
      </c>
      <c r="I15" s="642">
        <f>SUM(Prop2019DistTar!I15,Prop2019TransTar!I15,Prop2019JSTar!I15)</f>
        <v>0</v>
      </c>
      <c r="J15" s="642">
        <f>SUM(Prop2019DistTar!J15,Prop2019TransTar!J15,Prop2019JSTar!J15)</f>
        <v>0</v>
      </c>
      <c r="K15" s="642">
        <f>SUM(Prop2019DistTar!K15,Prop2019TransTar!K15,Prop2019JSTar!K15)</f>
        <v>0</v>
      </c>
      <c r="L15" s="642">
        <f>SUM(Prop2019DistTar!L15,Prop2019TransTar!L15,Prop2019JSTar!L15)</f>
        <v>0</v>
      </c>
      <c r="M15" s="642">
        <f>SUM(Prop2019DistTar!M15,Prop2019TransTar!M15,Prop2019JSTar!M15)</f>
        <v>0</v>
      </c>
      <c r="N15" s="642">
        <f>SUM(Prop2019DistTar!N15,Prop2019TransTar!N15,Prop2019JSTar!N15)</f>
        <v>0</v>
      </c>
      <c r="O15" s="642">
        <f>SUM(Prop2019DistTar!O15,Prop2019TransTar!O15,Prop2019JSTar!O15)</f>
        <v>0</v>
      </c>
      <c r="P15" s="642">
        <f>SUM(Prop2019DistTar!P15,Prop2019TransTar!P15,Prop2019JSTar!P15)</f>
        <v>0</v>
      </c>
      <c r="R15" s="808">
        <v>14.401</v>
      </c>
      <c r="S15" s="702">
        <v>8.6920000000000002</v>
      </c>
      <c r="T15" s="702"/>
      <c r="U15" s="702"/>
      <c r="V15" s="702">
        <v>6.8789999999999996</v>
      </c>
      <c r="W15" s="702"/>
      <c r="X15" s="702"/>
      <c r="Y15" s="702"/>
      <c r="Z15" s="702"/>
      <c r="AA15" s="702"/>
      <c r="AB15" s="702"/>
      <c r="AC15" s="702"/>
      <c r="AD15" s="702"/>
      <c r="AG15" s="805">
        <f t="shared" si="0"/>
        <v>-2.2290118741754017E-2</v>
      </c>
      <c r="AH15" s="806">
        <f t="shared" si="0"/>
        <v>2.7381500230096556E-2</v>
      </c>
      <c r="AI15" s="806">
        <f t="shared" si="0"/>
        <v>0</v>
      </c>
      <c r="AJ15" s="806">
        <f t="shared" si="0"/>
        <v>0</v>
      </c>
      <c r="AK15" s="806">
        <f t="shared" si="0"/>
        <v>2.6311963948248529E-2</v>
      </c>
      <c r="AL15" s="806">
        <f t="shared" si="0"/>
        <v>0</v>
      </c>
      <c r="AM15" s="806">
        <f t="shared" si="0"/>
        <v>0</v>
      </c>
      <c r="AN15" s="806">
        <f t="shared" si="0"/>
        <v>0</v>
      </c>
      <c r="AO15" s="806">
        <f t="shared" si="0"/>
        <v>0</v>
      </c>
      <c r="AP15" s="806">
        <f t="shared" si="0"/>
        <v>0</v>
      </c>
      <c r="AQ15" s="806">
        <f t="shared" si="0"/>
        <v>0</v>
      </c>
      <c r="AR15" s="806">
        <f t="shared" si="0"/>
        <v>0</v>
      </c>
      <c r="AS15" s="806">
        <f t="shared" si="0"/>
        <v>0</v>
      </c>
      <c r="AT15" s="447" t="str">
        <f t="array" ref="AT15">IF(MAX(ABS(AG15:AS15))&gt;$AT$4,"EXPLAIN","")</f>
        <v/>
      </c>
    </row>
    <row r="16" spans="2:46" x14ac:dyDescent="0.2">
      <c r="B16" s="801" t="s">
        <v>692</v>
      </c>
      <c r="C16" s="802" t="str">
        <f>Prop2019DistTar!B16</f>
        <v>Low voltage large 2 rate</v>
      </c>
      <c r="D16" s="807">
        <f>SUM(Prop2019DistTar!D16,Prop2019TransTar!D16)</f>
        <v>20.32</v>
      </c>
      <c r="E16" s="642">
        <f>SUM(Prop2019DistTar!E16,Prop2019TransTar!E16,Prop2019JSTar!E16)</f>
        <v>0</v>
      </c>
      <c r="F16" s="642">
        <f>SUM(Prop2019DistTar!F16,Prop2019TransTar!F16,Prop2019JSTar!F16)</f>
        <v>0</v>
      </c>
      <c r="G16" s="642">
        <f>SUM(Prop2019DistTar!G16,Prop2019TransTar!G16,Prop2019JSTar!G16)</f>
        <v>13.110000000000001</v>
      </c>
      <c r="H16" s="642">
        <f>SUM(Prop2019DistTar!H16,Prop2019TransTar!H16,Prop2019JSTar!H16)</f>
        <v>0</v>
      </c>
      <c r="I16" s="642">
        <f>SUM(Prop2019DistTar!I16,Prop2019TransTar!I16,Prop2019JSTar!I16)</f>
        <v>0</v>
      </c>
      <c r="J16" s="642">
        <f>SUM(Prop2019DistTar!J16,Prop2019TransTar!J16,Prop2019JSTar!J16)</f>
        <v>10.44</v>
      </c>
      <c r="K16" s="642">
        <f>SUM(Prop2019DistTar!K16,Prop2019TransTar!K16,Prop2019JSTar!K16)</f>
        <v>2.15</v>
      </c>
      <c r="L16" s="642">
        <f>SUM(Prop2019DistTar!L16,Prop2019TransTar!L16,Prop2019JSTar!L16)</f>
        <v>0</v>
      </c>
      <c r="M16" s="642">
        <f>SUM(Prop2019DistTar!M16,Prop2019TransTar!M16,Prop2019JSTar!M16)</f>
        <v>0</v>
      </c>
      <c r="N16" s="642">
        <f>SUM(Prop2019DistTar!N16,Prop2019TransTar!N16,Prop2019JSTar!N16)</f>
        <v>0</v>
      </c>
      <c r="O16" s="642">
        <f>SUM(Prop2019DistTar!O16,Prop2019TransTar!O16,Prop2019JSTar!O16)</f>
        <v>0</v>
      </c>
      <c r="P16" s="642">
        <f>SUM(Prop2019DistTar!P16,Prop2019TransTar!P16,Prop2019JSTar!P16)</f>
        <v>0</v>
      </c>
      <c r="R16" s="808">
        <v>20.774000000000001</v>
      </c>
      <c r="S16" s="702"/>
      <c r="T16" s="702"/>
      <c r="U16" s="702">
        <v>11.936</v>
      </c>
      <c r="V16" s="702"/>
      <c r="W16" s="702"/>
      <c r="X16" s="702">
        <v>9.5</v>
      </c>
      <c r="Y16" s="702">
        <v>1.9650000000000001</v>
      </c>
      <c r="Z16" s="702"/>
      <c r="AA16" s="702"/>
      <c r="AB16" s="702"/>
      <c r="AC16" s="702"/>
      <c r="AD16" s="702"/>
      <c r="AG16" s="805">
        <f t="shared" si="0"/>
        <v>-2.1854240878020681E-2</v>
      </c>
      <c r="AH16" s="806">
        <f t="shared" si="0"/>
        <v>0</v>
      </c>
      <c r="AI16" s="806">
        <f t="shared" si="0"/>
        <v>0</v>
      </c>
      <c r="AJ16" s="806">
        <f t="shared" si="0"/>
        <v>9.8357908847185094E-2</v>
      </c>
      <c r="AK16" s="806">
        <f t="shared" si="0"/>
        <v>0</v>
      </c>
      <c r="AL16" s="806">
        <f t="shared" si="0"/>
        <v>0</v>
      </c>
      <c r="AM16" s="806">
        <f t="shared" si="0"/>
        <v>9.8947368421052673E-2</v>
      </c>
      <c r="AN16" s="806">
        <f t="shared" si="0"/>
        <v>9.4147582697200916E-2</v>
      </c>
      <c r="AO16" s="806">
        <f t="shared" si="0"/>
        <v>0</v>
      </c>
      <c r="AP16" s="806">
        <f t="shared" si="0"/>
        <v>0</v>
      </c>
      <c r="AQ16" s="806">
        <f t="shared" si="0"/>
        <v>0</v>
      </c>
      <c r="AR16" s="806">
        <f t="shared" si="0"/>
        <v>0</v>
      </c>
      <c r="AS16" s="806">
        <f t="shared" si="0"/>
        <v>0</v>
      </c>
      <c r="AT16" s="447" t="str">
        <f t="array" ref="AT16">IF(MAX(ABS(AG16:AS16))&gt;$AT$4,"EXPLAIN","")</f>
        <v/>
      </c>
    </row>
    <row r="17" spans="2:46" x14ac:dyDescent="0.2">
      <c r="B17" s="801" t="s">
        <v>693</v>
      </c>
      <c r="C17" s="802" t="str">
        <f>Prop2019DistTar!B17</f>
        <v>Low voltage KW time of use</v>
      </c>
      <c r="D17" s="807">
        <f>SUM(Prop2019DistTar!D17,Prop2019TransTar!D17)</f>
        <v>0</v>
      </c>
      <c r="E17" s="642">
        <f>SUM(Prop2019DistTar!E17,Prop2019TransTar!E17,Prop2019JSTar!E17)</f>
        <v>0</v>
      </c>
      <c r="F17" s="642">
        <f>SUM(Prop2019DistTar!F17,Prop2019TransTar!F17,Prop2019JSTar!F17)</f>
        <v>0</v>
      </c>
      <c r="G17" s="642">
        <f>SUM(Prop2019DistTar!G17,Prop2019TransTar!G17,Prop2019JSTar!G17)</f>
        <v>11.950000000000001</v>
      </c>
      <c r="H17" s="642">
        <f>SUM(Prop2019DistTar!H17,Prop2019TransTar!H17,Prop2019JSTar!H17)</f>
        <v>0</v>
      </c>
      <c r="I17" s="642">
        <f>SUM(Prop2019DistTar!I17,Prop2019TransTar!I17,Prop2019JSTar!I17)</f>
        <v>0</v>
      </c>
      <c r="J17" s="642">
        <f>SUM(Prop2019DistTar!J17,Prop2019TransTar!J17,Prop2019JSTar!J17)</f>
        <v>7.36</v>
      </c>
      <c r="K17" s="642">
        <f>SUM(Prop2019DistTar!K17,Prop2019TransTar!K17,Prop2019JSTar!K17)</f>
        <v>2.4</v>
      </c>
      <c r="L17" s="642">
        <f>SUM(Prop2019DistTar!L17,Prop2019TransTar!L17,Prop2019JSTar!L17)</f>
        <v>0</v>
      </c>
      <c r="M17" s="642">
        <f>SUM(Prop2019DistTar!M17,Prop2019TransTar!M17,Prop2019JSTar!M17)</f>
        <v>0</v>
      </c>
      <c r="N17" s="642">
        <f>SUM(Prop2019DistTar!N17,Prop2019TransTar!N17,Prop2019JSTar!N17)</f>
        <v>57.04</v>
      </c>
      <c r="O17" s="642">
        <f>SUM(Prop2019DistTar!O17,Prop2019TransTar!O17,Prop2019JSTar!O17)</f>
        <v>0</v>
      </c>
      <c r="P17" s="642">
        <f>SUM(Prop2019DistTar!P17,Prop2019TransTar!P17,Prop2019JSTar!P17)</f>
        <v>0</v>
      </c>
      <c r="R17" s="808"/>
      <c r="S17" s="702"/>
      <c r="T17" s="702"/>
      <c r="U17" s="702">
        <v>11.096</v>
      </c>
      <c r="V17" s="702"/>
      <c r="W17" s="702"/>
      <c r="X17" s="702">
        <v>6.8620000000000001</v>
      </c>
      <c r="Y17" s="702">
        <v>2.1909999999999998</v>
      </c>
      <c r="Z17" s="702"/>
      <c r="AA17" s="702"/>
      <c r="AB17" s="702">
        <v>52.927999999999997</v>
      </c>
      <c r="AC17" s="702"/>
      <c r="AD17" s="702"/>
      <c r="AG17" s="805">
        <f t="shared" si="0"/>
        <v>0</v>
      </c>
      <c r="AH17" s="806">
        <f t="shared" si="0"/>
        <v>0</v>
      </c>
      <c r="AI17" s="806">
        <f t="shared" si="0"/>
        <v>0</v>
      </c>
      <c r="AJ17" s="806">
        <f t="shared" si="0"/>
        <v>7.6964671953857255E-2</v>
      </c>
      <c r="AK17" s="806">
        <f t="shared" si="0"/>
        <v>0</v>
      </c>
      <c r="AL17" s="806">
        <f t="shared" si="0"/>
        <v>0</v>
      </c>
      <c r="AM17" s="806">
        <f t="shared" si="0"/>
        <v>7.2573593704459372E-2</v>
      </c>
      <c r="AN17" s="806">
        <f t="shared" si="0"/>
        <v>9.5390232770424577E-2</v>
      </c>
      <c r="AO17" s="806">
        <f t="shared" si="0"/>
        <v>0</v>
      </c>
      <c r="AP17" s="806">
        <f t="shared" si="0"/>
        <v>0</v>
      </c>
      <c r="AQ17" s="806">
        <f t="shared" si="0"/>
        <v>7.769044740024178E-2</v>
      </c>
      <c r="AR17" s="806">
        <f t="shared" si="0"/>
        <v>0</v>
      </c>
      <c r="AS17" s="806">
        <f t="shared" si="0"/>
        <v>0</v>
      </c>
      <c r="AT17" s="447" t="str">
        <f t="array" ref="AT17">IF(MAX(ABS(AG17:AS17))&gt;$AT$4,"EXPLAIN","")</f>
        <v/>
      </c>
    </row>
    <row r="18" spans="2:46" x14ac:dyDescent="0.2">
      <c r="B18" s="801" t="s">
        <v>694</v>
      </c>
      <c r="C18" s="802" t="str">
        <f>Prop2019DistTar!B18</f>
        <v>Low voltage KW time of use - HOT</v>
      </c>
      <c r="D18" s="807">
        <f>SUM(Prop2019DistTar!D18,Prop2019TransTar!D18)</f>
        <v>0</v>
      </c>
      <c r="E18" s="642">
        <f>SUM(Prop2019DistTar!E18,Prop2019TransTar!E18,Prop2019JSTar!E18)</f>
        <v>0</v>
      </c>
      <c r="F18" s="642">
        <f>SUM(Prop2019DistTar!F18,Prop2019TransTar!F18,Prop2019JSTar!F18)</f>
        <v>0</v>
      </c>
      <c r="G18" s="642">
        <f>SUM(Prop2019DistTar!G18,Prop2019TransTar!G18,Prop2019JSTar!G18)</f>
        <v>8.379999999999999</v>
      </c>
      <c r="H18" s="642">
        <f>SUM(Prop2019DistTar!H18,Prop2019TransTar!H18,Prop2019JSTar!H18)</f>
        <v>0</v>
      </c>
      <c r="I18" s="642">
        <f>SUM(Prop2019DistTar!I18,Prop2019TransTar!I18,Prop2019JSTar!I18)</f>
        <v>0</v>
      </c>
      <c r="J18" s="642">
        <f>SUM(Prop2019DistTar!J18,Prop2019TransTar!J18,Prop2019JSTar!J18)</f>
        <v>6.47</v>
      </c>
      <c r="K18" s="642">
        <f>SUM(Prop2019DistTar!K18,Prop2019TransTar!K18,Prop2019JSTar!K18)</f>
        <v>1.66</v>
      </c>
      <c r="L18" s="642">
        <f>SUM(Prop2019DistTar!L18,Prop2019TransTar!L18,Prop2019JSTar!L18)</f>
        <v>0</v>
      </c>
      <c r="M18" s="642">
        <f>SUM(Prop2019DistTar!M18,Prop2019TransTar!M18,Prop2019JSTar!M18)</f>
        <v>0</v>
      </c>
      <c r="N18" s="642">
        <f>SUM(Prop2019DistTar!N18,Prop2019TransTar!N18,Prop2019JSTar!N18)</f>
        <v>73.86</v>
      </c>
      <c r="O18" s="642">
        <f>SUM(Prop2019DistTar!O18,Prop2019TransTar!O18,Prop2019JSTar!O18)</f>
        <v>0</v>
      </c>
      <c r="P18" s="642">
        <f>SUM(Prop2019DistTar!P18,Prop2019TransTar!P18,Prop2019JSTar!P18)</f>
        <v>0</v>
      </c>
      <c r="R18" s="808"/>
      <c r="S18" s="702"/>
      <c r="T18" s="702"/>
      <c r="U18" s="702">
        <v>9.1150000000000002</v>
      </c>
      <c r="V18" s="702"/>
      <c r="W18" s="702"/>
      <c r="X18" s="702">
        <v>7.0350000000000001</v>
      </c>
      <c r="Y18" s="702">
        <v>1.851</v>
      </c>
      <c r="Z18" s="702"/>
      <c r="AA18" s="702"/>
      <c r="AB18" s="702">
        <v>80.364999999999995</v>
      </c>
      <c r="AC18" s="702"/>
      <c r="AD18" s="702"/>
      <c r="AG18" s="805">
        <f t="shared" si="0"/>
        <v>0</v>
      </c>
      <c r="AH18" s="806">
        <f t="shared" si="0"/>
        <v>0</v>
      </c>
      <c r="AI18" s="806">
        <f t="shared" si="0"/>
        <v>0</v>
      </c>
      <c r="AJ18" s="806">
        <f t="shared" si="0"/>
        <v>-8.0636313768513546E-2</v>
      </c>
      <c r="AK18" s="806">
        <f t="shared" si="0"/>
        <v>0</v>
      </c>
      <c r="AL18" s="806">
        <f t="shared" si="0"/>
        <v>0</v>
      </c>
      <c r="AM18" s="806">
        <f t="shared" si="0"/>
        <v>-8.0312722103766943E-2</v>
      </c>
      <c r="AN18" s="806">
        <f t="shared" si="0"/>
        <v>-0.10318746623446784</v>
      </c>
      <c r="AO18" s="806">
        <f t="shared" si="0"/>
        <v>0</v>
      </c>
      <c r="AP18" s="806">
        <f t="shared" si="0"/>
        <v>0</v>
      </c>
      <c r="AQ18" s="806">
        <f t="shared" si="0"/>
        <v>-8.0943196665214878E-2</v>
      </c>
      <c r="AR18" s="806">
        <f t="shared" si="0"/>
        <v>0</v>
      </c>
      <c r="AS18" s="806">
        <f t="shared" si="0"/>
        <v>0</v>
      </c>
      <c r="AT18" s="447" t="str">
        <f t="array" ref="AT18">IF(MAX(ABS(AG18:AS18))&gt;$AT$4,"EXPLAIN","")</f>
        <v/>
      </c>
    </row>
    <row r="19" spans="2:46" x14ac:dyDescent="0.2">
      <c r="B19" s="801" t="s">
        <v>673</v>
      </c>
      <c r="C19" s="802" t="str">
        <f>Prop2019DistTar!B19</f>
        <v>Low voltage large KVA time of use</v>
      </c>
      <c r="D19" s="807">
        <f>SUM(Prop2019DistTar!D19,Prop2019TransTar!D19)</f>
        <v>0</v>
      </c>
      <c r="E19" s="642">
        <f>SUM(Prop2019DistTar!E19,Prop2019TransTar!E19,Prop2019JSTar!E19)</f>
        <v>0</v>
      </c>
      <c r="F19" s="642">
        <f>SUM(Prop2019DistTar!F19,Prop2019TransTar!F19,Prop2019JSTar!F19)</f>
        <v>0</v>
      </c>
      <c r="G19" s="642">
        <f>SUM(Prop2019DistTar!G19,Prop2019TransTar!G19,Prop2019JSTar!G19)</f>
        <v>2.42</v>
      </c>
      <c r="H19" s="642">
        <f>SUM(Prop2019DistTar!H19,Prop2019TransTar!H19,Prop2019JSTar!H19)</f>
        <v>0</v>
      </c>
      <c r="I19" s="642">
        <f>SUM(Prop2019DistTar!I19,Prop2019TransTar!I19,Prop2019JSTar!I19)</f>
        <v>0</v>
      </c>
      <c r="J19" s="642">
        <f>SUM(Prop2019DistTar!J19,Prop2019TransTar!J19,Prop2019JSTar!J19)</f>
        <v>2.02</v>
      </c>
      <c r="K19" s="642">
        <f>SUM(Prop2019DistTar!K19,Prop2019TransTar!K19,Prop2019JSTar!K19)</f>
        <v>1.24</v>
      </c>
      <c r="L19" s="642">
        <f>SUM(Prop2019DistTar!L19,Prop2019TransTar!L19,Prop2019JSTar!L19)</f>
        <v>0</v>
      </c>
      <c r="M19" s="642">
        <f>SUM(Prop2019DistTar!M19,Prop2019TransTar!M19,Prop2019JSTar!M19)</f>
        <v>18.78</v>
      </c>
      <c r="N19" s="642">
        <f>SUM(Prop2019DistTar!N19,Prop2019TransTar!N19,Prop2019JSTar!N19)</f>
        <v>27.59</v>
      </c>
      <c r="O19" s="642">
        <f>SUM(Prop2019DistTar!O19,Prop2019TransTar!O19,Prop2019JSTar!O19)</f>
        <v>0</v>
      </c>
      <c r="P19" s="642">
        <f>SUM(Prop2019DistTar!P19,Prop2019TransTar!P19,Prop2019JSTar!P19)</f>
        <v>0</v>
      </c>
      <c r="R19" s="808"/>
      <c r="S19" s="702"/>
      <c r="T19" s="702"/>
      <c r="U19" s="702">
        <v>2.4039999999999999</v>
      </c>
      <c r="V19" s="702"/>
      <c r="W19" s="702"/>
      <c r="X19" s="702">
        <v>1.996</v>
      </c>
      <c r="Y19" s="702">
        <v>1.246</v>
      </c>
      <c r="Z19" s="702"/>
      <c r="AA19" s="702">
        <v>18.739999999999998</v>
      </c>
      <c r="AB19" s="702">
        <v>27.486999999999998</v>
      </c>
      <c r="AC19" s="702"/>
      <c r="AD19" s="702"/>
      <c r="AG19" s="805">
        <f t="shared" si="0"/>
        <v>0</v>
      </c>
      <c r="AH19" s="806">
        <f t="shared" si="0"/>
        <v>0</v>
      </c>
      <c r="AI19" s="806">
        <f t="shared" si="0"/>
        <v>0</v>
      </c>
      <c r="AJ19" s="806">
        <f t="shared" si="0"/>
        <v>6.6555740432612254E-3</v>
      </c>
      <c r="AK19" s="806">
        <f t="shared" si="0"/>
        <v>0</v>
      </c>
      <c r="AL19" s="806">
        <f t="shared" si="0"/>
        <v>0</v>
      </c>
      <c r="AM19" s="806">
        <f t="shared" si="0"/>
        <v>1.2024048096192397E-2</v>
      </c>
      <c r="AN19" s="806">
        <f t="shared" si="0"/>
        <v>-4.8154093097912964E-3</v>
      </c>
      <c r="AO19" s="806">
        <f t="shared" si="0"/>
        <v>0</v>
      </c>
      <c r="AP19" s="806">
        <f t="shared" si="0"/>
        <v>2.1344717182498751E-3</v>
      </c>
      <c r="AQ19" s="806">
        <f t="shared" si="0"/>
        <v>3.747225961363565E-3</v>
      </c>
      <c r="AR19" s="806">
        <f t="shared" si="0"/>
        <v>0</v>
      </c>
      <c r="AS19" s="806">
        <f t="shared" si="0"/>
        <v>0</v>
      </c>
      <c r="AT19" s="447" t="str">
        <f t="array" ref="AT19">IF(MAX(ABS(AG19:AS19))&gt;$AT$4,"EXPLAIN","")</f>
        <v/>
      </c>
    </row>
    <row r="20" spans="2:46" x14ac:dyDescent="0.2">
      <c r="B20" s="801" t="s">
        <v>695</v>
      </c>
      <c r="C20" s="802" t="str">
        <f>Prop2019DistTar!B20</f>
        <v>Low voltage large KVA time of use - HOT</v>
      </c>
      <c r="D20" s="807">
        <f>SUM(Prop2019DistTar!D20,Prop2019TransTar!D20)</f>
        <v>0</v>
      </c>
      <c r="E20" s="642">
        <f>SUM(Prop2019DistTar!E20,Prop2019TransTar!E20,Prop2019JSTar!E20)</f>
        <v>0</v>
      </c>
      <c r="F20" s="642">
        <f>SUM(Prop2019DistTar!F20,Prop2019TransTar!F20,Prop2019JSTar!F20)</f>
        <v>0</v>
      </c>
      <c r="G20" s="642">
        <f>SUM(Prop2019DistTar!G20,Prop2019TransTar!G20,Prop2019JSTar!G20)</f>
        <v>0</v>
      </c>
      <c r="H20" s="642">
        <f>SUM(Prop2019DistTar!H20,Prop2019TransTar!H20,Prop2019JSTar!H20)</f>
        <v>0</v>
      </c>
      <c r="I20" s="642">
        <f>SUM(Prop2019DistTar!I20,Prop2019TransTar!I20,Prop2019JSTar!I20)</f>
        <v>0</v>
      </c>
      <c r="J20" s="642">
        <f>SUM(Prop2019DistTar!J20,Prop2019TransTar!J20,Prop2019JSTar!J20)</f>
        <v>0</v>
      </c>
      <c r="K20" s="642">
        <f>SUM(Prop2019DistTar!K20,Prop2019TransTar!K20,Prop2019JSTar!K20)</f>
        <v>0</v>
      </c>
      <c r="L20" s="642">
        <f>SUM(Prop2019DistTar!L20,Prop2019TransTar!L20,Prop2019JSTar!L20)</f>
        <v>0</v>
      </c>
      <c r="M20" s="642">
        <f>SUM(Prop2019DistTar!M20,Prop2019TransTar!M20,Prop2019JSTar!M20)</f>
        <v>0</v>
      </c>
      <c r="N20" s="642">
        <f>SUM(Prop2019DistTar!N20,Prop2019TransTar!N20,Prop2019JSTar!N20)</f>
        <v>0</v>
      </c>
      <c r="O20" s="642">
        <f>SUM(Prop2019DistTar!O20,Prop2019TransTar!O20,Prop2019JSTar!O20)</f>
        <v>0</v>
      </c>
      <c r="P20" s="642">
        <f>SUM(Prop2019DistTar!P20,Prop2019TransTar!P20,Prop2019JSTar!P20)</f>
        <v>0</v>
      </c>
      <c r="R20" s="808"/>
      <c r="S20" s="702"/>
      <c r="T20" s="702"/>
      <c r="U20" s="702"/>
      <c r="V20" s="702"/>
      <c r="W20" s="702"/>
      <c r="X20" s="702"/>
      <c r="Y20" s="702"/>
      <c r="Z20" s="702"/>
      <c r="AA20" s="702"/>
      <c r="AB20" s="702"/>
      <c r="AC20" s="702"/>
      <c r="AD20" s="702"/>
      <c r="AG20" s="805">
        <f t="shared" si="0"/>
        <v>0</v>
      </c>
      <c r="AH20" s="806">
        <f t="shared" si="0"/>
        <v>0</v>
      </c>
      <c r="AI20" s="806">
        <f t="shared" si="0"/>
        <v>0</v>
      </c>
      <c r="AJ20" s="806">
        <f t="shared" si="0"/>
        <v>0</v>
      </c>
      <c r="AK20" s="806">
        <f t="shared" si="0"/>
        <v>0</v>
      </c>
      <c r="AL20" s="806">
        <f t="shared" si="0"/>
        <v>0</v>
      </c>
      <c r="AM20" s="806">
        <f t="shared" si="0"/>
        <v>0</v>
      </c>
      <c r="AN20" s="806">
        <f t="shared" si="0"/>
        <v>0</v>
      </c>
      <c r="AO20" s="806">
        <f t="shared" si="0"/>
        <v>0</v>
      </c>
      <c r="AP20" s="806">
        <f t="shared" si="0"/>
        <v>0</v>
      </c>
      <c r="AQ20" s="806">
        <f t="shared" si="0"/>
        <v>0</v>
      </c>
      <c r="AR20" s="806">
        <f t="shared" si="0"/>
        <v>0</v>
      </c>
      <c r="AS20" s="806">
        <f t="shared" si="0"/>
        <v>0</v>
      </c>
      <c r="AT20" s="447" t="str">
        <f t="array" ref="AT20">IF(MAX(ABS(AG20:AS20))&gt;$AT$4,"EXPLAIN","")</f>
        <v/>
      </c>
    </row>
    <row r="21" spans="2:46" x14ac:dyDescent="0.2">
      <c r="B21" s="801" t="s">
        <v>675</v>
      </c>
      <c r="C21" s="802" t="str">
        <f>Prop2019DistTar!B21</f>
        <v>High voltage KVA time of use</v>
      </c>
      <c r="D21" s="807">
        <f>SUM(Prop2019DistTar!D21,Prop2019TransTar!D21)</f>
        <v>0</v>
      </c>
      <c r="E21" s="642">
        <f>SUM(Prop2019DistTar!E21,Prop2019TransTar!E21,Prop2019JSTar!E21)</f>
        <v>0</v>
      </c>
      <c r="F21" s="642">
        <f>SUM(Prop2019DistTar!F21,Prop2019TransTar!F21,Prop2019JSTar!F21)</f>
        <v>0</v>
      </c>
      <c r="G21" s="642">
        <f>SUM(Prop2019DistTar!G21,Prop2019TransTar!G21,Prop2019JSTar!G21)</f>
        <v>1.55</v>
      </c>
      <c r="H21" s="642">
        <f>SUM(Prop2019DistTar!H21,Prop2019TransTar!H21,Prop2019JSTar!H21)</f>
        <v>0</v>
      </c>
      <c r="I21" s="642">
        <f>SUM(Prop2019DistTar!I21,Prop2019TransTar!I21,Prop2019JSTar!I21)</f>
        <v>0</v>
      </c>
      <c r="J21" s="642">
        <f>SUM(Prop2019DistTar!J21,Prop2019TransTar!J21,Prop2019JSTar!J21)</f>
        <v>1.31</v>
      </c>
      <c r="K21" s="642">
        <f>SUM(Prop2019DistTar!K21,Prop2019TransTar!K21,Prop2019JSTar!K21)</f>
        <v>0.77</v>
      </c>
      <c r="L21" s="642">
        <f>SUM(Prop2019DistTar!L21,Prop2019TransTar!L21,Prop2019JSTar!L21)</f>
        <v>0</v>
      </c>
      <c r="M21" s="642">
        <f>SUM(Prop2019DistTar!M21,Prop2019TransTar!M21,Prop2019JSTar!M21)</f>
        <v>13.43</v>
      </c>
      <c r="N21" s="642">
        <f>SUM(Prop2019DistTar!N21,Prop2019TransTar!N21,Prop2019JSTar!N21)</f>
        <v>17.03</v>
      </c>
      <c r="O21" s="642">
        <f>SUM(Prop2019DistTar!O21,Prop2019TransTar!O21,Prop2019JSTar!O21)</f>
        <v>0</v>
      </c>
      <c r="P21" s="642">
        <f>SUM(Prop2019DistTar!P21,Prop2019TransTar!P21,Prop2019JSTar!P21)</f>
        <v>0</v>
      </c>
      <c r="R21" s="808"/>
      <c r="S21" s="702"/>
      <c r="T21" s="702"/>
      <c r="U21" s="702">
        <v>1.536</v>
      </c>
      <c r="V21" s="702"/>
      <c r="W21" s="702"/>
      <c r="X21" s="702">
        <v>1.3029999999999999</v>
      </c>
      <c r="Y21" s="702">
        <v>0.77200000000000002</v>
      </c>
      <c r="Z21" s="702"/>
      <c r="AA21" s="702">
        <v>13.367000000000001</v>
      </c>
      <c r="AB21" s="702">
        <v>16.966000000000001</v>
      </c>
      <c r="AC21" s="702"/>
      <c r="AD21" s="702"/>
      <c r="AG21" s="805">
        <f t="shared" si="0"/>
        <v>0</v>
      </c>
      <c r="AH21" s="806">
        <f t="shared" si="0"/>
        <v>0</v>
      </c>
      <c r="AI21" s="806">
        <f t="shared" si="0"/>
        <v>0</v>
      </c>
      <c r="AJ21" s="806">
        <f t="shared" si="0"/>
        <v>9.1145833333332593E-3</v>
      </c>
      <c r="AK21" s="806">
        <f t="shared" si="0"/>
        <v>0</v>
      </c>
      <c r="AL21" s="806">
        <f t="shared" si="0"/>
        <v>0</v>
      </c>
      <c r="AM21" s="806">
        <f t="shared" si="0"/>
        <v>5.3722179585573571E-3</v>
      </c>
      <c r="AN21" s="806">
        <f t="shared" si="0"/>
        <v>-2.5906735751295429E-3</v>
      </c>
      <c r="AO21" s="806">
        <f t="shared" si="0"/>
        <v>0</v>
      </c>
      <c r="AP21" s="806">
        <f t="shared" si="0"/>
        <v>4.71309942395437E-3</v>
      </c>
      <c r="AQ21" s="806">
        <f t="shared" si="0"/>
        <v>3.7722503831192356E-3</v>
      </c>
      <c r="AR21" s="806">
        <f t="shared" si="0"/>
        <v>0</v>
      </c>
      <c r="AS21" s="806">
        <f t="shared" si="0"/>
        <v>0</v>
      </c>
      <c r="AT21" s="447" t="str">
        <f t="array" ref="AT21">IF(MAX(ABS(AG21:AS21))&gt;$AT$4,"EXPLAIN","")</f>
        <v/>
      </c>
    </row>
    <row r="22" spans="2:46" x14ac:dyDescent="0.2">
      <c r="B22" s="801" t="s">
        <v>696</v>
      </c>
      <c r="C22" s="802" t="str">
        <f>Prop2019DistTar!B22</f>
        <v>High voltage KVA time of use - HOT</v>
      </c>
      <c r="D22" s="807">
        <f>SUM(Prop2019DistTar!D22,Prop2019TransTar!D22)</f>
        <v>0</v>
      </c>
      <c r="E22" s="642">
        <f>SUM(Prop2019DistTar!E22,Prop2019TransTar!E22,Prop2019JSTar!E22)</f>
        <v>0</v>
      </c>
      <c r="F22" s="642">
        <f>SUM(Prop2019DistTar!F22,Prop2019TransTar!F22,Prop2019JSTar!F22)</f>
        <v>0</v>
      </c>
      <c r="G22" s="642">
        <f>SUM(Prop2019DistTar!G22,Prop2019TransTar!G22,Prop2019JSTar!G22)</f>
        <v>0</v>
      </c>
      <c r="H22" s="642">
        <f>SUM(Prop2019DistTar!H22,Prop2019TransTar!H22,Prop2019JSTar!H22)</f>
        <v>0</v>
      </c>
      <c r="I22" s="642">
        <f>SUM(Prop2019DistTar!I22,Prop2019TransTar!I22,Prop2019JSTar!I22)</f>
        <v>0</v>
      </c>
      <c r="J22" s="642">
        <f>SUM(Prop2019DistTar!J22,Prop2019TransTar!J22,Prop2019JSTar!J22)</f>
        <v>0</v>
      </c>
      <c r="K22" s="642">
        <f>SUM(Prop2019DistTar!K22,Prop2019TransTar!K22,Prop2019JSTar!K22)</f>
        <v>0</v>
      </c>
      <c r="L22" s="642">
        <f>SUM(Prop2019DistTar!L22,Prop2019TransTar!L22,Prop2019JSTar!L22)</f>
        <v>0</v>
      </c>
      <c r="M22" s="642">
        <f>SUM(Prop2019DistTar!M22,Prop2019TransTar!M22,Prop2019JSTar!M22)</f>
        <v>0</v>
      </c>
      <c r="N22" s="642">
        <f>SUM(Prop2019DistTar!N22,Prop2019TransTar!N22,Prop2019JSTar!N22)</f>
        <v>0</v>
      </c>
      <c r="O22" s="642">
        <f>SUM(Prop2019DistTar!O22,Prop2019TransTar!O22,Prop2019JSTar!O22)</f>
        <v>0</v>
      </c>
      <c r="P22" s="642">
        <f>SUM(Prop2019DistTar!P22,Prop2019TransTar!P22,Prop2019JSTar!P22)</f>
        <v>0</v>
      </c>
      <c r="R22" s="808"/>
      <c r="S22" s="702"/>
      <c r="T22" s="702"/>
      <c r="U22" s="702"/>
      <c r="V22" s="702"/>
      <c r="W22" s="702"/>
      <c r="X22" s="702"/>
      <c r="Y22" s="702"/>
      <c r="Z22" s="702"/>
      <c r="AA22" s="702"/>
      <c r="AB22" s="702"/>
      <c r="AC22" s="702"/>
      <c r="AD22" s="702"/>
      <c r="AG22" s="805">
        <f t="shared" si="0"/>
        <v>0</v>
      </c>
      <c r="AH22" s="806">
        <f t="shared" si="0"/>
        <v>0</v>
      </c>
      <c r="AI22" s="806">
        <f t="shared" si="0"/>
        <v>0</v>
      </c>
      <c r="AJ22" s="806">
        <f t="shared" si="0"/>
        <v>0</v>
      </c>
      <c r="AK22" s="806">
        <f t="shared" si="0"/>
        <v>0</v>
      </c>
      <c r="AL22" s="806">
        <f t="shared" si="0"/>
        <v>0</v>
      </c>
      <c r="AM22" s="806">
        <f t="shared" si="0"/>
        <v>0</v>
      </c>
      <c r="AN22" s="806">
        <f t="shared" si="0"/>
        <v>0</v>
      </c>
      <c r="AO22" s="806">
        <f t="shared" si="0"/>
        <v>0</v>
      </c>
      <c r="AP22" s="806">
        <f t="shared" si="0"/>
        <v>0</v>
      </c>
      <c r="AQ22" s="806">
        <f t="shared" si="0"/>
        <v>0</v>
      </c>
      <c r="AR22" s="806">
        <f t="shared" si="0"/>
        <v>0</v>
      </c>
      <c r="AS22" s="806">
        <f t="shared" si="0"/>
        <v>0</v>
      </c>
      <c r="AT22" s="447" t="str">
        <f t="array" ref="AT22">IF(MAX(ABS(AG22:AS22))&gt;$AT$4,"EXPLAIN","")</f>
        <v/>
      </c>
    </row>
    <row r="23" spans="2:46" x14ac:dyDescent="0.2">
      <c r="B23" s="801" t="s">
        <v>697</v>
      </c>
      <c r="C23" s="802" t="str">
        <f>Prop2019DistTar!B23</f>
        <v>Subtransmission KVA time of use</v>
      </c>
      <c r="D23" s="807">
        <f>SUM(Prop2019DistTar!D23,Prop2019TransTar!D23)</f>
        <v>0</v>
      </c>
      <c r="E23" s="642">
        <f>SUM(Prop2019DistTar!E23,Prop2019TransTar!E23,Prop2019JSTar!E23)</f>
        <v>0</v>
      </c>
      <c r="F23" s="642">
        <f>SUM(Prop2019DistTar!F23,Prop2019TransTar!F23,Prop2019JSTar!F23)</f>
        <v>0</v>
      </c>
      <c r="G23" s="642">
        <f>SUM(Prop2019DistTar!G23,Prop2019TransTar!G23,Prop2019JSTar!G23)</f>
        <v>0.95</v>
      </c>
      <c r="H23" s="642">
        <f>SUM(Prop2019DistTar!H23,Prop2019TransTar!H23,Prop2019JSTar!H23)</f>
        <v>0</v>
      </c>
      <c r="I23" s="642">
        <f>SUM(Prop2019DistTar!I23,Prop2019TransTar!I23,Prop2019JSTar!I23)</f>
        <v>0</v>
      </c>
      <c r="J23" s="642">
        <f>SUM(Prop2019DistTar!J23,Prop2019TransTar!J23,Prop2019JSTar!J23)</f>
        <v>0.75</v>
      </c>
      <c r="K23" s="642">
        <f>SUM(Prop2019DistTar!K23,Prop2019TransTar!K23,Prop2019JSTar!K23)</f>
        <v>0.34</v>
      </c>
      <c r="L23" s="642">
        <f>SUM(Prop2019DistTar!L23,Prop2019TransTar!L23,Prop2019JSTar!L23)</f>
        <v>0</v>
      </c>
      <c r="M23" s="642">
        <f>SUM(Prop2019DistTar!M23,Prop2019TransTar!M23,Prop2019JSTar!M23)</f>
        <v>4.04</v>
      </c>
      <c r="N23" s="642">
        <f>SUM(Prop2019DistTar!N23,Prop2019TransTar!N23,Prop2019JSTar!N23)</f>
        <v>5.12</v>
      </c>
      <c r="O23" s="642">
        <f>SUM(Prop2019DistTar!O23,Prop2019TransTar!O23,Prop2019JSTar!O23)</f>
        <v>0</v>
      </c>
      <c r="P23" s="642">
        <f>SUM(Prop2019DistTar!P23,Prop2019TransTar!P23,Prop2019JSTar!P23)</f>
        <v>0</v>
      </c>
      <c r="R23" s="808"/>
      <c r="S23" s="702"/>
      <c r="T23" s="702"/>
      <c r="U23" s="702">
        <v>0.94299999999999995</v>
      </c>
      <c r="V23" s="702"/>
      <c r="W23" s="702"/>
      <c r="X23" s="702">
        <v>0.746</v>
      </c>
      <c r="Y23" s="702">
        <v>0.34200000000000003</v>
      </c>
      <c r="Z23" s="702"/>
      <c r="AA23" s="702">
        <v>3.9769999999999999</v>
      </c>
      <c r="AB23" s="702">
        <v>5.0490000000000004</v>
      </c>
      <c r="AC23" s="702"/>
      <c r="AD23" s="702"/>
      <c r="AG23" s="805">
        <f t="shared" si="0"/>
        <v>0</v>
      </c>
      <c r="AH23" s="806">
        <f t="shared" si="0"/>
        <v>0</v>
      </c>
      <c r="AI23" s="806">
        <f t="shared" si="0"/>
        <v>0</v>
      </c>
      <c r="AJ23" s="806">
        <f t="shared" si="0"/>
        <v>7.4231177094379319E-3</v>
      </c>
      <c r="AK23" s="806">
        <f t="shared" si="0"/>
        <v>0</v>
      </c>
      <c r="AL23" s="806">
        <f t="shared" si="0"/>
        <v>0</v>
      </c>
      <c r="AM23" s="806">
        <f t="shared" si="0"/>
        <v>5.3619302949061698E-3</v>
      </c>
      <c r="AN23" s="806">
        <f t="shared" si="0"/>
        <v>-5.8479532163743242E-3</v>
      </c>
      <c r="AO23" s="806">
        <f t="shared" si="0"/>
        <v>0</v>
      </c>
      <c r="AP23" s="806">
        <f t="shared" si="0"/>
        <v>1.584108624591396E-2</v>
      </c>
      <c r="AQ23" s="806">
        <f t="shared" si="0"/>
        <v>1.4062190532778684E-2</v>
      </c>
      <c r="AR23" s="806">
        <f t="shared" si="0"/>
        <v>0</v>
      </c>
      <c r="AS23" s="806">
        <f t="shared" si="0"/>
        <v>0</v>
      </c>
      <c r="AT23" s="447" t="str">
        <f t="array" ref="AT23">IF(MAX(ABS(AG23:AS23))&gt;$AT$4,"EXPLAIN","")</f>
        <v/>
      </c>
    </row>
    <row r="24" spans="2:46" x14ac:dyDescent="0.2">
      <c r="B24" s="801" t="s">
        <v>698</v>
      </c>
      <c r="C24" s="802" t="str">
        <f>Prop2019DistTar!B24</f>
        <v>TOD</v>
      </c>
      <c r="D24" s="807">
        <f>SUM(Prop2019DistTar!D24,Prop2019TransTar!D24)</f>
        <v>6.74</v>
      </c>
      <c r="E24" s="642">
        <f>SUM(Prop2019DistTar!E24,Prop2019TransTar!E24,Prop2019JSTar!E24)</f>
        <v>0</v>
      </c>
      <c r="F24" s="642">
        <f>SUM(Prop2019DistTar!F24,Prop2019TransTar!F24,Prop2019JSTar!F24)</f>
        <v>7.4799999999999995</v>
      </c>
      <c r="G24" s="642">
        <f>SUM(Prop2019DistTar!G24,Prop2019TransTar!G24,Prop2019JSTar!G24)</f>
        <v>20.490000000000002</v>
      </c>
      <c r="H24" s="642">
        <f>SUM(Prop2019DistTar!H24,Prop2019TransTar!H24,Prop2019JSTar!H24)</f>
        <v>0</v>
      </c>
      <c r="I24" s="642">
        <f>SUM(Prop2019DistTar!I24,Prop2019TransTar!I24,Prop2019JSTar!I24)</f>
        <v>0</v>
      </c>
      <c r="J24" s="642">
        <f>SUM(Prop2019DistTar!J24,Prop2019TransTar!J24,Prop2019JSTar!J24)</f>
        <v>12.850000000000001</v>
      </c>
      <c r="K24" s="642">
        <f>SUM(Prop2019DistTar!K24,Prop2019TransTar!K24,Prop2019JSTar!K24)</f>
        <v>3.37</v>
      </c>
      <c r="L24" s="642">
        <f>SUM(Prop2019DistTar!L24,Prop2019TransTar!L24,Prop2019JSTar!L24)</f>
        <v>5.89</v>
      </c>
      <c r="M24" s="642">
        <f>SUM(Prop2019DistTar!M24,Prop2019TransTar!M24,Prop2019JSTar!M24)</f>
        <v>0</v>
      </c>
      <c r="N24" s="642">
        <f>SUM(Prop2019DistTar!N24,Prop2019TransTar!N24,Prop2019JSTar!N24)</f>
        <v>0</v>
      </c>
      <c r="O24" s="642">
        <f>SUM(Prop2019DistTar!O24,Prop2019TransTar!O24,Prop2019JSTar!O24)</f>
        <v>0</v>
      </c>
      <c r="P24" s="642">
        <f>SUM(Prop2019DistTar!P24,Prop2019TransTar!P24,Prop2019JSTar!P24)</f>
        <v>0</v>
      </c>
      <c r="R24" s="808">
        <v>6.8940000000000001</v>
      </c>
      <c r="S24" s="702"/>
      <c r="T24" s="702">
        <v>7.1319999999999997</v>
      </c>
      <c r="U24" s="702">
        <v>19.472999999999999</v>
      </c>
      <c r="V24" s="702"/>
      <c r="W24" s="702"/>
      <c r="X24" s="702">
        <v>12.228</v>
      </c>
      <c r="Y24" s="702">
        <v>3.1949999999999998</v>
      </c>
      <c r="Z24" s="702">
        <v>5.6139999999999999</v>
      </c>
      <c r="AA24" s="702"/>
      <c r="AB24" s="702"/>
      <c r="AC24" s="702"/>
      <c r="AD24" s="702"/>
      <c r="AG24" s="805">
        <f t="shared" si="0"/>
        <v>-2.2338265158108439E-2</v>
      </c>
      <c r="AH24" s="806">
        <f t="shared" si="0"/>
        <v>0</v>
      </c>
      <c r="AI24" s="806">
        <f t="shared" si="0"/>
        <v>4.879416713404372E-2</v>
      </c>
      <c r="AJ24" s="806">
        <f t="shared" si="0"/>
        <v>5.2226159297489083E-2</v>
      </c>
      <c r="AK24" s="806">
        <f t="shared" si="0"/>
        <v>0</v>
      </c>
      <c r="AL24" s="806">
        <f t="shared" si="0"/>
        <v>0</v>
      </c>
      <c r="AM24" s="806">
        <f t="shared" si="0"/>
        <v>5.0866862937520629E-2</v>
      </c>
      <c r="AN24" s="806">
        <f t="shared" si="0"/>
        <v>5.4773082942097151E-2</v>
      </c>
      <c r="AO24" s="806">
        <f t="shared" si="0"/>
        <v>4.9162807267545405E-2</v>
      </c>
      <c r="AP24" s="806">
        <f t="shared" si="0"/>
        <v>0</v>
      </c>
      <c r="AQ24" s="806">
        <f t="shared" si="0"/>
        <v>0</v>
      </c>
      <c r="AR24" s="806">
        <f t="shared" si="0"/>
        <v>0</v>
      </c>
      <c r="AS24" s="806">
        <f t="shared" si="0"/>
        <v>0</v>
      </c>
      <c r="AT24" s="447" t="str">
        <f t="array" ref="AT24">IF(MAX(ABS(AG24:AS24))&gt;$AT$4,"EXPLAIN","")</f>
        <v/>
      </c>
    </row>
    <row r="25" spans="2:46" x14ac:dyDescent="0.2">
      <c r="B25" s="801" t="s">
        <v>699</v>
      </c>
      <c r="C25" s="802" t="str">
        <f>Prop2019DistTar!B25</f>
        <v>TOD9</v>
      </c>
      <c r="D25" s="807">
        <f>SUM(Prop2019DistTar!D25,Prop2019TransTar!D25)</f>
        <v>6.99</v>
      </c>
      <c r="E25" s="642">
        <f>SUM(Prop2019DistTar!E25,Prop2019TransTar!E25,Prop2019JSTar!E25)</f>
        <v>0</v>
      </c>
      <c r="F25" s="642">
        <f>SUM(Prop2019DistTar!F25,Prop2019TransTar!F25,Prop2019JSTar!F25)</f>
        <v>8.9400000000000013</v>
      </c>
      <c r="G25" s="642">
        <f>SUM(Prop2019DistTar!G25,Prop2019TransTar!G25,Prop2019JSTar!G25)</f>
        <v>20.6</v>
      </c>
      <c r="H25" s="642">
        <f>SUM(Prop2019DistTar!H25,Prop2019TransTar!H25,Prop2019JSTar!H25)</f>
        <v>0</v>
      </c>
      <c r="I25" s="642">
        <f>SUM(Prop2019DistTar!I25,Prop2019TransTar!I25,Prop2019JSTar!I25)</f>
        <v>0</v>
      </c>
      <c r="J25" s="642">
        <f>SUM(Prop2019DistTar!J25,Prop2019TransTar!J25,Prop2019JSTar!J25)</f>
        <v>14.07</v>
      </c>
      <c r="K25" s="642">
        <f>SUM(Prop2019DistTar!K25,Prop2019TransTar!K25,Prop2019JSTar!K25)</f>
        <v>3.9</v>
      </c>
      <c r="L25" s="642">
        <f>SUM(Prop2019DistTar!L25,Prop2019TransTar!L25,Prop2019JSTar!L25)</f>
        <v>7.74</v>
      </c>
      <c r="M25" s="642">
        <f>SUM(Prop2019DistTar!M25,Prop2019TransTar!M25,Prop2019JSTar!M25)</f>
        <v>0</v>
      </c>
      <c r="N25" s="642">
        <f>SUM(Prop2019DistTar!N25,Prop2019TransTar!N25,Prop2019JSTar!N25)</f>
        <v>0</v>
      </c>
      <c r="O25" s="642">
        <f>SUM(Prop2019DistTar!O25,Prop2019TransTar!O25,Prop2019JSTar!O25)</f>
        <v>0</v>
      </c>
      <c r="P25" s="642">
        <f>SUM(Prop2019DistTar!P25,Prop2019TransTar!P25,Prop2019JSTar!P25)</f>
        <v>0</v>
      </c>
      <c r="R25" s="808">
        <v>7.1509999999999998</v>
      </c>
      <c r="S25" s="702"/>
      <c r="T25" s="702">
        <v>9.41</v>
      </c>
      <c r="U25" s="702">
        <v>22.577999999999999</v>
      </c>
      <c r="V25" s="702"/>
      <c r="W25" s="702"/>
      <c r="X25" s="702">
        <v>15.23</v>
      </c>
      <c r="Y25" s="702">
        <v>4.4260000000000002</v>
      </c>
      <c r="Z25" s="702">
        <v>8.0909999999999993</v>
      </c>
      <c r="AA25" s="702"/>
      <c r="AB25" s="702"/>
      <c r="AC25" s="702"/>
      <c r="AD25" s="702"/>
      <c r="AG25" s="805">
        <f t="shared" si="0"/>
        <v>-2.2514333659627961E-2</v>
      </c>
      <c r="AH25" s="806">
        <f t="shared" si="0"/>
        <v>0</v>
      </c>
      <c r="AI25" s="806">
        <f t="shared" si="0"/>
        <v>-4.9946865037194366E-2</v>
      </c>
      <c r="AJ25" s="806">
        <f t="shared" si="0"/>
        <v>-8.7607405438922759E-2</v>
      </c>
      <c r="AK25" s="806">
        <f t="shared" si="0"/>
        <v>0</v>
      </c>
      <c r="AL25" s="806">
        <f t="shared" si="0"/>
        <v>0</v>
      </c>
      <c r="AM25" s="806">
        <f t="shared" si="0"/>
        <v>-7.6165462902166747E-2</v>
      </c>
      <c r="AN25" s="806">
        <f t="shared" si="0"/>
        <v>-0.1188431992769996</v>
      </c>
      <c r="AO25" s="806">
        <f t="shared" ref="AO25:AS56" si="1">IFERROR(L25/Z25-1,0)</f>
        <v>-4.3381535038932051E-2</v>
      </c>
      <c r="AP25" s="806">
        <f t="shared" si="1"/>
        <v>0</v>
      </c>
      <c r="AQ25" s="806">
        <f t="shared" si="1"/>
        <v>0</v>
      </c>
      <c r="AR25" s="806">
        <f t="shared" si="1"/>
        <v>0</v>
      </c>
      <c r="AS25" s="806">
        <f t="shared" si="1"/>
        <v>0</v>
      </c>
      <c r="AT25" s="447" t="str">
        <f t="array" ref="AT25">IF(MAX(ABS(AG25:AS25))&gt;$AT$4,"EXPLAIN","")</f>
        <v/>
      </c>
    </row>
    <row r="26" spans="2:46" x14ac:dyDescent="0.2">
      <c r="B26" s="801" t="s">
        <v>700</v>
      </c>
      <c r="C26" s="802" t="str">
        <f>Prop2019DistTar!B26</f>
        <v>TOU</v>
      </c>
      <c r="D26" s="807">
        <f>SUM(Prop2019DistTar!D26,Prop2019TransTar!D26)</f>
        <v>0</v>
      </c>
      <c r="E26" s="642">
        <f>SUM(Prop2019DistTar!E26,Prop2019TransTar!E26,Prop2019JSTar!E26)</f>
        <v>0</v>
      </c>
      <c r="F26" s="642">
        <f>SUM(Prop2019DistTar!F26,Prop2019TransTar!F26,Prop2019JSTar!F26)</f>
        <v>0</v>
      </c>
      <c r="G26" s="642">
        <f>SUM(Prop2019DistTar!G26,Prop2019TransTar!G26,Prop2019JSTar!G26)</f>
        <v>12.34</v>
      </c>
      <c r="H26" s="642">
        <f>SUM(Prop2019DistTar!H26,Prop2019TransTar!H26,Prop2019JSTar!H26)</f>
        <v>0</v>
      </c>
      <c r="I26" s="642">
        <f>SUM(Prop2019DistTar!I26,Prop2019TransTar!I26,Prop2019JSTar!I26)</f>
        <v>0</v>
      </c>
      <c r="J26" s="642">
        <f>SUM(Prop2019DistTar!J26,Prop2019TransTar!J26,Prop2019JSTar!J26)</f>
        <v>7.17</v>
      </c>
      <c r="K26" s="642">
        <f>SUM(Prop2019DistTar!K26,Prop2019TransTar!K26,Prop2019JSTar!K26)</f>
        <v>2.97</v>
      </c>
      <c r="L26" s="642">
        <f>SUM(Prop2019DistTar!L26,Prop2019TransTar!L26,Prop2019JSTar!L26)</f>
        <v>0</v>
      </c>
      <c r="M26" s="642">
        <f>SUM(Prop2019DistTar!M26,Prop2019TransTar!M26,Prop2019JSTar!M26)</f>
        <v>0</v>
      </c>
      <c r="N26" s="642">
        <f>SUM(Prop2019DistTar!N26,Prop2019TransTar!N26,Prop2019JSTar!N26)</f>
        <v>49.78</v>
      </c>
      <c r="O26" s="642">
        <f>SUM(Prop2019DistTar!O26,Prop2019TransTar!O26,Prop2019JSTar!O26)</f>
        <v>0</v>
      </c>
      <c r="P26" s="642">
        <f>SUM(Prop2019DistTar!P26,Prop2019TransTar!P26,Prop2019JSTar!P26)</f>
        <v>0</v>
      </c>
      <c r="R26" s="808"/>
      <c r="S26" s="702"/>
      <c r="T26" s="702"/>
      <c r="U26" s="702">
        <v>12.337999999999999</v>
      </c>
      <c r="V26" s="702"/>
      <c r="W26" s="702"/>
      <c r="X26" s="702">
        <v>7.1760000000000002</v>
      </c>
      <c r="Y26" s="702">
        <v>2.9870000000000001</v>
      </c>
      <c r="Z26" s="702"/>
      <c r="AA26" s="702"/>
      <c r="AB26" s="702">
        <v>49.869</v>
      </c>
      <c r="AC26" s="702"/>
      <c r="AD26" s="702"/>
      <c r="AG26" s="805">
        <f t="shared" ref="AG26:AN57" si="2">IFERROR(D26/R26-1,0)</f>
        <v>0</v>
      </c>
      <c r="AH26" s="806">
        <f t="shared" si="2"/>
        <v>0</v>
      </c>
      <c r="AI26" s="806">
        <f t="shared" si="2"/>
        <v>0</v>
      </c>
      <c r="AJ26" s="806">
        <f t="shared" si="2"/>
        <v>1.6210082671430648E-4</v>
      </c>
      <c r="AK26" s="806">
        <f t="shared" si="2"/>
        <v>0</v>
      </c>
      <c r="AL26" s="806">
        <f t="shared" si="2"/>
        <v>0</v>
      </c>
      <c r="AM26" s="806">
        <f t="shared" si="2"/>
        <v>-8.361204013378476E-4</v>
      </c>
      <c r="AN26" s="806">
        <f t="shared" si="2"/>
        <v>-5.6913290927351756E-3</v>
      </c>
      <c r="AO26" s="806">
        <f t="shared" si="1"/>
        <v>0</v>
      </c>
      <c r="AP26" s="806">
        <f t="shared" si="1"/>
        <v>0</v>
      </c>
      <c r="AQ26" s="806">
        <f t="shared" si="1"/>
        <v>-1.7846758507288341E-3</v>
      </c>
      <c r="AR26" s="806">
        <f t="shared" si="1"/>
        <v>0</v>
      </c>
      <c r="AS26" s="806">
        <f t="shared" si="1"/>
        <v>0</v>
      </c>
      <c r="AT26" s="447" t="str">
        <f t="array" ref="AT26">IF(MAX(ABS(AG26:AS26))&gt;$AT$4,"EXPLAIN","")</f>
        <v/>
      </c>
    </row>
    <row r="27" spans="2:46" x14ac:dyDescent="0.2">
      <c r="B27" s="801" t="s">
        <v>701</v>
      </c>
      <c r="C27" s="802" t="str">
        <f>Prop2019DistTar!B27</f>
        <v>TODFLEX</v>
      </c>
      <c r="D27" s="807">
        <f>SUM(Prop2019DistTar!D27,Prop2019TransTar!D27)</f>
        <v>7.53</v>
      </c>
      <c r="E27" s="642">
        <f>SUM(Prop2019DistTar!E27,Prop2019TransTar!E27,Prop2019JSTar!E27)</f>
        <v>0</v>
      </c>
      <c r="F27" s="642">
        <f>SUM(Prop2019DistTar!F27,Prop2019TransTar!F27,Prop2019JSTar!F27)</f>
        <v>6.56</v>
      </c>
      <c r="G27" s="642">
        <f>SUM(Prop2019DistTar!G27,Prop2019TransTar!G27,Prop2019JSTar!G27)</f>
        <v>21.34</v>
      </c>
      <c r="H27" s="642">
        <f>SUM(Prop2019DistTar!H27,Prop2019TransTar!H27,Prop2019JSTar!H27)</f>
        <v>0</v>
      </c>
      <c r="I27" s="642">
        <f>SUM(Prop2019DistTar!I27,Prop2019TransTar!I27,Prop2019JSTar!I27)</f>
        <v>0</v>
      </c>
      <c r="J27" s="642">
        <f>SUM(Prop2019DistTar!J27,Prop2019TransTar!J27,Prop2019JSTar!J27)</f>
        <v>13.45</v>
      </c>
      <c r="K27" s="642">
        <f>SUM(Prop2019DistTar!K27,Prop2019TransTar!K27,Prop2019JSTar!K27)</f>
        <v>4.1399999999999997</v>
      </c>
      <c r="L27" s="642">
        <f>SUM(Prop2019DistTar!L27,Prop2019TransTar!L27,Prop2019JSTar!L27)</f>
        <v>6.3599999999999994</v>
      </c>
      <c r="M27" s="642">
        <f>SUM(Prop2019DistTar!M27,Prop2019TransTar!M27,Prop2019JSTar!M27)</f>
        <v>0</v>
      </c>
      <c r="N27" s="642">
        <f>SUM(Prop2019DistTar!N27,Prop2019TransTar!N27,Prop2019JSTar!N27)</f>
        <v>0</v>
      </c>
      <c r="O27" s="642">
        <f>SUM(Prop2019DistTar!O27,Prop2019TransTar!O27,Prop2019JSTar!O27)</f>
        <v>0</v>
      </c>
      <c r="P27" s="642">
        <f>SUM(Prop2019DistTar!P27,Prop2019TransTar!P27,Prop2019JSTar!P27)</f>
        <v>0</v>
      </c>
      <c r="R27" s="808">
        <v>7.7009999999999996</v>
      </c>
      <c r="S27" s="702"/>
      <c r="T27" s="702">
        <v>6.6360000000000001</v>
      </c>
      <c r="U27" s="702">
        <v>21.673999999999999</v>
      </c>
      <c r="V27" s="702"/>
      <c r="W27" s="702"/>
      <c r="X27" s="702">
        <v>13.622</v>
      </c>
      <c r="Y27" s="702">
        <v>4.2329999999999997</v>
      </c>
      <c r="Z27" s="702">
        <v>6.4420000000000002</v>
      </c>
      <c r="AA27" s="702"/>
      <c r="AB27" s="702"/>
      <c r="AC27" s="702"/>
      <c r="AD27" s="702"/>
      <c r="AG27" s="805">
        <f t="shared" si="2"/>
        <v>-2.2204908453447469E-2</v>
      </c>
      <c r="AH27" s="806">
        <f t="shared" si="2"/>
        <v>0</v>
      </c>
      <c r="AI27" s="806">
        <f t="shared" si="2"/>
        <v>-1.1452682338758402E-2</v>
      </c>
      <c r="AJ27" s="806">
        <f t="shared" si="2"/>
        <v>-1.541016886592228E-2</v>
      </c>
      <c r="AK27" s="806">
        <f t="shared" si="2"/>
        <v>0</v>
      </c>
      <c r="AL27" s="806">
        <f t="shared" si="2"/>
        <v>0</v>
      </c>
      <c r="AM27" s="806">
        <f t="shared" si="2"/>
        <v>-1.2626633387167852E-2</v>
      </c>
      <c r="AN27" s="806">
        <f t="shared" si="2"/>
        <v>-2.1970233876683176E-2</v>
      </c>
      <c r="AO27" s="806">
        <f t="shared" si="1"/>
        <v>-1.2728966159577859E-2</v>
      </c>
      <c r="AP27" s="806">
        <f t="shared" si="1"/>
        <v>0</v>
      </c>
      <c r="AQ27" s="806">
        <f t="shared" si="1"/>
        <v>0</v>
      </c>
      <c r="AR27" s="806">
        <f t="shared" si="1"/>
        <v>0</v>
      </c>
      <c r="AS27" s="806">
        <f t="shared" si="1"/>
        <v>0</v>
      </c>
      <c r="AT27" s="447" t="str">
        <f t="array" ref="AT27">IF(MAX(ABS(AG27:AS27))&gt;$AT$4,"EXPLAIN","")</f>
        <v/>
      </c>
    </row>
    <row r="28" spans="2:46" x14ac:dyDescent="0.2">
      <c r="B28" s="801" t="s">
        <v>702</v>
      </c>
      <c r="C28" s="802" t="str">
        <f>Prop2019DistTar!B28</f>
        <v>Low Voltage KW 1 rate</v>
      </c>
      <c r="D28" s="807">
        <f>SUM(Prop2019DistTar!D28,Prop2019TransTar!D28)</f>
        <v>0</v>
      </c>
      <c r="E28" s="642">
        <f>SUM(Prop2019DistTar!E28,Prop2019TransTar!E28,Prop2019JSTar!E28)</f>
        <v>3.42</v>
      </c>
      <c r="F28" s="642">
        <f>SUM(Prop2019DistTar!F28,Prop2019TransTar!F28,Prop2019JSTar!F28)</f>
        <v>3.42</v>
      </c>
      <c r="G28" s="642">
        <f>SUM(Prop2019DistTar!G28,Prop2019TransTar!G28,Prop2019JSTar!G28)</f>
        <v>3.42</v>
      </c>
      <c r="H28" s="642">
        <f>SUM(Prop2019DistTar!H28,Prop2019TransTar!H28,Prop2019JSTar!H28)</f>
        <v>3.42</v>
      </c>
      <c r="I28" s="642">
        <f>SUM(Prop2019DistTar!I28,Prop2019TransTar!I28,Prop2019JSTar!I28)</f>
        <v>3.42</v>
      </c>
      <c r="J28" s="642">
        <f>SUM(Prop2019DistTar!J28,Prop2019TransTar!J28,Prop2019JSTar!J28)</f>
        <v>3.42</v>
      </c>
      <c r="K28" s="642">
        <f>SUM(Prop2019DistTar!K28,Prop2019TransTar!K28,Prop2019JSTar!K28)</f>
        <v>3.42</v>
      </c>
      <c r="L28" s="642">
        <f>SUM(Prop2019DistTar!L28,Prop2019TransTar!L28,Prop2019JSTar!L28)</f>
        <v>3.42</v>
      </c>
      <c r="M28" s="642">
        <f>SUM(Prop2019DistTar!M28,Prop2019TransTar!M28,Prop2019JSTar!M28)</f>
        <v>0</v>
      </c>
      <c r="N28" s="642">
        <f>SUM(Prop2019DistTar!N28,Prop2019TransTar!N28,Prop2019JSTar!N28)</f>
        <v>0</v>
      </c>
      <c r="O28" s="642">
        <f>SUM(Prop2019DistTar!O28,Prop2019TransTar!O28,Prop2019JSTar!O28)</f>
        <v>31.6</v>
      </c>
      <c r="P28" s="642">
        <f>SUM(Prop2019DistTar!P28,Prop2019TransTar!P28,Prop2019JSTar!P28)</f>
        <v>13.65</v>
      </c>
      <c r="R28" s="808"/>
      <c r="S28" s="702">
        <v>3.468</v>
      </c>
      <c r="T28" s="702">
        <v>3.468</v>
      </c>
      <c r="U28" s="702">
        <f>S28</f>
        <v>3.468</v>
      </c>
      <c r="V28" s="702">
        <v>3.468</v>
      </c>
      <c r="W28" s="702">
        <v>3.468</v>
      </c>
      <c r="X28" s="702">
        <f>V28</f>
        <v>3.468</v>
      </c>
      <c r="Y28" s="702">
        <v>3.468</v>
      </c>
      <c r="Z28" s="702">
        <v>3.468</v>
      </c>
      <c r="AA28" s="702"/>
      <c r="AB28" s="702"/>
      <c r="AC28" s="702">
        <v>32.115000000000002</v>
      </c>
      <c r="AD28" s="702">
        <v>13.831</v>
      </c>
      <c r="AG28" s="805">
        <f t="shared" si="2"/>
        <v>0</v>
      </c>
      <c r="AH28" s="806">
        <f t="shared" si="2"/>
        <v>-1.384083044982698E-2</v>
      </c>
      <c r="AI28" s="806">
        <f t="shared" si="2"/>
        <v>-1.384083044982698E-2</v>
      </c>
      <c r="AJ28" s="806">
        <f t="shared" si="2"/>
        <v>-1.384083044982698E-2</v>
      </c>
      <c r="AK28" s="806">
        <f t="shared" si="2"/>
        <v>-1.384083044982698E-2</v>
      </c>
      <c r="AL28" s="806">
        <f t="shared" si="2"/>
        <v>-1.384083044982698E-2</v>
      </c>
      <c r="AM28" s="806">
        <f t="shared" si="2"/>
        <v>-1.384083044982698E-2</v>
      </c>
      <c r="AN28" s="806">
        <f t="shared" si="2"/>
        <v>-1.384083044982698E-2</v>
      </c>
      <c r="AO28" s="806">
        <f t="shared" si="1"/>
        <v>-1.384083044982698E-2</v>
      </c>
      <c r="AP28" s="806">
        <f t="shared" si="1"/>
        <v>0</v>
      </c>
      <c r="AQ28" s="806">
        <f t="shared" si="1"/>
        <v>0</v>
      </c>
      <c r="AR28" s="806">
        <f t="shared" si="1"/>
        <v>-1.6036120193056225E-2</v>
      </c>
      <c r="AS28" s="806">
        <f t="shared" si="1"/>
        <v>-1.3086544718386217E-2</v>
      </c>
      <c r="AT28" s="447" t="str">
        <f t="array" ref="AT28">IF(MAX(ABS(AG28:AS28))&gt;$AT$4,"EXPLAIN","")</f>
        <v/>
      </c>
    </row>
    <row r="29" spans="2:46" x14ac:dyDescent="0.2">
      <c r="B29" s="801" t="s">
        <v>703</v>
      </c>
      <c r="C29" s="802" t="str">
        <f>Prop2019DistTar!B29</f>
        <v>Low voltage medium KW time of use (opt-in)</v>
      </c>
      <c r="D29" s="807">
        <f>SUM(Prop2019DistTar!D29,Prop2019TransTar!D29)</f>
        <v>0</v>
      </c>
      <c r="E29" s="642">
        <f>SUM(Prop2019DistTar!E29,Prop2019TransTar!E29,Prop2019JSTar!E29)</f>
        <v>0</v>
      </c>
      <c r="F29" s="642">
        <f>SUM(Prop2019DistTar!F29,Prop2019TransTar!F29,Prop2019JSTar!F29)</f>
        <v>0</v>
      </c>
      <c r="G29" s="642">
        <f>SUM(Prop2019DistTar!G29,Prop2019TransTar!G29,Prop2019JSTar!G29)</f>
        <v>4.26</v>
      </c>
      <c r="H29" s="642">
        <f>SUM(Prop2019DistTar!H29,Prop2019TransTar!H29,Prop2019JSTar!H29)</f>
        <v>0</v>
      </c>
      <c r="I29" s="642">
        <f>SUM(Prop2019DistTar!I29,Prop2019TransTar!I29,Prop2019JSTar!I29)</f>
        <v>0</v>
      </c>
      <c r="J29" s="642">
        <f>SUM(Prop2019DistTar!J29,Prop2019TransTar!J29,Prop2019JSTar!J29)</f>
        <v>4.26</v>
      </c>
      <c r="K29" s="642">
        <f>SUM(Prop2019DistTar!K29,Prop2019TransTar!K29,Prop2019JSTar!K29)</f>
        <v>0</v>
      </c>
      <c r="L29" s="642">
        <f>SUM(Prop2019DistTar!L29,Prop2019TransTar!L29,Prop2019JSTar!L29)</f>
        <v>0</v>
      </c>
      <c r="M29" s="642">
        <f>SUM(Prop2019DistTar!M29,Prop2019TransTar!M29,Prop2019JSTar!M29)</f>
        <v>0</v>
      </c>
      <c r="N29" s="642">
        <f>SUM(Prop2019DistTar!N29,Prop2019TransTar!N29,Prop2019JSTar!N29)</f>
        <v>0</v>
      </c>
      <c r="O29" s="642">
        <f>SUM(Prop2019DistTar!O29,Prop2019TransTar!O29,Prop2019JSTar!O29)</f>
        <v>48.199999999999996</v>
      </c>
      <c r="P29" s="642">
        <f>SUM(Prop2019DistTar!P29,Prop2019TransTar!P29,Prop2019JSTar!P29)</f>
        <v>32.130000000000003</v>
      </c>
      <c r="R29" s="808"/>
      <c r="S29" s="702">
        <v>4.6559999999999997</v>
      </c>
      <c r="T29" s="702">
        <v>4.6559999999999997</v>
      </c>
      <c r="U29" s="702">
        <f t="shared" ref="U29:U30" si="3">S29</f>
        <v>4.6559999999999997</v>
      </c>
      <c r="V29" s="702">
        <v>4.6559999999999997</v>
      </c>
      <c r="W29" s="702">
        <v>4.6559999999999997</v>
      </c>
      <c r="X29" s="702">
        <f t="shared" ref="X29:X30" si="4">V29</f>
        <v>4.6559999999999997</v>
      </c>
      <c r="Y29" s="702">
        <v>4.6559999999999997</v>
      </c>
      <c r="Z29" s="702">
        <v>4.6559999999999997</v>
      </c>
      <c r="AA29" s="702"/>
      <c r="AB29" s="702"/>
      <c r="AC29" s="702">
        <v>38.512</v>
      </c>
      <c r="AD29" s="702">
        <v>25.675000000000001</v>
      </c>
      <c r="AG29" s="805">
        <f t="shared" si="2"/>
        <v>0</v>
      </c>
      <c r="AH29" s="806">
        <f t="shared" si="2"/>
        <v>-1</v>
      </c>
      <c r="AI29" s="806">
        <f t="shared" si="2"/>
        <v>-1</v>
      </c>
      <c r="AJ29" s="806">
        <f t="shared" si="2"/>
        <v>-8.5051546391752608E-2</v>
      </c>
      <c r="AK29" s="806">
        <f t="shared" si="2"/>
        <v>-1</v>
      </c>
      <c r="AL29" s="806">
        <f t="shared" si="2"/>
        <v>-1</v>
      </c>
      <c r="AM29" s="806">
        <f t="shared" si="2"/>
        <v>-8.5051546391752608E-2</v>
      </c>
      <c r="AN29" s="806">
        <f t="shared" si="2"/>
        <v>-1</v>
      </c>
      <c r="AO29" s="806">
        <f t="shared" si="1"/>
        <v>-1</v>
      </c>
      <c r="AP29" s="806">
        <f t="shared" si="1"/>
        <v>0</v>
      </c>
      <c r="AQ29" s="806">
        <f t="shared" si="1"/>
        <v>0</v>
      </c>
      <c r="AR29" s="806">
        <f t="shared" si="1"/>
        <v>0.25155795596177799</v>
      </c>
      <c r="AS29" s="806">
        <f t="shared" si="1"/>
        <v>0.25141187925998065</v>
      </c>
      <c r="AT29" s="447" t="str">
        <f t="array" ref="AT29">IF(MAX(ABS(AG29:AS29))&gt;$AT$4,"EXPLAIN","")</f>
        <v>EXPLAIN</v>
      </c>
    </row>
    <row r="30" spans="2:46" x14ac:dyDescent="0.2">
      <c r="B30" s="801" t="s">
        <v>704</v>
      </c>
      <c r="C30" s="802" t="str">
        <f>Prop2019DistTar!B30</f>
        <v>Low voltage medium KW 1 rate (mandatory)</v>
      </c>
      <c r="D30" s="807">
        <f>SUM(Prop2019DistTar!D30,Prop2019TransTar!D30)</f>
        <v>0</v>
      </c>
      <c r="E30" s="642">
        <f>SUM(Prop2019DistTar!E30,Prop2019TransTar!E30,Prop2019JSTar!E30)</f>
        <v>0</v>
      </c>
      <c r="F30" s="642">
        <f>SUM(Prop2019DistTar!F30,Prop2019TransTar!F30,Prop2019JSTar!F30)</f>
        <v>0</v>
      </c>
      <c r="G30" s="642">
        <f>SUM(Prop2019DistTar!G30,Prop2019TransTar!G30,Prop2019JSTar!G30)</f>
        <v>4.26</v>
      </c>
      <c r="H30" s="642">
        <f>SUM(Prop2019DistTar!H30,Prop2019TransTar!H30,Prop2019JSTar!H30)</f>
        <v>0</v>
      </c>
      <c r="I30" s="642">
        <f>SUM(Prop2019DistTar!I30,Prop2019TransTar!I30,Prop2019JSTar!I30)</f>
        <v>0</v>
      </c>
      <c r="J30" s="642">
        <f>SUM(Prop2019DistTar!J30,Prop2019TransTar!J30,Prop2019JSTar!J30)</f>
        <v>4.26</v>
      </c>
      <c r="K30" s="642">
        <f>SUM(Prop2019DistTar!K30,Prop2019TransTar!K30,Prop2019JSTar!K30)</f>
        <v>0</v>
      </c>
      <c r="L30" s="642">
        <f>SUM(Prop2019DistTar!L30,Prop2019TransTar!L30,Prop2019JSTar!L30)</f>
        <v>0</v>
      </c>
      <c r="M30" s="642">
        <f>SUM(Prop2019DistTar!M30,Prop2019TransTar!M30,Prop2019JSTar!M30)</f>
        <v>0</v>
      </c>
      <c r="N30" s="642">
        <f>SUM(Prop2019DistTar!N30,Prop2019TransTar!N30,Prop2019JSTar!N30)</f>
        <v>0</v>
      </c>
      <c r="O30" s="642">
        <f>SUM(Prop2019DistTar!O30,Prop2019TransTar!O30,Prop2019JSTar!O30)</f>
        <v>48.199999999999996</v>
      </c>
      <c r="P30" s="642">
        <f>SUM(Prop2019DistTar!P30,Prop2019TransTar!P30,Prop2019JSTar!P30)</f>
        <v>32.130000000000003</v>
      </c>
      <c r="R30" s="808"/>
      <c r="S30" s="702">
        <v>7.1239999999999997</v>
      </c>
      <c r="T30" s="702">
        <v>7.1239999999999997</v>
      </c>
      <c r="U30" s="702">
        <f t="shared" si="3"/>
        <v>7.1239999999999997</v>
      </c>
      <c r="V30" s="702">
        <v>7.1239999999999997</v>
      </c>
      <c r="W30" s="702">
        <v>7.1239999999999997</v>
      </c>
      <c r="X30" s="702">
        <f t="shared" si="4"/>
        <v>7.1239999999999997</v>
      </c>
      <c r="Y30" s="702">
        <v>7.1239999999999997</v>
      </c>
      <c r="Z30" s="702">
        <v>7.1239999999999997</v>
      </c>
      <c r="AA30" s="702"/>
      <c r="AB30" s="702"/>
      <c r="AC30" s="702">
        <v>23.870999999999999</v>
      </c>
      <c r="AD30" s="702">
        <v>15.914</v>
      </c>
      <c r="AG30" s="805">
        <f t="shared" si="2"/>
        <v>0</v>
      </c>
      <c r="AH30" s="806">
        <f t="shared" si="2"/>
        <v>-1</v>
      </c>
      <c r="AI30" s="806">
        <f t="shared" si="2"/>
        <v>-1</v>
      </c>
      <c r="AJ30" s="806">
        <f t="shared" si="2"/>
        <v>-0.40202133632790571</v>
      </c>
      <c r="AK30" s="806">
        <f t="shared" si="2"/>
        <v>-1</v>
      </c>
      <c r="AL30" s="806">
        <f t="shared" si="2"/>
        <v>-1</v>
      </c>
      <c r="AM30" s="806">
        <f t="shared" si="2"/>
        <v>-0.40202133632790571</v>
      </c>
      <c r="AN30" s="806">
        <f t="shared" si="2"/>
        <v>-1</v>
      </c>
      <c r="AO30" s="806">
        <f t="shared" si="1"/>
        <v>-1</v>
      </c>
      <c r="AP30" s="806">
        <f t="shared" si="1"/>
        <v>0</v>
      </c>
      <c r="AQ30" s="806">
        <f t="shared" si="1"/>
        <v>0</v>
      </c>
      <c r="AR30" s="806">
        <f t="shared" si="1"/>
        <v>1.0191864605588372</v>
      </c>
      <c r="AS30" s="806">
        <f t="shared" si="1"/>
        <v>1.0189770013824306</v>
      </c>
      <c r="AT30" s="447" t="str">
        <f t="array" ref="AT30">IF(MAX(ABS(AG30:AS30))&gt;$AT$4,"EXPLAIN","")</f>
        <v>EXPLAIN</v>
      </c>
    </row>
    <row r="31" spans="2:46" x14ac:dyDescent="0.2">
      <c r="B31" s="801"/>
      <c r="C31" s="802"/>
      <c r="D31" s="807"/>
      <c r="E31" s="642"/>
      <c r="F31" s="642"/>
      <c r="G31" s="642"/>
      <c r="H31" s="642"/>
      <c r="I31" s="642"/>
      <c r="J31" s="642"/>
      <c r="K31" s="642"/>
      <c r="L31" s="642"/>
      <c r="M31" s="642"/>
      <c r="N31" s="642"/>
      <c r="O31" s="642"/>
      <c r="P31" s="642"/>
      <c r="R31" s="808"/>
      <c r="S31" s="702"/>
      <c r="T31" s="702"/>
      <c r="U31" s="702"/>
      <c r="V31" s="702"/>
      <c r="W31" s="702"/>
      <c r="X31" s="702"/>
      <c r="Y31" s="702"/>
      <c r="Z31" s="702"/>
      <c r="AA31" s="702"/>
      <c r="AB31" s="702"/>
      <c r="AC31" s="702"/>
      <c r="AD31" s="702"/>
      <c r="AG31" s="805">
        <f t="shared" si="2"/>
        <v>0</v>
      </c>
      <c r="AH31" s="806">
        <f t="shared" si="2"/>
        <v>0</v>
      </c>
      <c r="AI31" s="806">
        <f t="shared" si="2"/>
        <v>0</v>
      </c>
      <c r="AJ31" s="806">
        <f t="shared" si="2"/>
        <v>0</v>
      </c>
      <c r="AK31" s="806">
        <f t="shared" si="2"/>
        <v>0</v>
      </c>
      <c r="AL31" s="806">
        <f t="shared" si="2"/>
        <v>0</v>
      </c>
      <c r="AM31" s="806">
        <f t="shared" si="2"/>
        <v>0</v>
      </c>
      <c r="AN31" s="806">
        <f t="shared" si="2"/>
        <v>0</v>
      </c>
      <c r="AO31" s="806">
        <f t="shared" si="1"/>
        <v>0</v>
      </c>
      <c r="AP31" s="806">
        <f t="shared" si="1"/>
        <v>0</v>
      </c>
      <c r="AQ31" s="806">
        <f t="shared" si="1"/>
        <v>0</v>
      </c>
      <c r="AR31" s="806">
        <f t="shared" si="1"/>
        <v>0</v>
      </c>
      <c r="AS31" s="806">
        <f t="shared" si="1"/>
        <v>0</v>
      </c>
      <c r="AT31" s="447" t="str">
        <f t="array" ref="AT31">IF(MAX(ABS(AG31:AS31))&gt;$AT$4,"EXPLAIN","")</f>
        <v/>
      </c>
    </row>
    <row r="32" spans="2:46" x14ac:dyDescent="0.2">
      <c r="B32" s="801"/>
      <c r="C32" s="802"/>
      <c r="D32" s="807"/>
      <c r="E32" s="642"/>
      <c r="F32" s="642"/>
      <c r="G32" s="642"/>
      <c r="H32" s="642"/>
      <c r="I32" s="642"/>
      <c r="J32" s="642"/>
      <c r="K32" s="642"/>
      <c r="L32" s="642"/>
      <c r="M32" s="642"/>
      <c r="N32" s="642"/>
      <c r="O32" s="642"/>
      <c r="P32" s="642"/>
      <c r="R32" s="808"/>
      <c r="S32" s="702"/>
      <c r="T32" s="702"/>
      <c r="U32" s="702"/>
      <c r="V32" s="702"/>
      <c r="W32" s="702"/>
      <c r="X32" s="702"/>
      <c r="Y32" s="702"/>
      <c r="Z32" s="702"/>
      <c r="AA32" s="702"/>
      <c r="AB32" s="702"/>
      <c r="AC32" s="702"/>
      <c r="AD32" s="702"/>
      <c r="AG32" s="805">
        <f t="shared" si="2"/>
        <v>0</v>
      </c>
      <c r="AH32" s="806">
        <f t="shared" si="2"/>
        <v>0</v>
      </c>
      <c r="AI32" s="806">
        <f t="shared" si="2"/>
        <v>0</v>
      </c>
      <c r="AJ32" s="806">
        <f t="shared" si="2"/>
        <v>0</v>
      </c>
      <c r="AK32" s="806">
        <f t="shared" si="2"/>
        <v>0</v>
      </c>
      <c r="AL32" s="806">
        <f t="shared" si="2"/>
        <v>0</v>
      </c>
      <c r="AM32" s="806">
        <f t="shared" si="2"/>
        <v>0</v>
      </c>
      <c r="AN32" s="806">
        <f t="shared" si="2"/>
        <v>0</v>
      </c>
      <c r="AO32" s="806">
        <f t="shared" si="1"/>
        <v>0</v>
      </c>
      <c r="AP32" s="806">
        <f t="shared" si="1"/>
        <v>0</v>
      </c>
      <c r="AQ32" s="806">
        <f t="shared" si="1"/>
        <v>0</v>
      </c>
      <c r="AR32" s="806">
        <f t="shared" si="1"/>
        <v>0</v>
      </c>
      <c r="AS32" s="806">
        <f t="shared" si="1"/>
        <v>0</v>
      </c>
      <c r="AT32" s="447" t="str">
        <f t="array" ref="AT32">IF(MAX(ABS(AG32:AS32))&gt;$AT$4,"EXPLAIN","")</f>
        <v/>
      </c>
    </row>
    <row r="33" spans="2:46" x14ac:dyDescent="0.2">
      <c r="B33" s="801"/>
      <c r="C33" s="802"/>
      <c r="D33" s="807"/>
      <c r="E33" s="642"/>
      <c r="F33" s="642"/>
      <c r="G33" s="642"/>
      <c r="H33" s="642"/>
      <c r="I33" s="642"/>
      <c r="J33" s="642"/>
      <c r="K33" s="642"/>
      <c r="L33" s="642"/>
      <c r="M33" s="642"/>
      <c r="N33" s="642"/>
      <c r="O33" s="642"/>
      <c r="P33" s="642"/>
      <c r="R33" s="808"/>
      <c r="S33" s="702"/>
      <c r="T33" s="702"/>
      <c r="U33" s="702"/>
      <c r="V33" s="702"/>
      <c r="W33" s="702"/>
      <c r="X33" s="702"/>
      <c r="Y33" s="702"/>
      <c r="Z33" s="702"/>
      <c r="AA33" s="702"/>
      <c r="AB33" s="702"/>
      <c r="AC33" s="702"/>
      <c r="AD33" s="702"/>
      <c r="AG33" s="805">
        <f t="shared" si="2"/>
        <v>0</v>
      </c>
      <c r="AH33" s="806">
        <f t="shared" si="2"/>
        <v>0</v>
      </c>
      <c r="AI33" s="806">
        <f t="shared" si="2"/>
        <v>0</v>
      </c>
      <c r="AJ33" s="806">
        <f t="shared" si="2"/>
        <v>0</v>
      </c>
      <c r="AK33" s="806">
        <f t="shared" si="2"/>
        <v>0</v>
      </c>
      <c r="AL33" s="806">
        <f t="shared" si="2"/>
        <v>0</v>
      </c>
      <c r="AM33" s="806">
        <f t="shared" si="2"/>
        <v>0</v>
      </c>
      <c r="AN33" s="806">
        <f t="shared" si="2"/>
        <v>0</v>
      </c>
      <c r="AO33" s="806">
        <f t="shared" si="1"/>
        <v>0</v>
      </c>
      <c r="AP33" s="806">
        <f t="shared" si="1"/>
        <v>0</v>
      </c>
      <c r="AQ33" s="806">
        <f t="shared" si="1"/>
        <v>0</v>
      </c>
      <c r="AR33" s="806">
        <f t="shared" si="1"/>
        <v>0</v>
      </c>
      <c r="AS33" s="806">
        <f t="shared" si="1"/>
        <v>0</v>
      </c>
      <c r="AT33" s="447" t="str">
        <f t="array" ref="AT33">IF(MAX(ABS(AG33:AS33))&gt;$AT$4,"EXPLAIN","")</f>
        <v/>
      </c>
    </row>
    <row r="34" spans="2:46" x14ac:dyDescent="0.2">
      <c r="B34" s="801"/>
      <c r="C34" s="802"/>
      <c r="D34" s="807"/>
      <c r="E34" s="642"/>
      <c r="F34" s="642"/>
      <c r="G34" s="642"/>
      <c r="H34" s="642"/>
      <c r="I34" s="642"/>
      <c r="J34" s="642"/>
      <c r="K34" s="642"/>
      <c r="L34" s="642"/>
      <c r="M34" s="642"/>
      <c r="N34" s="642"/>
      <c r="O34" s="642"/>
      <c r="P34" s="642"/>
      <c r="R34" s="808"/>
      <c r="S34" s="702"/>
      <c r="T34" s="702"/>
      <c r="U34" s="702"/>
      <c r="V34" s="702"/>
      <c r="W34" s="702"/>
      <c r="X34" s="702"/>
      <c r="Y34" s="702"/>
      <c r="Z34" s="702"/>
      <c r="AA34" s="702"/>
      <c r="AB34" s="702"/>
      <c r="AC34" s="702"/>
      <c r="AD34" s="702"/>
      <c r="AG34" s="805">
        <f t="shared" si="2"/>
        <v>0</v>
      </c>
      <c r="AH34" s="806">
        <f t="shared" si="2"/>
        <v>0</v>
      </c>
      <c r="AI34" s="806">
        <f t="shared" si="2"/>
        <v>0</v>
      </c>
      <c r="AJ34" s="806">
        <f t="shared" si="2"/>
        <v>0</v>
      </c>
      <c r="AK34" s="806">
        <f t="shared" si="2"/>
        <v>0</v>
      </c>
      <c r="AL34" s="806">
        <f t="shared" si="2"/>
        <v>0</v>
      </c>
      <c r="AM34" s="806">
        <f t="shared" si="2"/>
        <v>0</v>
      </c>
      <c r="AN34" s="806">
        <f t="shared" si="2"/>
        <v>0</v>
      </c>
      <c r="AO34" s="806">
        <f t="shared" si="1"/>
        <v>0</v>
      </c>
      <c r="AP34" s="806">
        <f t="shared" si="1"/>
        <v>0</v>
      </c>
      <c r="AQ34" s="806">
        <f t="shared" si="1"/>
        <v>0</v>
      </c>
      <c r="AR34" s="806">
        <f t="shared" si="1"/>
        <v>0</v>
      </c>
      <c r="AS34" s="806">
        <f t="shared" si="1"/>
        <v>0</v>
      </c>
      <c r="AT34" s="447" t="str">
        <f t="array" ref="AT34">IF(MAX(ABS(AG34:AS34))&gt;$AT$4,"EXPLAIN","")</f>
        <v/>
      </c>
    </row>
    <row r="35" spans="2:46" x14ac:dyDescent="0.2">
      <c r="B35" s="801"/>
      <c r="C35" s="802"/>
      <c r="D35" s="807"/>
      <c r="E35" s="642"/>
      <c r="F35" s="642"/>
      <c r="G35" s="642"/>
      <c r="H35" s="642"/>
      <c r="I35" s="642"/>
      <c r="J35" s="642"/>
      <c r="K35" s="642"/>
      <c r="L35" s="642"/>
      <c r="M35" s="642"/>
      <c r="N35" s="642"/>
      <c r="O35" s="642"/>
      <c r="P35" s="642"/>
      <c r="R35" s="808"/>
      <c r="S35" s="702"/>
      <c r="T35" s="702"/>
      <c r="U35" s="702"/>
      <c r="V35" s="702"/>
      <c r="W35" s="702"/>
      <c r="X35" s="702"/>
      <c r="Y35" s="702"/>
      <c r="Z35" s="702"/>
      <c r="AA35" s="702"/>
      <c r="AB35" s="702"/>
      <c r="AC35" s="702"/>
      <c r="AD35" s="702"/>
      <c r="AG35" s="805">
        <f t="shared" si="2"/>
        <v>0</v>
      </c>
      <c r="AH35" s="806">
        <f t="shared" si="2"/>
        <v>0</v>
      </c>
      <c r="AI35" s="806">
        <f t="shared" si="2"/>
        <v>0</v>
      </c>
      <c r="AJ35" s="806">
        <f t="shared" si="2"/>
        <v>0</v>
      </c>
      <c r="AK35" s="806">
        <f t="shared" si="2"/>
        <v>0</v>
      </c>
      <c r="AL35" s="806">
        <f t="shared" si="2"/>
        <v>0</v>
      </c>
      <c r="AM35" s="806">
        <f t="shared" si="2"/>
        <v>0</v>
      </c>
      <c r="AN35" s="806">
        <f t="shared" si="2"/>
        <v>0</v>
      </c>
      <c r="AO35" s="806">
        <f t="shared" si="1"/>
        <v>0</v>
      </c>
      <c r="AP35" s="806">
        <f t="shared" si="1"/>
        <v>0</v>
      </c>
      <c r="AQ35" s="806">
        <f t="shared" si="1"/>
        <v>0</v>
      </c>
      <c r="AR35" s="806">
        <f t="shared" si="1"/>
        <v>0</v>
      </c>
      <c r="AS35" s="806">
        <f t="shared" si="1"/>
        <v>0</v>
      </c>
      <c r="AT35" s="447" t="str">
        <f t="array" ref="AT35">IF(MAX(ABS(AG35:AS35))&gt;$AT$4,"EXPLAIN","")</f>
        <v/>
      </c>
    </row>
    <row r="36" spans="2:46" x14ac:dyDescent="0.2">
      <c r="B36" s="801"/>
      <c r="C36" s="802"/>
      <c r="D36" s="807"/>
      <c r="E36" s="642"/>
      <c r="F36" s="642"/>
      <c r="G36" s="642"/>
      <c r="H36" s="642"/>
      <c r="I36" s="642"/>
      <c r="J36" s="642"/>
      <c r="K36" s="642"/>
      <c r="L36" s="642"/>
      <c r="M36" s="642"/>
      <c r="N36" s="642"/>
      <c r="O36" s="642"/>
      <c r="P36" s="642"/>
      <c r="R36" s="808"/>
      <c r="S36" s="702"/>
      <c r="T36" s="702"/>
      <c r="U36" s="702"/>
      <c r="V36" s="702"/>
      <c r="W36" s="702"/>
      <c r="X36" s="702"/>
      <c r="Y36" s="702"/>
      <c r="Z36" s="702"/>
      <c r="AA36" s="702"/>
      <c r="AB36" s="702"/>
      <c r="AC36" s="702"/>
      <c r="AD36" s="702"/>
      <c r="AG36" s="805">
        <f t="shared" si="2"/>
        <v>0</v>
      </c>
      <c r="AH36" s="806">
        <f t="shared" si="2"/>
        <v>0</v>
      </c>
      <c r="AI36" s="806">
        <f t="shared" si="2"/>
        <v>0</v>
      </c>
      <c r="AJ36" s="806">
        <f t="shared" si="2"/>
        <v>0</v>
      </c>
      <c r="AK36" s="806">
        <f t="shared" si="2"/>
        <v>0</v>
      </c>
      <c r="AL36" s="806">
        <f t="shared" si="2"/>
        <v>0</v>
      </c>
      <c r="AM36" s="806">
        <f t="shared" si="2"/>
        <v>0</v>
      </c>
      <c r="AN36" s="806">
        <f t="shared" si="2"/>
        <v>0</v>
      </c>
      <c r="AO36" s="806">
        <f t="shared" si="1"/>
        <v>0</v>
      </c>
      <c r="AP36" s="806">
        <f t="shared" si="1"/>
        <v>0</v>
      </c>
      <c r="AQ36" s="806">
        <f t="shared" si="1"/>
        <v>0</v>
      </c>
      <c r="AR36" s="806">
        <f t="shared" si="1"/>
        <v>0</v>
      </c>
      <c r="AS36" s="806">
        <f t="shared" si="1"/>
        <v>0</v>
      </c>
      <c r="AT36" s="447" t="str">
        <f t="array" ref="AT36">IF(MAX(ABS(AG36:AS36))&gt;$AT$4,"EXPLAIN","")</f>
        <v/>
      </c>
    </row>
    <row r="37" spans="2:46" x14ac:dyDescent="0.2">
      <c r="B37" s="801"/>
      <c r="C37" s="802"/>
      <c r="D37" s="807"/>
      <c r="E37" s="642"/>
      <c r="F37" s="642"/>
      <c r="G37" s="642"/>
      <c r="H37" s="642"/>
      <c r="I37" s="642"/>
      <c r="J37" s="642"/>
      <c r="K37" s="642"/>
      <c r="L37" s="642"/>
      <c r="M37" s="642"/>
      <c r="N37" s="642"/>
      <c r="O37" s="642"/>
      <c r="P37" s="642"/>
      <c r="R37" s="808"/>
      <c r="S37" s="702"/>
      <c r="T37" s="702"/>
      <c r="U37" s="702"/>
      <c r="V37" s="702"/>
      <c r="W37" s="702"/>
      <c r="X37" s="702"/>
      <c r="Y37" s="702"/>
      <c r="Z37" s="702"/>
      <c r="AA37" s="702"/>
      <c r="AB37" s="702"/>
      <c r="AC37" s="702"/>
      <c r="AD37" s="702"/>
      <c r="AG37" s="805">
        <f t="shared" si="2"/>
        <v>0</v>
      </c>
      <c r="AH37" s="806">
        <f t="shared" si="2"/>
        <v>0</v>
      </c>
      <c r="AI37" s="806">
        <f t="shared" si="2"/>
        <v>0</v>
      </c>
      <c r="AJ37" s="806">
        <f t="shared" si="2"/>
        <v>0</v>
      </c>
      <c r="AK37" s="806">
        <f t="shared" si="2"/>
        <v>0</v>
      </c>
      <c r="AL37" s="806">
        <f t="shared" si="2"/>
        <v>0</v>
      </c>
      <c r="AM37" s="806">
        <f t="shared" si="2"/>
        <v>0</v>
      </c>
      <c r="AN37" s="806">
        <f t="shared" si="2"/>
        <v>0</v>
      </c>
      <c r="AO37" s="806">
        <f t="shared" si="1"/>
        <v>0</v>
      </c>
      <c r="AP37" s="806">
        <f t="shared" si="1"/>
        <v>0</v>
      </c>
      <c r="AQ37" s="806">
        <f t="shared" si="1"/>
        <v>0</v>
      </c>
      <c r="AR37" s="806">
        <f t="shared" si="1"/>
        <v>0</v>
      </c>
      <c r="AS37" s="806">
        <f t="shared" si="1"/>
        <v>0</v>
      </c>
      <c r="AT37" s="447" t="str">
        <f t="array" ref="AT37">IF(MAX(ABS(AG37:AS37))&gt;$AT$4,"EXPLAIN","")</f>
        <v/>
      </c>
    </row>
    <row r="38" spans="2:46" x14ac:dyDescent="0.2">
      <c r="B38" s="801"/>
      <c r="C38" s="802"/>
      <c r="D38" s="807"/>
      <c r="E38" s="642"/>
      <c r="F38" s="642"/>
      <c r="G38" s="642"/>
      <c r="H38" s="642"/>
      <c r="I38" s="642"/>
      <c r="J38" s="642"/>
      <c r="K38" s="642"/>
      <c r="L38" s="642"/>
      <c r="M38" s="642"/>
      <c r="N38" s="642"/>
      <c r="O38" s="642"/>
      <c r="P38" s="642"/>
      <c r="R38" s="808"/>
      <c r="S38" s="702"/>
      <c r="T38" s="702"/>
      <c r="U38" s="702"/>
      <c r="V38" s="702"/>
      <c r="W38" s="702"/>
      <c r="X38" s="702"/>
      <c r="Y38" s="702"/>
      <c r="Z38" s="702"/>
      <c r="AA38" s="702"/>
      <c r="AB38" s="702"/>
      <c r="AC38" s="702"/>
      <c r="AD38" s="702"/>
      <c r="AG38" s="805">
        <f t="shared" si="2"/>
        <v>0</v>
      </c>
      <c r="AH38" s="806">
        <f t="shared" si="2"/>
        <v>0</v>
      </c>
      <c r="AI38" s="806">
        <f t="shared" si="2"/>
        <v>0</v>
      </c>
      <c r="AJ38" s="806">
        <f t="shared" si="2"/>
        <v>0</v>
      </c>
      <c r="AK38" s="806">
        <f t="shared" si="2"/>
        <v>0</v>
      </c>
      <c r="AL38" s="806">
        <f t="shared" si="2"/>
        <v>0</v>
      </c>
      <c r="AM38" s="806">
        <f t="shared" si="2"/>
        <v>0</v>
      </c>
      <c r="AN38" s="806">
        <f t="shared" si="2"/>
        <v>0</v>
      </c>
      <c r="AO38" s="806">
        <f t="shared" si="1"/>
        <v>0</v>
      </c>
      <c r="AP38" s="806">
        <f t="shared" si="1"/>
        <v>0</v>
      </c>
      <c r="AQ38" s="806">
        <f t="shared" si="1"/>
        <v>0</v>
      </c>
      <c r="AR38" s="806">
        <f t="shared" si="1"/>
        <v>0</v>
      </c>
      <c r="AS38" s="806">
        <f t="shared" si="1"/>
        <v>0</v>
      </c>
      <c r="AT38" s="447" t="str">
        <f t="array" ref="AT38">IF(MAX(ABS(AG38:AS38))&gt;$AT$4,"EXPLAIN","")</f>
        <v/>
      </c>
    </row>
    <row r="39" spans="2:46" x14ac:dyDescent="0.2">
      <c r="B39" s="801"/>
      <c r="C39" s="802"/>
      <c r="D39" s="807"/>
      <c r="E39" s="642"/>
      <c r="F39" s="642"/>
      <c r="G39" s="642"/>
      <c r="H39" s="642"/>
      <c r="I39" s="642"/>
      <c r="J39" s="642"/>
      <c r="K39" s="642"/>
      <c r="L39" s="642"/>
      <c r="M39" s="642"/>
      <c r="N39" s="642"/>
      <c r="O39" s="642"/>
      <c r="P39" s="642"/>
      <c r="R39" s="808"/>
      <c r="S39" s="702"/>
      <c r="T39" s="702"/>
      <c r="U39" s="702"/>
      <c r="V39" s="702"/>
      <c r="W39" s="702"/>
      <c r="X39" s="702"/>
      <c r="Y39" s="702"/>
      <c r="Z39" s="702"/>
      <c r="AA39" s="702"/>
      <c r="AB39" s="702"/>
      <c r="AC39" s="702"/>
      <c r="AD39" s="702"/>
      <c r="AG39" s="805">
        <f t="shared" si="2"/>
        <v>0</v>
      </c>
      <c r="AH39" s="806">
        <f t="shared" si="2"/>
        <v>0</v>
      </c>
      <c r="AI39" s="806">
        <f t="shared" si="2"/>
        <v>0</v>
      </c>
      <c r="AJ39" s="806">
        <f t="shared" si="2"/>
        <v>0</v>
      </c>
      <c r="AK39" s="806">
        <f t="shared" si="2"/>
        <v>0</v>
      </c>
      <c r="AL39" s="806">
        <f t="shared" si="2"/>
        <v>0</v>
      </c>
      <c r="AM39" s="806">
        <f t="shared" si="2"/>
        <v>0</v>
      </c>
      <c r="AN39" s="806">
        <f t="shared" si="2"/>
        <v>0</v>
      </c>
      <c r="AO39" s="806">
        <f t="shared" si="1"/>
        <v>0</v>
      </c>
      <c r="AP39" s="806">
        <f t="shared" si="1"/>
        <v>0</v>
      </c>
      <c r="AQ39" s="806">
        <f t="shared" si="1"/>
        <v>0</v>
      </c>
      <c r="AR39" s="806">
        <f t="shared" si="1"/>
        <v>0</v>
      </c>
      <c r="AS39" s="806">
        <f t="shared" si="1"/>
        <v>0</v>
      </c>
      <c r="AT39" s="447" t="str">
        <f t="array" ref="AT39">IF(MAX(ABS(AG39:AS39))&gt;$AT$4,"EXPLAIN","")</f>
        <v/>
      </c>
    </row>
    <row r="40" spans="2:46" x14ac:dyDescent="0.2">
      <c r="B40" s="801"/>
      <c r="C40" s="802"/>
      <c r="D40" s="807"/>
      <c r="E40" s="642"/>
      <c r="F40" s="642"/>
      <c r="G40" s="642"/>
      <c r="H40" s="642"/>
      <c r="I40" s="642"/>
      <c r="J40" s="642"/>
      <c r="K40" s="642"/>
      <c r="L40" s="642"/>
      <c r="M40" s="642"/>
      <c r="N40" s="642"/>
      <c r="O40" s="642"/>
      <c r="P40" s="642"/>
      <c r="R40" s="808"/>
      <c r="S40" s="702"/>
      <c r="T40" s="702"/>
      <c r="U40" s="702"/>
      <c r="V40" s="702"/>
      <c r="W40" s="702"/>
      <c r="X40" s="702"/>
      <c r="Y40" s="702"/>
      <c r="Z40" s="702"/>
      <c r="AA40" s="702"/>
      <c r="AB40" s="702"/>
      <c r="AC40" s="702"/>
      <c r="AD40" s="702"/>
      <c r="AG40" s="805">
        <f t="shared" si="2"/>
        <v>0</v>
      </c>
      <c r="AH40" s="806">
        <f t="shared" si="2"/>
        <v>0</v>
      </c>
      <c r="AI40" s="806">
        <f t="shared" si="2"/>
        <v>0</v>
      </c>
      <c r="AJ40" s="806">
        <f t="shared" si="2"/>
        <v>0</v>
      </c>
      <c r="AK40" s="806">
        <f t="shared" si="2"/>
        <v>0</v>
      </c>
      <c r="AL40" s="806">
        <f t="shared" si="2"/>
        <v>0</v>
      </c>
      <c r="AM40" s="806">
        <f t="shared" si="2"/>
        <v>0</v>
      </c>
      <c r="AN40" s="806">
        <f t="shared" si="2"/>
        <v>0</v>
      </c>
      <c r="AO40" s="806">
        <f t="shared" si="1"/>
        <v>0</v>
      </c>
      <c r="AP40" s="806">
        <f t="shared" si="1"/>
        <v>0</v>
      </c>
      <c r="AQ40" s="806">
        <f t="shared" si="1"/>
        <v>0</v>
      </c>
      <c r="AR40" s="806">
        <f t="shared" si="1"/>
        <v>0</v>
      </c>
      <c r="AS40" s="806">
        <f t="shared" si="1"/>
        <v>0</v>
      </c>
      <c r="AT40" s="447" t="str">
        <f t="array" ref="AT40">IF(MAX(ABS(AG40:AS40))&gt;$AT$4,"EXPLAIN","")</f>
        <v/>
      </c>
    </row>
    <row r="41" spans="2:46" x14ac:dyDescent="0.2">
      <c r="B41" s="801"/>
      <c r="C41" s="802"/>
      <c r="D41" s="807"/>
      <c r="E41" s="642"/>
      <c r="F41" s="642"/>
      <c r="G41" s="642"/>
      <c r="H41" s="642"/>
      <c r="I41" s="642"/>
      <c r="J41" s="642"/>
      <c r="K41" s="642"/>
      <c r="L41" s="642"/>
      <c r="M41" s="642"/>
      <c r="N41" s="642"/>
      <c r="O41" s="642"/>
      <c r="P41" s="642"/>
      <c r="R41" s="808"/>
      <c r="S41" s="702"/>
      <c r="T41" s="702"/>
      <c r="U41" s="702"/>
      <c r="V41" s="702"/>
      <c r="W41" s="702"/>
      <c r="X41" s="702"/>
      <c r="Y41" s="702"/>
      <c r="Z41" s="702"/>
      <c r="AA41" s="702"/>
      <c r="AB41" s="702"/>
      <c r="AC41" s="702"/>
      <c r="AD41" s="702"/>
      <c r="AG41" s="805">
        <f t="shared" si="2"/>
        <v>0</v>
      </c>
      <c r="AH41" s="806">
        <f t="shared" si="2"/>
        <v>0</v>
      </c>
      <c r="AI41" s="806">
        <f t="shared" si="2"/>
        <v>0</v>
      </c>
      <c r="AJ41" s="806">
        <f t="shared" si="2"/>
        <v>0</v>
      </c>
      <c r="AK41" s="806">
        <f t="shared" si="2"/>
        <v>0</v>
      </c>
      <c r="AL41" s="806">
        <f t="shared" si="2"/>
        <v>0</v>
      </c>
      <c r="AM41" s="806">
        <f t="shared" si="2"/>
        <v>0</v>
      </c>
      <c r="AN41" s="806">
        <f t="shared" si="2"/>
        <v>0</v>
      </c>
      <c r="AO41" s="806">
        <f t="shared" si="1"/>
        <v>0</v>
      </c>
      <c r="AP41" s="806">
        <f t="shared" si="1"/>
        <v>0</v>
      </c>
      <c r="AQ41" s="806">
        <f t="shared" si="1"/>
        <v>0</v>
      </c>
      <c r="AR41" s="806">
        <f t="shared" si="1"/>
        <v>0</v>
      </c>
      <c r="AS41" s="806">
        <f t="shared" si="1"/>
        <v>0</v>
      </c>
      <c r="AT41" s="447" t="str">
        <f t="array" ref="AT41">IF(MAX(ABS(AG41:AS41))&gt;$AT$4,"EXPLAIN","")</f>
        <v/>
      </c>
    </row>
    <row r="42" spans="2:46" x14ac:dyDescent="0.2">
      <c r="B42" s="801"/>
      <c r="C42" s="802"/>
      <c r="D42" s="807"/>
      <c r="E42" s="642"/>
      <c r="F42" s="642"/>
      <c r="G42" s="642"/>
      <c r="H42" s="642"/>
      <c r="I42" s="642"/>
      <c r="J42" s="642"/>
      <c r="K42" s="642"/>
      <c r="L42" s="642"/>
      <c r="M42" s="642"/>
      <c r="N42" s="642"/>
      <c r="O42" s="642"/>
      <c r="P42" s="642"/>
      <c r="R42" s="808"/>
      <c r="S42" s="702"/>
      <c r="T42" s="702"/>
      <c r="U42" s="702"/>
      <c r="V42" s="702"/>
      <c r="W42" s="702"/>
      <c r="X42" s="702"/>
      <c r="Y42" s="702"/>
      <c r="Z42" s="702"/>
      <c r="AA42" s="702"/>
      <c r="AB42" s="702"/>
      <c r="AC42" s="702"/>
      <c r="AD42" s="702"/>
      <c r="AG42" s="805">
        <f t="shared" si="2"/>
        <v>0</v>
      </c>
      <c r="AH42" s="806">
        <f t="shared" si="2"/>
        <v>0</v>
      </c>
      <c r="AI42" s="806">
        <f t="shared" si="2"/>
        <v>0</v>
      </c>
      <c r="AJ42" s="806">
        <f t="shared" si="2"/>
        <v>0</v>
      </c>
      <c r="AK42" s="806">
        <f t="shared" si="2"/>
        <v>0</v>
      </c>
      <c r="AL42" s="806">
        <f t="shared" si="2"/>
        <v>0</v>
      </c>
      <c r="AM42" s="806">
        <f t="shared" si="2"/>
        <v>0</v>
      </c>
      <c r="AN42" s="806">
        <f t="shared" si="2"/>
        <v>0</v>
      </c>
      <c r="AO42" s="806">
        <f t="shared" si="1"/>
        <v>0</v>
      </c>
      <c r="AP42" s="806">
        <f t="shared" si="1"/>
        <v>0</v>
      </c>
      <c r="AQ42" s="806">
        <f t="shared" si="1"/>
        <v>0</v>
      </c>
      <c r="AR42" s="806">
        <f t="shared" si="1"/>
        <v>0</v>
      </c>
      <c r="AS42" s="806">
        <f t="shared" si="1"/>
        <v>0</v>
      </c>
      <c r="AT42" s="447" t="str">
        <f t="array" ref="AT42">IF(MAX(ABS(AG42:AS42))&gt;$AT$4,"EXPLAIN","")</f>
        <v/>
      </c>
    </row>
    <row r="43" spans="2:46" x14ac:dyDescent="0.2">
      <c r="B43" s="801"/>
      <c r="C43" s="802"/>
      <c r="D43" s="807"/>
      <c r="E43" s="642"/>
      <c r="F43" s="642"/>
      <c r="G43" s="642"/>
      <c r="H43" s="642"/>
      <c r="I43" s="642"/>
      <c r="J43" s="642"/>
      <c r="K43" s="642"/>
      <c r="L43" s="642"/>
      <c r="M43" s="642"/>
      <c r="N43" s="642"/>
      <c r="O43" s="642"/>
      <c r="P43" s="642"/>
      <c r="R43" s="808"/>
      <c r="S43" s="702"/>
      <c r="T43" s="702"/>
      <c r="U43" s="702"/>
      <c r="V43" s="702"/>
      <c r="W43" s="702"/>
      <c r="X43" s="702"/>
      <c r="Y43" s="702"/>
      <c r="Z43" s="702"/>
      <c r="AA43" s="702"/>
      <c r="AB43" s="702"/>
      <c r="AC43" s="702"/>
      <c r="AD43" s="702"/>
      <c r="AG43" s="805">
        <f t="shared" si="2"/>
        <v>0</v>
      </c>
      <c r="AH43" s="806">
        <f t="shared" si="2"/>
        <v>0</v>
      </c>
      <c r="AI43" s="806">
        <f t="shared" si="2"/>
        <v>0</v>
      </c>
      <c r="AJ43" s="806">
        <f t="shared" si="2"/>
        <v>0</v>
      </c>
      <c r="AK43" s="806">
        <f t="shared" si="2"/>
        <v>0</v>
      </c>
      <c r="AL43" s="806">
        <f t="shared" si="2"/>
        <v>0</v>
      </c>
      <c r="AM43" s="806">
        <f t="shared" si="2"/>
        <v>0</v>
      </c>
      <c r="AN43" s="806">
        <f t="shared" si="2"/>
        <v>0</v>
      </c>
      <c r="AO43" s="806">
        <f t="shared" si="1"/>
        <v>0</v>
      </c>
      <c r="AP43" s="806">
        <f t="shared" si="1"/>
        <v>0</v>
      </c>
      <c r="AQ43" s="806">
        <f t="shared" si="1"/>
        <v>0</v>
      </c>
      <c r="AR43" s="806">
        <f t="shared" si="1"/>
        <v>0</v>
      </c>
      <c r="AS43" s="806">
        <f t="shared" si="1"/>
        <v>0</v>
      </c>
      <c r="AT43" s="447" t="str">
        <f t="array" ref="AT43">IF(MAX(ABS(AG43:AS43))&gt;$AT$4,"EXPLAIN","")</f>
        <v/>
      </c>
    </row>
    <row r="44" spans="2:46" x14ac:dyDescent="0.2">
      <c r="B44" s="801"/>
      <c r="C44" s="802"/>
      <c r="D44" s="807"/>
      <c r="E44" s="642"/>
      <c r="F44" s="642"/>
      <c r="G44" s="642"/>
      <c r="H44" s="642"/>
      <c r="I44" s="642"/>
      <c r="J44" s="642"/>
      <c r="K44" s="642"/>
      <c r="L44" s="642"/>
      <c r="M44" s="642"/>
      <c r="N44" s="642"/>
      <c r="O44" s="642"/>
      <c r="P44" s="642"/>
      <c r="R44" s="808"/>
      <c r="S44" s="702"/>
      <c r="T44" s="702"/>
      <c r="U44" s="702"/>
      <c r="V44" s="702"/>
      <c r="W44" s="702"/>
      <c r="X44" s="702"/>
      <c r="Y44" s="702"/>
      <c r="Z44" s="702"/>
      <c r="AA44" s="702"/>
      <c r="AB44" s="702"/>
      <c r="AC44" s="702"/>
      <c r="AD44" s="702"/>
      <c r="AG44" s="805">
        <f t="shared" si="2"/>
        <v>0</v>
      </c>
      <c r="AH44" s="806">
        <f t="shared" si="2"/>
        <v>0</v>
      </c>
      <c r="AI44" s="806">
        <f t="shared" si="2"/>
        <v>0</v>
      </c>
      <c r="AJ44" s="806">
        <f t="shared" si="2"/>
        <v>0</v>
      </c>
      <c r="AK44" s="806">
        <f t="shared" si="2"/>
        <v>0</v>
      </c>
      <c r="AL44" s="806">
        <f t="shared" si="2"/>
        <v>0</v>
      </c>
      <c r="AM44" s="806">
        <f t="shared" si="2"/>
        <v>0</v>
      </c>
      <c r="AN44" s="806">
        <f t="shared" si="2"/>
        <v>0</v>
      </c>
      <c r="AO44" s="806">
        <f t="shared" si="1"/>
        <v>0</v>
      </c>
      <c r="AP44" s="806">
        <f t="shared" si="1"/>
        <v>0</v>
      </c>
      <c r="AQ44" s="806">
        <f t="shared" si="1"/>
        <v>0</v>
      </c>
      <c r="AR44" s="806">
        <f t="shared" si="1"/>
        <v>0</v>
      </c>
      <c r="AS44" s="806">
        <f t="shared" si="1"/>
        <v>0</v>
      </c>
      <c r="AT44" s="447" t="str">
        <f t="array" ref="AT44">IF(MAX(ABS(AG44:AS44))&gt;$AT$4,"EXPLAIN","")</f>
        <v/>
      </c>
    </row>
    <row r="45" spans="2:46" x14ac:dyDescent="0.2">
      <c r="B45" s="801"/>
      <c r="C45" s="802"/>
      <c r="D45" s="807"/>
      <c r="E45" s="642"/>
      <c r="F45" s="642"/>
      <c r="G45" s="642"/>
      <c r="H45" s="642"/>
      <c r="I45" s="642"/>
      <c r="J45" s="642"/>
      <c r="K45" s="642"/>
      <c r="L45" s="642"/>
      <c r="M45" s="642"/>
      <c r="N45" s="642"/>
      <c r="O45" s="642"/>
      <c r="P45" s="642"/>
      <c r="R45" s="808"/>
      <c r="S45" s="702"/>
      <c r="T45" s="702"/>
      <c r="U45" s="702"/>
      <c r="V45" s="702"/>
      <c r="W45" s="702"/>
      <c r="X45" s="702"/>
      <c r="Y45" s="702"/>
      <c r="Z45" s="702"/>
      <c r="AA45" s="702"/>
      <c r="AB45" s="702"/>
      <c r="AC45" s="702"/>
      <c r="AD45" s="702"/>
      <c r="AG45" s="805">
        <f t="shared" si="2"/>
        <v>0</v>
      </c>
      <c r="AH45" s="806">
        <f t="shared" si="2"/>
        <v>0</v>
      </c>
      <c r="AI45" s="806">
        <f t="shared" si="2"/>
        <v>0</v>
      </c>
      <c r="AJ45" s="806">
        <f t="shared" si="2"/>
        <v>0</v>
      </c>
      <c r="AK45" s="806">
        <f t="shared" si="2"/>
        <v>0</v>
      </c>
      <c r="AL45" s="806">
        <f t="shared" si="2"/>
        <v>0</v>
      </c>
      <c r="AM45" s="806">
        <f t="shared" si="2"/>
        <v>0</v>
      </c>
      <c r="AN45" s="806">
        <f t="shared" si="2"/>
        <v>0</v>
      </c>
      <c r="AO45" s="806">
        <f t="shared" si="1"/>
        <v>0</v>
      </c>
      <c r="AP45" s="806">
        <f t="shared" si="1"/>
        <v>0</v>
      </c>
      <c r="AQ45" s="806">
        <f t="shared" si="1"/>
        <v>0</v>
      </c>
      <c r="AR45" s="806">
        <f t="shared" si="1"/>
        <v>0</v>
      </c>
      <c r="AS45" s="806">
        <f t="shared" si="1"/>
        <v>0</v>
      </c>
      <c r="AT45" s="447" t="str">
        <f t="array" ref="AT45">IF(MAX(ABS(AG45:AS45))&gt;$AT$4,"EXPLAIN","")</f>
        <v/>
      </c>
    </row>
    <row r="46" spans="2:46" x14ac:dyDescent="0.2">
      <c r="B46" s="801"/>
      <c r="C46" s="802"/>
      <c r="D46" s="807"/>
      <c r="E46" s="642"/>
      <c r="F46" s="642"/>
      <c r="G46" s="642"/>
      <c r="H46" s="642"/>
      <c r="I46" s="642"/>
      <c r="J46" s="642"/>
      <c r="K46" s="642"/>
      <c r="L46" s="642"/>
      <c r="M46" s="642"/>
      <c r="N46" s="642"/>
      <c r="O46" s="642"/>
      <c r="P46" s="642"/>
      <c r="R46" s="808"/>
      <c r="S46" s="702"/>
      <c r="T46" s="702"/>
      <c r="U46" s="702"/>
      <c r="V46" s="702"/>
      <c r="W46" s="702"/>
      <c r="X46" s="702"/>
      <c r="Y46" s="702"/>
      <c r="Z46" s="702"/>
      <c r="AA46" s="702"/>
      <c r="AB46" s="702"/>
      <c r="AC46" s="702"/>
      <c r="AD46" s="702"/>
      <c r="AG46" s="805">
        <f t="shared" si="2"/>
        <v>0</v>
      </c>
      <c r="AH46" s="806">
        <f t="shared" si="2"/>
        <v>0</v>
      </c>
      <c r="AI46" s="806">
        <f t="shared" si="2"/>
        <v>0</v>
      </c>
      <c r="AJ46" s="806">
        <f t="shared" si="2"/>
        <v>0</v>
      </c>
      <c r="AK46" s="806">
        <f t="shared" si="2"/>
        <v>0</v>
      </c>
      <c r="AL46" s="806">
        <f t="shared" si="2"/>
        <v>0</v>
      </c>
      <c r="AM46" s="806">
        <f t="shared" si="2"/>
        <v>0</v>
      </c>
      <c r="AN46" s="806">
        <f t="shared" si="2"/>
        <v>0</v>
      </c>
      <c r="AO46" s="806">
        <f t="shared" si="1"/>
        <v>0</v>
      </c>
      <c r="AP46" s="806">
        <f t="shared" si="1"/>
        <v>0</v>
      </c>
      <c r="AQ46" s="806">
        <f t="shared" si="1"/>
        <v>0</v>
      </c>
      <c r="AR46" s="806">
        <f t="shared" si="1"/>
        <v>0</v>
      </c>
      <c r="AS46" s="806">
        <f t="shared" si="1"/>
        <v>0</v>
      </c>
      <c r="AT46" s="447" t="str">
        <f t="array" ref="AT46">IF(MAX(ABS(AG46:AS46))&gt;$AT$4,"EXPLAIN","")</f>
        <v/>
      </c>
    </row>
    <row r="47" spans="2:46" x14ac:dyDescent="0.2">
      <c r="B47" s="801"/>
      <c r="C47" s="802"/>
      <c r="D47" s="807"/>
      <c r="E47" s="642"/>
      <c r="F47" s="642"/>
      <c r="G47" s="642"/>
      <c r="H47" s="642"/>
      <c r="I47" s="642"/>
      <c r="J47" s="642"/>
      <c r="K47" s="642"/>
      <c r="L47" s="642"/>
      <c r="M47" s="642"/>
      <c r="N47" s="642"/>
      <c r="O47" s="642"/>
      <c r="P47" s="642"/>
      <c r="R47" s="808"/>
      <c r="S47" s="702"/>
      <c r="T47" s="702"/>
      <c r="U47" s="702"/>
      <c r="V47" s="702"/>
      <c r="W47" s="702"/>
      <c r="X47" s="702"/>
      <c r="Y47" s="702"/>
      <c r="Z47" s="702"/>
      <c r="AA47" s="702"/>
      <c r="AB47" s="702"/>
      <c r="AC47" s="702"/>
      <c r="AD47" s="702"/>
      <c r="AG47" s="805">
        <f t="shared" si="2"/>
        <v>0</v>
      </c>
      <c r="AH47" s="806">
        <f t="shared" si="2"/>
        <v>0</v>
      </c>
      <c r="AI47" s="806">
        <f t="shared" si="2"/>
        <v>0</v>
      </c>
      <c r="AJ47" s="806">
        <f t="shared" si="2"/>
        <v>0</v>
      </c>
      <c r="AK47" s="806">
        <f t="shared" si="2"/>
        <v>0</v>
      </c>
      <c r="AL47" s="806">
        <f t="shared" si="2"/>
        <v>0</v>
      </c>
      <c r="AM47" s="806">
        <f t="shared" si="2"/>
        <v>0</v>
      </c>
      <c r="AN47" s="806">
        <f t="shared" si="2"/>
        <v>0</v>
      </c>
      <c r="AO47" s="806">
        <f t="shared" si="1"/>
        <v>0</v>
      </c>
      <c r="AP47" s="806">
        <f t="shared" si="1"/>
        <v>0</v>
      </c>
      <c r="AQ47" s="806">
        <f t="shared" si="1"/>
        <v>0</v>
      </c>
      <c r="AR47" s="806">
        <f t="shared" si="1"/>
        <v>0</v>
      </c>
      <c r="AS47" s="806">
        <f t="shared" si="1"/>
        <v>0</v>
      </c>
      <c r="AT47" s="447" t="str">
        <f t="array" ref="AT47">IF(MAX(ABS(AG47:AS47))&gt;$AT$4,"EXPLAIN","")</f>
        <v/>
      </c>
    </row>
    <row r="48" spans="2:46" x14ac:dyDescent="0.2">
      <c r="B48" s="801"/>
      <c r="C48" s="802"/>
      <c r="D48" s="641"/>
      <c r="E48" s="642"/>
      <c r="F48" s="642"/>
      <c r="G48" s="642"/>
      <c r="H48" s="642"/>
      <c r="I48" s="642"/>
      <c r="J48" s="642"/>
      <c r="K48" s="642"/>
      <c r="L48" s="642"/>
      <c r="M48" s="642"/>
      <c r="N48" s="642"/>
      <c r="O48" s="642"/>
      <c r="P48" s="642"/>
      <c r="R48" s="701"/>
      <c r="S48" s="702"/>
      <c r="T48" s="702"/>
      <c r="U48" s="702"/>
      <c r="V48" s="702"/>
      <c r="W48" s="702"/>
      <c r="X48" s="702"/>
      <c r="Y48" s="702"/>
      <c r="Z48" s="702"/>
      <c r="AA48" s="702"/>
      <c r="AB48" s="702"/>
      <c r="AC48" s="702"/>
      <c r="AD48" s="702"/>
      <c r="AG48" s="805">
        <f t="shared" si="2"/>
        <v>0</v>
      </c>
      <c r="AH48" s="806">
        <f t="shared" si="2"/>
        <v>0</v>
      </c>
      <c r="AI48" s="806">
        <f t="shared" si="2"/>
        <v>0</v>
      </c>
      <c r="AJ48" s="806">
        <f t="shared" si="2"/>
        <v>0</v>
      </c>
      <c r="AK48" s="806">
        <f t="shared" si="2"/>
        <v>0</v>
      </c>
      <c r="AL48" s="806">
        <f t="shared" si="2"/>
        <v>0</v>
      </c>
      <c r="AM48" s="806">
        <f t="shared" si="2"/>
        <v>0</v>
      </c>
      <c r="AN48" s="806">
        <f t="shared" si="2"/>
        <v>0</v>
      </c>
      <c r="AO48" s="806">
        <f t="shared" si="1"/>
        <v>0</v>
      </c>
      <c r="AP48" s="806">
        <f t="shared" si="1"/>
        <v>0</v>
      </c>
      <c r="AQ48" s="806">
        <f t="shared" si="1"/>
        <v>0</v>
      </c>
      <c r="AR48" s="806">
        <f t="shared" si="1"/>
        <v>0</v>
      </c>
      <c r="AS48" s="806">
        <f t="shared" si="1"/>
        <v>0</v>
      </c>
      <c r="AT48" s="447" t="str">
        <f t="array" ref="AT48">IF(MAX(ABS(AG48:AS48))&gt;$AT$4,"EXPLAIN","")</f>
        <v/>
      </c>
    </row>
    <row r="49" spans="2:46" x14ac:dyDescent="0.2">
      <c r="B49" s="801"/>
      <c r="C49" s="802"/>
      <c r="D49" s="641"/>
      <c r="E49" s="642"/>
      <c r="F49" s="642"/>
      <c r="G49" s="642"/>
      <c r="H49" s="642"/>
      <c r="I49" s="642"/>
      <c r="J49" s="642"/>
      <c r="K49" s="642"/>
      <c r="L49" s="642"/>
      <c r="M49" s="642"/>
      <c r="N49" s="642"/>
      <c r="O49" s="642"/>
      <c r="P49" s="642"/>
      <c r="R49" s="701"/>
      <c r="S49" s="702"/>
      <c r="T49" s="702"/>
      <c r="U49" s="702"/>
      <c r="V49" s="702"/>
      <c r="W49" s="702"/>
      <c r="X49" s="702"/>
      <c r="Y49" s="702"/>
      <c r="Z49" s="702"/>
      <c r="AA49" s="702"/>
      <c r="AB49" s="702"/>
      <c r="AC49" s="702"/>
      <c r="AD49" s="702"/>
      <c r="AG49" s="805">
        <f t="shared" si="2"/>
        <v>0</v>
      </c>
      <c r="AH49" s="806">
        <f t="shared" si="2"/>
        <v>0</v>
      </c>
      <c r="AI49" s="806">
        <f t="shared" si="2"/>
        <v>0</v>
      </c>
      <c r="AJ49" s="806">
        <f t="shared" si="2"/>
        <v>0</v>
      </c>
      <c r="AK49" s="806">
        <f t="shared" si="2"/>
        <v>0</v>
      </c>
      <c r="AL49" s="806">
        <f t="shared" si="2"/>
        <v>0</v>
      </c>
      <c r="AM49" s="806">
        <f t="shared" si="2"/>
        <v>0</v>
      </c>
      <c r="AN49" s="806">
        <f t="shared" si="2"/>
        <v>0</v>
      </c>
      <c r="AO49" s="806">
        <f t="shared" si="1"/>
        <v>0</v>
      </c>
      <c r="AP49" s="806">
        <f t="shared" si="1"/>
        <v>0</v>
      </c>
      <c r="AQ49" s="806">
        <f t="shared" si="1"/>
        <v>0</v>
      </c>
      <c r="AR49" s="806">
        <f t="shared" si="1"/>
        <v>0</v>
      </c>
      <c r="AS49" s="806">
        <f t="shared" si="1"/>
        <v>0</v>
      </c>
      <c r="AT49" s="447" t="str">
        <f t="array" ref="AT49">IF(MAX(ABS(AG49:AS49))&gt;$AT$4,"EXPLAIN","")</f>
        <v/>
      </c>
    </row>
    <row r="50" spans="2:46" x14ac:dyDescent="0.2">
      <c r="B50" s="801"/>
      <c r="C50" s="802"/>
      <c r="D50" s="641"/>
      <c r="E50" s="642"/>
      <c r="F50" s="642"/>
      <c r="G50" s="642"/>
      <c r="H50" s="642"/>
      <c r="I50" s="642"/>
      <c r="J50" s="642"/>
      <c r="K50" s="642"/>
      <c r="L50" s="642"/>
      <c r="M50" s="642"/>
      <c r="N50" s="642"/>
      <c r="O50" s="642"/>
      <c r="P50" s="642"/>
      <c r="R50" s="701"/>
      <c r="S50" s="702"/>
      <c r="T50" s="702"/>
      <c r="U50" s="702"/>
      <c r="V50" s="702"/>
      <c r="W50" s="702"/>
      <c r="X50" s="702"/>
      <c r="Y50" s="702"/>
      <c r="Z50" s="702"/>
      <c r="AA50" s="702"/>
      <c r="AB50" s="702"/>
      <c r="AC50" s="702"/>
      <c r="AD50" s="702"/>
      <c r="AG50" s="805">
        <f t="shared" si="2"/>
        <v>0</v>
      </c>
      <c r="AH50" s="806">
        <f t="shared" si="2"/>
        <v>0</v>
      </c>
      <c r="AI50" s="806">
        <f t="shared" si="2"/>
        <v>0</v>
      </c>
      <c r="AJ50" s="806">
        <f t="shared" si="2"/>
        <v>0</v>
      </c>
      <c r="AK50" s="806">
        <f t="shared" si="2"/>
        <v>0</v>
      </c>
      <c r="AL50" s="806">
        <f t="shared" si="2"/>
        <v>0</v>
      </c>
      <c r="AM50" s="806">
        <f t="shared" si="2"/>
        <v>0</v>
      </c>
      <c r="AN50" s="806">
        <f t="shared" si="2"/>
        <v>0</v>
      </c>
      <c r="AO50" s="806">
        <f t="shared" si="1"/>
        <v>0</v>
      </c>
      <c r="AP50" s="806">
        <f t="shared" si="1"/>
        <v>0</v>
      </c>
      <c r="AQ50" s="806">
        <f t="shared" si="1"/>
        <v>0</v>
      </c>
      <c r="AR50" s="806">
        <f t="shared" si="1"/>
        <v>0</v>
      </c>
      <c r="AS50" s="806">
        <f t="shared" si="1"/>
        <v>0</v>
      </c>
      <c r="AT50" s="447" t="str">
        <f t="array" ref="AT50">IF(MAX(ABS(AG50:AS50))&gt;$AT$4,"EXPLAIN","")</f>
        <v/>
      </c>
    </row>
    <row r="51" spans="2:46" x14ac:dyDescent="0.2">
      <c r="B51" s="801"/>
      <c r="C51" s="802"/>
      <c r="D51" s="641"/>
      <c r="E51" s="642"/>
      <c r="F51" s="642"/>
      <c r="G51" s="642"/>
      <c r="H51" s="642"/>
      <c r="I51" s="642"/>
      <c r="J51" s="642"/>
      <c r="K51" s="642"/>
      <c r="L51" s="642"/>
      <c r="M51" s="642"/>
      <c r="N51" s="642"/>
      <c r="O51" s="642"/>
      <c r="P51" s="642"/>
      <c r="R51" s="701"/>
      <c r="S51" s="702"/>
      <c r="T51" s="702"/>
      <c r="U51" s="702"/>
      <c r="V51" s="702"/>
      <c r="W51" s="702"/>
      <c r="X51" s="702"/>
      <c r="Y51" s="702"/>
      <c r="Z51" s="702"/>
      <c r="AA51" s="702"/>
      <c r="AB51" s="702"/>
      <c r="AC51" s="702"/>
      <c r="AD51" s="702"/>
      <c r="AG51" s="805">
        <f t="shared" si="2"/>
        <v>0</v>
      </c>
      <c r="AH51" s="806">
        <f t="shared" si="2"/>
        <v>0</v>
      </c>
      <c r="AI51" s="806">
        <f t="shared" si="2"/>
        <v>0</v>
      </c>
      <c r="AJ51" s="806">
        <f t="shared" si="2"/>
        <v>0</v>
      </c>
      <c r="AK51" s="806">
        <f t="shared" si="2"/>
        <v>0</v>
      </c>
      <c r="AL51" s="806">
        <f t="shared" si="2"/>
        <v>0</v>
      </c>
      <c r="AM51" s="806">
        <f t="shared" si="2"/>
        <v>0</v>
      </c>
      <c r="AN51" s="806">
        <f t="shared" si="2"/>
        <v>0</v>
      </c>
      <c r="AO51" s="806">
        <f t="shared" si="1"/>
        <v>0</v>
      </c>
      <c r="AP51" s="806">
        <f t="shared" si="1"/>
        <v>0</v>
      </c>
      <c r="AQ51" s="806">
        <f t="shared" si="1"/>
        <v>0</v>
      </c>
      <c r="AR51" s="806">
        <f t="shared" si="1"/>
        <v>0</v>
      </c>
      <c r="AS51" s="806">
        <f t="shared" si="1"/>
        <v>0</v>
      </c>
      <c r="AT51" s="447" t="str">
        <f t="array" ref="AT51">IF(MAX(ABS(AG51:AS51))&gt;$AT$4,"EXPLAIN","")</f>
        <v/>
      </c>
    </row>
    <row r="52" spans="2:46" x14ac:dyDescent="0.2">
      <c r="B52" s="801"/>
      <c r="C52" s="802"/>
      <c r="D52" s="641"/>
      <c r="E52" s="642"/>
      <c r="F52" s="642"/>
      <c r="G52" s="642"/>
      <c r="H52" s="642"/>
      <c r="I52" s="642"/>
      <c r="J52" s="642"/>
      <c r="K52" s="642"/>
      <c r="L52" s="642"/>
      <c r="M52" s="642"/>
      <c r="N52" s="642"/>
      <c r="O52" s="642"/>
      <c r="P52" s="642"/>
      <c r="R52" s="701"/>
      <c r="S52" s="702"/>
      <c r="T52" s="702"/>
      <c r="U52" s="702"/>
      <c r="V52" s="702"/>
      <c r="W52" s="702"/>
      <c r="X52" s="702"/>
      <c r="Y52" s="702"/>
      <c r="Z52" s="702"/>
      <c r="AA52" s="702"/>
      <c r="AB52" s="702"/>
      <c r="AC52" s="702"/>
      <c r="AD52" s="702"/>
      <c r="AG52" s="805">
        <f t="shared" si="2"/>
        <v>0</v>
      </c>
      <c r="AH52" s="806">
        <f t="shared" si="2"/>
        <v>0</v>
      </c>
      <c r="AI52" s="806">
        <f t="shared" si="2"/>
        <v>0</v>
      </c>
      <c r="AJ52" s="806">
        <f t="shared" si="2"/>
        <v>0</v>
      </c>
      <c r="AK52" s="806">
        <f t="shared" si="2"/>
        <v>0</v>
      </c>
      <c r="AL52" s="806">
        <f t="shared" si="2"/>
        <v>0</v>
      </c>
      <c r="AM52" s="806">
        <f t="shared" si="2"/>
        <v>0</v>
      </c>
      <c r="AN52" s="806">
        <f t="shared" si="2"/>
        <v>0</v>
      </c>
      <c r="AO52" s="806">
        <f t="shared" si="1"/>
        <v>0</v>
      </c>
      <c r="AP52" s="806">
        <f t="shared" si="1"/>
        <v>0</v>
      </c>
      <c r="AQ52" s="806">
        <f t="shared" si="1"/>
        <v>0</v>
      </c>
      <c r="AR52" s="806">
        <f t="shared" si="1"/>
        <v>0</v>
      </c>
      <c r="AS52" s="806">
        <f t="shared" si="1"/>
        <v>0</v>
      </c>
      <c r="AT52" s="447" t="str">
        <f t="array" ref="AT52">IF(MAX(ABS(AG52:AS52))&gt;$AT$4,"EXPLAIN","")</f>
        <v/>
      </c>
    </row>
    <row r="53" spans="2:46" x14ac:dyDescent="0.2">
      <c r="B53" s="801"/>
      <c r="C53" s="802"/>
      <c r="D53" s="641"/>
      <c r="E53" s="642"/>
      <c r="F53" s="642"/>
      <c r="G53" s="642"/>
      <c r="H53" s="642"/>
      <c r="I53" s="642"/>
      <c r="J53" s="642"/>
      <c r="K53" s="642"/>
      <c r="L53" s="642"/>
      <c r="M53" s="642"/>
      <c r="N53" s="642"/>
      <c r="O53" s="642"/>
      <c r="P53" s="642"/>
      <c r="R53" s="701"/>
      <c r="S53" s="702"/>
      <c r="T53" s="702"/>
      <c r="U53" s="702"/>
      <c r="V53" s="702"/>
      <c r="W53" s="702"/>
      <c r="X53" s="702"/>
      <c r="Y53" s="702"/>
      <c r="Z53" s="702"/>
      <c r="AA53" s="702"/>
      <c r="AB53" s="702"/>
      <c r="AC53" s="702"/>
      <c r="AD53" s="702"/>
      <c r="AG53" s="805">
        <f t="shared" si="2"/>
        <v>0</v>
      </c>
      <c r="AH53" s="806">
        <f t="shared" si="2"/>
        <v>0</v>
      </c>
      <c r="AI53" s="806">
        <f t="shared" si="2"/>
        <v>0</v>
      </c>
      <c r="AJ53" s="806">
        <f t="shared" si="2"/>
        <v>0</v>
      </c>
      <c r="AK53" s="806">
        <f t="shared" si="2"/>
        <v>0</v>
      </c>
      <c r="AL53" s="806">
        <f t="shared" si="2"/>
        <v>0</v>
      </c>
      <c r="AM53" s="806">
        <f t="shared" si="2"/>
        <v>0</v>
      </c>
      <c r="AN53" s="806">
        <f t="shared" si="2"/>
        <v>0</v>
      </c>
      <c r="AO53" s="806">
        <f t="shared" si="1"/>
        <v>0</v>
      </c>
      <c r="AP53" s="806">
        <f t="shared" si="1"/>
        <v>0</v>
      </c>
      <c r="AQ53" s="806">
        <f t="shared" si="1"/>
        <v>0</v>
      </c>
      <c r="AR53" s="806">
        <f t="shared" si="1"/>
        <v>0</v>
      </c>
      <c r="AS53" s="806">
        <f t="shared" si="1"/>
        <v>0</v>
      </c>
      <c r="AT53" s="447" t="str">
        <f t="array" ref="AT53">IF(MAX(ABS(AG53:AS53))&gt;$AT$4,"EXPLAIN","")</f>
        <v/>
      </c>
    </row>
    <row r="54" spans="2:46" x14ac:dyDescent="0.2">
      <c r="B54" s="801"/>
      <c r="C54" s="802"/>
      <c r="D54" s="641"/>
      <c r="E54" s="642"/>
      <c r="F54" s="642"/>
      <c r="G54" s="642"/>
      <c r="H54" s="642"/>
      <c r="I54" s="642"/>
      <c r="J54" s="642"/>
      <c r="K54" s="642"/>
      <c r="L54" s="642"/>
      <c r="M54" s="642"/>
      <c r="N54" s="642"/>
      <c r="O54" s="642"/>
      <c r="P54" s="642"/>
      <c r="R54" s="701"/>
      <c r="S54" s="702"/>
      <c r="T54" s="702"/>
      <c r="U54" s="702"/>
      <c r="V54" s="702"/>
      <c r="W54" s="702"/>
      <c r="X54" s="702"/>
      <c r="Y54" s="702"/>
      <c r="Z54" s="702"/>
      <c r="AA54" s="702"/>
      <c r="AB54" s="702"/>
      <c r="AC54" s="702"/>
      <c r="AD54" s="702"/>
      <c r="AG54" s="805">
        <f t="shared" si="2"/>
        <v>0</v>
      </c>
      <c r="AH54" s="806">
        <f t="shared" si="2"/>
        <v>0</v>
      </c>
      <c r="AI54" s="806">
        <f t="shared" si="2"/>
        <v>0</v>
      </c>
      <c r="AJ54" s="806">
        <f t="shared" si="2"/>
        <v>0</v>
      </c>
      <c r="AK54" s="806">
        <f t="shared" si="2"/>
        <v>0</v>
      </c>
      <c r="AL54" s="806">
        <f t="shared" si="2"/>
        <v>0</v>
      </c>
      <c r="AM54" s="806">
        <f t="shared" si="2"/>
        <v>0</v>
      </c>
      <c r="AN54" s="806">
        <f t="shared" si="2"/>
        <v>0</v>
      </c>
      <c r="AO54" s="806">
        <f t="shared" si="1"/>
        <v>0</v>
      </c>
      <c r="AP54" s="806">
        <f t="shared" si="1"/>
        <v>0</v>
      </c>
      <c r="AQ54" s="806">
        <f t="shared" si="1"/>
        <v>0</v>
      </c>
      <c r="AR54" s="806">
        <f t="shared" si="1"/>
        <v>0</v>
      </c>
      <c r="AS54" s="806">
        <f t="shared" si="1"/>
        <v>0</v>
      </c>
      <c r="AT54" s="447" t="str">
        <f t="array" ref="AT54">IF(MAX(ABS(AG54:AS54))&gt;$AT$4,"EXPLAIN","")</f>
        <v/>
      </c>
    </row>
    <row r="55" spans="2:46" x14ac:dyDescent="0.2">
      <c r="B55" s="801"/>
      <c r="C55" s="802"/>
      <c r="D55" s="641"/>
      <c r="E55" s="642"/>
      <c r="F55" s="642"/>
      <c r="G55" s="642"/>
      <c r="H55" s="642"/>
      <c r="I55" s="642"/>
      <c r="J55" s="642"/>
      <c r="K55" s="642"/>
      <c r="L55" s="642"/>
      <c r="M55" s="642"/>
      <c r="N55" s="642"/>
      <c r="O55" s="642"/>
      <c r="P55" s="642"/>
      <c r="R55" s="701"/>
      <c r="S55" s="702"/>
      <c r="T55" s="702"/>
      <c r="U55" s="702"/>
      <c r="V55" s="702"/>
      <c r="W55" s="702"/>
      <c r="X55" s="702"/>
      <c r="Y55" s="702"/>
      <c r="Z55" s="702"/>
      <c r="AA55" s="702"/>
      <c r="AB55" s="702"/>
      <c r="AC55" s="702"/>
      <c r="AD55" s="702"/>
      <c r="AG55" s="805">
        <f t="shared" si="2"/>
        <v>0</v>
      </c>
      <c r="AH55" s="806">
        <f t="shared" si="2"/>
        <v>0</v>
      </c>
      <c r="AI55" s="806">
        <f t="shared" si="2"/>
        <v>0</v>
      </c>
      <c r="AJ55" s="806">
        <f t="shared" si="2"/>
        <v>0</v>
      </c>
      <c r="AK55" s="806">
        <f t="shared" si="2"/>
        <v>0</v>
      </c>
      <c r="AL55" s="806">
        <f t="shared" si="2"/>
        <v>0</v>
      </c>
      <c r="AM55" s="806">
        <f t="shared" si="2"/>
        <v>0</v>
      </c>
      <c r="AN55" s="806">
        <f t="shared" si="2"/>
        <v>0</v>
      </c>
      <c r="AO55" s="806">
        <f t="shared" si="1"/>
        <v>0</v>
      </c>
      <c r="AP55" s="806">
        <f t="shared" si="1"/>
        <v>0</v>
      </c>
      <c r="AQ55" s="806">
        <f t="shared" si="1"/>
        <v>0</v>
      </c>
      <c r="AR55" s="806">
        <f t="shared" si="1"/>
        <v>0</v>
      </c>
      <c r="AS55" s="806">
        <f t="shared" si="1"/>
        <v>0</v>
      </c>
      <c r="AT55" s="447" t="str">
        <f t="array" ref="AT55">IF(MAX(ABS(AG55:AS55))&gt;$AT$4,"EXPLAIN","")</f>
        <v/>
      </c>
    </row>
    <row r="56" spans="2:46" x14ac:dyDescent="0.2">
      <c r="B56" s="801"/>
      <c r="C56" s="802"/>
      <c r="D56" s="641"/>
      <c r="E56" s="642"/>
      <c r="F56" s="642"/>
      <c r="G56" s="642"/>
      <c r="H56" s="642"/>
      <c r="I56" s="642"/>
      <c r="J56" s="642"/>
      <c r="K56" s="642"/>
      <c r="L56" s="642"/>
      <c r="M56" s="642"/>
      <c r="N56" s="642"/>
      <c r="O56" s="642"/>
      <c r="P56" s="642"/>
      <c r="R56" s="701"/>
      <c r="S56" s="702"/>
      <c r="T56" s="702"/>
      <c r="U56" s="702"/>
      <c r="V56" s="702"/>
      <c r="W56" s="702"/>
      <c r="X56" s="702"/>
      <c r="Y56" s="702"/>
      <c r="Z56" s="702"/>
      <c r="AA56" s="702"/>
      <c r="AB56" s="702"/>
      <c r="AC56" s="702"/>
      <c r="AD56" s="702"/>
      <c r="AG56" s="805">
        <f t="shared" si="2"/>
        <v>0</v>
      </c>
      <c r="AH56" s="806">
        <f t="shared" si="2"/>
        <v>0</v>
      </c>
      <c r="AI56" s="806">
        <f t="shared" si="2"/>
        <v>0</v>
      </c>
      <c r="AJ56" s="806">
        <f t="shared" si="2"/>
        <v>0</v>
      </c>
      <c r="AK56" s="806">
        <f t="shared" si="2"/>
        <v>0</v>
      </c>
      <c r="AL56" s="806">
        <f t="shared" si="2"/>
        <v>0</v>
      </c>
      <c r="AM56" s="806">
        <f t="shared" si="2"/>
        <v>0</v>
      </c>
      <c r="AN56" s="806">
        <f t="shared" si="2"/>
        <v>0</v>
      </c>
      <c r="AO56" s="806">
        <f t="shared" si="1"/>
        <v>0</v>
      </c>
      <c r="AP56" s="806">
        <f t="shared" si="1"/>
        <v>0</v>
      </c>
      <c r="AQ56" s="806">
        <f t="shared" si="1"/>
        <v>0</v>
      </c>
      <c r="AR56" s="806">
        <f t="shared" si="1"/>
        <v>0</v>
      </c>
      <c r="AS56" s="806">
        <f t="shared" si="1"/>
        <v>0</v>
      </c>
      <c r="AT56" s="447" t="str">
        <f t="array" ref="AT56">IF(MAX(ABS(AG56:AS56))&gt;$AT$4,"EXPLAIN","")</f>
        <v/>
      </c>
    </row>
    <row r="57" spans="2:46" x14ac:dyDescent="0.2">
      <c r="B57" s="801"/>
      <c r="C57" s="802"/>
      <c r="D57" s="641"/>
      <c r="E57" s="642"/>
      <c r="F57" s="642"/>
      <c r="G57" s="642"/>
      <c r="H57" s="642"/>
      <c r="I57" s="642"/>
      <c r="J57" s="642"/>
      <c r="K57" s="642"/>
      <c r="L57" s="642"/>
      <c r="M57" s="642"/>
      <c r="N57" s="642"/>
      <c r="O57" s="642"/>
      <c r="P57" s="642"/>
      <c r="R57" s="701"/>
      <c r="S57" s="702"/>
      <c r="T57" s="702"/>
      <c r="U57" s="702"/>
      <c r="V57" s="702"/>
      <c r="W57" s="702"/>
      <c r="X57" s="702"/>
      <c r="Y57" s="702"/>
      <c r="Z57" s="702"/>
      <c r="AA57" s="702"/>
      <c r="AB57" s="702"/>
      <c r="AC57" s="702"/>
      <c r="AD57" s="702"/>
      <c r="AG57" s="805">
        <f t="shared" si="2"/>
        <v>0</v>
      </c>
      <c r="AH57" s="806">
        <f t="shared" si="2"/>
        <v>0</v>
      </c>
      <c r="AI57" s="806">
        <f t="shared" si="2"/>
        <v>0</v>
      </c>
      <c r="AJ57" s="806">
        <f t="shared" si="2"/>
        <v>0</v>
      </c>
      <c r="AK57" s="806">
        <f t="shared" si="2"/>
        <v>0</v>
      </c>
      <c r="AL57" s="806">
        <f t="shared" si="2"/>
        <v>0</v>
      </c>
      <c r="AM57" s="806">
        <f t="shared" si="2"/>
        <v>0</v>
      </c>
      <c r="AN57" s="806">
        <f t="shared" ref="AN57:AS65" si="5">IFERROR(K57/Y57-1,0)</f>
        <v>0</v>
      </c>
      <c r="AO57" s="806">
        <f t="shared" si="5"/>
        <v>0</v>
      </c>
      <c r="AP57" s="806">
        <f t="shared" si="5"/>
        <v>0</v>
      </c>
      <c r="AQ57" s="806">
        <f t="shared" si="5"/>
        <v>0</v>
      </c>
      <c r="AR57" s="806">
        <f t="shared" si="5"/>
        <v>0</v>
      </c>
      <c r="AS57" s="806">
        <f t="shared" si="5"/>
        <v>0</v>
      </c>
      <c r="AT57" s="447" t="str">
        <f t="array" ref="AT57">IF(MAX(ABS(AG57:AS57))&gt;$AT$4,"EXPLAIN","")</f>
        <v/>
      </c>
    </row>
    <row r="58" spans="2:46" x14ac:dyDescent="0.2">
      <c r="B58" s="801"/>
      <c r="C58" s="802"/>
      <c r="D58" s="641"/>
      <c r="E58" s="642"/>
      <c r="F58" s="642"/>
      <c r="G58" s="642"/>
      <c r="H58" s="642"/>
      <c r="I58" s="642"/>
      <c r="J58" s="642"/>
      <c r="K58" s="642"/>
      <c r="L58" s="642"/>
      <c r="M58" s="642"/>
      <c r="N58" s="642"/>
      <c r="O58" s="642"/>
      <c r="P58" s="642"/>
      <c r="R58" s="701"/>
      <c r="S58" s="702"/>
      <c r="T58" s="702"/>
      <c r="U58" s="702"/>
      <c r="V58" s="702"/>
      <c r="W58" s="702"/>
      <c r="X58" s="702"/>
      <c r="Y58" s="702"/>
      <c r="Z58" s="702"/>
      <c r="AA58" s="702"/>
      <c r="AB58" s="702"/>
      <c r="AC58" s="702"/>
      <c r="AD58" s="702"/>
      <c r="AG58" s="805">
        <f t="shared" ref="AG58:AM65" si="6">IFERROR(D58/R58-1,0)</f>
        <v>0</v>
      </c>
      <c r="AH58" s="806">
        <f t="shared" si="6"/>
        <v>0</v>
      </c>
      <c r="AI58" s="806">
        <f t="shared" si="6"/>
        <v>0</v>
      </c>
      <c r="AJ58" s="806">
        <f t="shared" si="6"/>
        <v>0</v>
      </c>
      <c r="AK58" s="806">
        <f t="shared" si="6"/>
        <v>0</v>
      </c>
      <c r="AL58" s="806">
        <f t="shared" si="6"/>
        <v>0</v>
      </c>
      <c r="AM58" s="806">
        <f t="shared" si="6"/>
        <v>0</v>
      </c>
      <c r="AN58" s="806">
        <f t="shared" si="5"/>
        <v>0</v>
      </c>
      <c r="AO58" s="806">
        <f t="shared" si="5"/>
        <v>0</v>
      </c>
      <c r="AP58" s="806">
        <f t="shared" si="5"/>
        <v>0</v>
      </c>
      <c r="AQ58" s="806">
        <f t="shared" si="5"/>
        <v>0</v>
      </c>
      <c r="AR58" s="806">
        <f t="shared" si="5"/>
        <v>0</v>
      </c>
      <c r="AS58" s="806">
        <f t="shared" si="5"/>
        <v>0</v>
      </c>
      <c r="AT58" s="447" t="str">
        <f t="array" ref="AT58">IF(MAX(ABS(AG58:AS58))&gt;$AT$4,"EXPLAIN","")</f>
        <v/>
      </c>
    </row>
    <row r="59" spans="2:46" x14ac:dyDescent="0.2">
      <c r="B59" s="801"/>
      <c r="C59" s="809"/>
      <c r="D59" s="810"/>
      <c r="E59" s="811"/>
      <c r="F59" s="811"/>
      <c r="G59" s="811"/>
      <c r="H59" s="811"/>
      <c r="I59" s="811"/>
      <c r="J59" s="811"/>
      <c r="K59" s="811"/>
      <c r="L59" s="811"/>
      <c r="M59" s="811"/>
      <c r="N59" s="811"/>
      <c r="O59" s="811"/>
      <c r="P59" s="811"/>
      <c r="R59" s="812"/>
      <c r="S59" s="813"/>
      <c r="T59" s="813"/>
      <c r="U59" s="813"/>
      <c r="V59" s="813"/>
      <c r="W59" s="813"/>
      <c r="X59" s="813"/>
      <c r="Y59" s="813"/>
      <c r="Z59" s="813"/>
      <c r="AA59" s="814"/>
      <c r="AB59" s="814"/>
      <c r="AC59" s="814"/>
      <c r="AD59" s="814"/>
      <c r="AG59" s="805">
        <f t="shared" si="6"/>
        <v>0</v>
      </c>
      <c r="AH59" s="806">
        <f t="shared" si="6"/>
        <v>0</v>
      </c>
      <c r="AI59" s="806">
        <f t="shared" si="6"/>
        <v>0</v>
      </c>
      <c r="AJ59" s="806">
        <f t="shared" si="6"/>
        <v>0</v>
      </c>
      <c r="AK59" s="806">
        <f t="shared" si="6"/>
        <v>0</v>
      </c>
      <c r="AL59" s="806">
        <f t="shared" si="6"/>
        <v>0</v>
      </c>
      <c r="AM59" s="806">
        <f t="shared" si="6"/>
        <v>0</v>
      </c>
      <c r="AN59" s="806">
        <f t="shared" si="5"/>
        <v>0</v>
      </c>
      <c r="AO59" s="806">
        <f t="shared" si="5"/>
        <v>0</v>
      </c>
      <c r="AP59" s="806">
        <f t="shared" si="5"/>
        <v>0</v>
      </c>
      <c r="AQ59" s="806">
        <f t="shared" si="5"/>
        <v>0</v>
      </c>
      <c r="AR59" s="806">
        <f t="shared" si="5"/>
        <v>0</v>
      </c>
      <c r="AS59" s="806">
        <f t="shared" si="5"/>
        <v>0</v>
      </c>
      <c r="AT59" s="447" t="str">
        <f t="array" ref="AT59">IF(MAX(ABS(AG59:AS59))&gt;$AT$4,"EXPLAIN","")</f>
        <v/>
      </c>
    </row>
    <row r="60" spans="2:46" x14ac:dyDescent="0.2">
      <c r="B60" s="801"/>
      <c r="C60" s="809"/>
      <c r="D60" s="810"/>
      <c r="E60" s="811"/>
      <c r="F60" s="811"/>
      <c r="G60" s="811"/>
      <c r="H60" s="811"/>
      <c r="I60" s="811"/>
      <c r="J60" s="811"/>
      <c r="K60" s="811"/>
      <c r="L60" s="811"/>
      <c r="M60" s="811"/>
      <c r="N60" s="811"/>
      <c r="O60" s="811"/>
      <c r="P60" s="811"/>
      <c r="R60" s="812"/>
      <c r="S60" s="813"/>
      <c r="T60" s="813"/>
      <c r="U60" s="813"/>
      <c r="V60" s="813"/>
      <c r="W60" s="813"/>
      <c r="X60" s="813"/>
      <c r="Y60" s="813"/>
      <c r="Z60" s="813"/>
      <c r="AA60" s="814"/>
      <c r="AB60" s="814"/>
      <c r="AC60" s="814"/>
      <c r="AD60" s="814"/>
      <c r="AG60" s="805">
        <f t="shared" si="6"/>
        <v>0</v>
      </c>
      <c r="AH60" s="806">
        <f t="shared" si="6"/>
        <v>0</v>
      </c>
      <c r="AI60" s="806">
        <f t="shared" si="6"/>
        <v>0</v>
      </c>
      <c r="AJ60" s="806">
        <f t="shared" si="6"/>
        <v>0</v>
      </c>
      <c r="AK60" s="806">
        <f t="shared" si="6"/>
        <v>0</v>
      </c>
      <c r="AL60" s="806">
        <f t="shared" si="6"/>
        <v>0</v>
      </c>
      <c r="AM60" s="806">
        <f t="shared" si="6"/>
        <v>0</v>
      </c>
      <c r="AN60" s="806">
        <f t="shared" si="5"/>
        <v>0</v>
      </c>
      <c r="AO60" s="806">
        <f t="shared" si="5"/>
        <v>0</v>
      </c>
      <c r="AP60" s="806">
        <f t="shared" si="5"/>
        <v>0</v>
      </c>
      <c r="AQ60" s="806">
        <f t="shared" si="5"/>
        <v>0</v>
      </c>
      <c r="AR60" s="806">
        <f t="shared" si="5"/>
        <v>0</v>
      </c>
      <c r="AS60" s="806">
        <f t="shared" si="5"/>
        <v>0</v>
      </c>
      <c r="AT60" s="447" t="str">
        <f t="array" ref="AT60">IF(MAX(ABS(AG60:AS60))&gt;$AT$4,"EXPLAIN","")</f>
        <v/>
      </c>
    </row>
    <row r="61" spans="2:46" x14ac:dyDescent="0.2">
      <c r="B61" s="801"/>
      <c r="C61" s="809"/>
      <c r="D61" s="810"/>
      <c r="E61" s="811"/>
      <c r="F61" s="811"/>
      <c r="G61" s="811"/>
      <c r="H61" s="811"/>
      <c r="I61" s="811"/>
      <c r="J61" s="811"/>
      <c r="K61" s="811"/>
      <c r="L61" s="811"/>
      <c r="M61" s="811"/>
      <c r="N61" s="811"/>
      <c r="O61" s="811"/>
      <c r="P61" s="811"/>
      <c r="R61" s="812"/>
      <c r="S61" s="813"/>
      <c r="T61" s="813"/>
      <c r="U61" s="813"/>
      <c r="V61" s="813"/>
      <c r="W61" s="813"/>
      <c r="X61" s="813"/>
      <c r="Y61" s="813"/>
      <c r="Z61" s="813"/>
      <c r="AA61" s="814"/>
      <c r="AB61" s="814"/>
      <c r="AC61" s="814"/>
      <c r="AD61" s="814"/>
      <c r="AG61" s="805">
        <f t="shared" si="6"/>
        <v>0</v>
      </c>
      <c r="AH61" s="806">
        <f t="shared" si="6"/>
        <v>0</v>
      </c>
      <c r="AI61" s="806">
        <f t="shared" si="6"/>
        <v>0</v>
      </c>
      <c r="AJ61" s="806">
        <f t="shared" si="6"/>
        <v>0</v>
      </c>
      <c r="AK61" s="806">
        <f t="shared" si="6"/>
        <v>0</v>
      </c>
      <c r="AL61" s="806">
        <f t="shared" si="6"/>
        <v>0</v>
      </c>
      <c r="AM61" s="806">
        <f t="shared" si="6"/>
        <v>0</v>
      </c>
      <c r="AN61" s="806">
        <f t="shared" si="5"/>
        <v>0</v>
      </c>
      <c r="AO61" s="806">
        <f t="shared" si="5"/>
        <v>0</v>
      </c>
      <c r="AP61" s="806">
        <f t="shared" si="5"/>
        <v>0</v>
      </c>
      <c r="AQ61" s="806">
        <f t="shared" si="5"/>
        <v>0</v>
      </c>
      <c r="AR61" s="806">
        <f t="shared" si="5"/>
        <v>0</v>
      </c>
      <c r="AS61" s="806">
        <f t="shared" si="5"/>
        <v>0</v>
      </c>
      <c r="AT61" s="447" t="str">
        <f t="array" ref="AT61">IF(MAX(ABS(AG61:AS61))&gt;$AT$4,"EXPLAIN","")</f>
        <v/>
      </c>
    </row>
    <row r="62" spans="2:46" x14ac:dyDescent="0.2">
      <c r="B62" s="801"/>
      <c r="C62" s="809"/>
      <c r="D62" s="810"/>
      <c r="E62" s="811"/>
      <c r="F62" s="811"/>
      <c r="G62" s="811"/>
      <c r="H62" s="811"/>
      <c r="I62" s="811"/>
      <c r="J62" s="811"/>
      <c r="K62" s="811"/>
      <c r="L62" s="811"/>
      <c r="M62" s="811"/>
      <c r="N62" s="811"/>
      <c r="O62" s="811"/>
      <c r="P62" s="811"/>
      <c r="R62" s="812"/>
      <c r="S62" s="813"/>
      <c r="T62" s="813"/>
      <c r="U62" s="813"/>
      <c r="V62" s="813"/>
      <c r="W62" s="813"/>
      <c r="X62" s="813"/>
      <c r="Y62" s="813"/>
      <c r="Z62" s="813"/>
      <c r="AA62" s="814"/>
      <c r="AB62" s="814"/>
      <c r="AC62" s="814"/>
      <c r="AD62" s="814"/>
      <c r="AG62" s="805">
        <f t="shared" si="6"/>
        <v>0</v>
      </c>
      <c r="AH62" s="806">
        <f t="shared" si="6"/>
        <v>0</v>
      </c>
      <c r="AI62" s="806">
        <f t="shared" si="6"/>
        <v>0</v>
      </c>
      <c r="AJ62" s="806">
        <f t="shared" si="6"/>
        <v>0</v>
      </c>
      <c r="AK62" s="806">
        <f t="shared" si="6"/>
        <v>0</v>
      </c>
      <c r="AL62" s="806">
        <f t="shared" si="6"/>
        <v>0</v>
      </c>
      <c r="AM62" s="806">
        <f t="shared" si="6"/>
        <v>0</v>
      </c>
      <c r="AN62" s="806">
        <f t="shared" si="5"/>
        <v>0</v>
      </c>
      <c r="AO62" s="806">
        <f t="shared" si="5"/>
        <v>0</v>
      </c>
      <c r="AP62" s="806">
        <f t="shared" si="5"/>
        <v>0</v>
      </c>
      <c r="AQ62" s="806">
        <f t="shared" si="5"/>
        <v>0</v>
      </c>
      <c r="AR62" s="806">
        <f t="shared" si="5"/>
        <v>0</v>
      </c>
      <c r="AS62" s="806">
        <f t="shared" si="5"/>
        <v>0</v>
      </c>
      <c r="AT62" s="447" t="str">
        <f t="array" ref="AT62">IF(MAX(ABS(AG62:AS62))&gt;$AT$4,"EXPLAIN","")</f>
        <v/>
      </c>
    </row>
    <row r="63" spans="2:46" x14ac:dyDescent="0.2">
      <c r="B63" s="801"/>
      <c r="C63" s="809"/>
      <c r="D63" s="810"/>
      <c r="E63" s="811"/>
      <c r="F63" s="811"/>
      <c r="G63" s="811"/>
      <c r="H63" s="811"/>
      <c r="I63" s="811"/>
      <c r="J63" s="811"/>
      <c r="K63" s="811"/>
      <c r="L63" s="811"/>
      <c r="M63" s="811"/>
      <c r="N63" s="811"/>
      <c r="O63" s="811"/>
      <c r="P63" s="811"/>
      <c r="R63" s="812"/>
      <c r="S63" s="813"/>
      <c r="T63" s="813"/>
      <c r="U63" s="813"/>
      <c r="V63" s="813"/>
      <c r="W63" s="813"/>
      <c r="X63" s="813"/>
      <c r="Y63" s="813"/>
      <c r="Z63" s="813"/>
      <c r="AA63" s="814"/>
      <c r="AB63" s="814"/>
      <c r="AC63" s="814"/>
      <c r="AD63" s="814"/>
      <c r="AG63" s="805">
        <f t="shared" si="6"/>
        <v>0</v>
      </c>
      <c r="AH63" s="806">
        <f t="shared" si="6"/>
        <v>0</v>
      </c>
      <c r="AI63" s="806">
        <f t="shared" si="6"/>
        <v>0</v>
      </c>
      <c r="AJ63" s="806">
        <f t="shared" si="6"/>
        <v>0</v>
      </c>
      <c r="AK63" s="806">
        <f t="shared" si="6"/>
        <v>0</v>
      </c>
      <c r="AL63" s="806">
        <f t="shared" si="6"/>
        <v>0</v>
      </c>
      <c r="AM63" s="806">
        <f t="shared" si="6"/>
        <v>0</v>
      </c>
      <c r="AN63" s="806">
        <f t="shared" si="5"/>
        <v>0</v>
      </c>
      <c r="AO63" s="806">
        <f t="shared" si="5"/>
        <v>0</v>
      </c>
      <c r="AP63" s="806">
        <f t="shared" si="5"/>
        <v>0</v>
      </c>
      <c r="AQ63" s="806">
        <f t="shared" si="5"/>
        <v>0</v>
      </c>
      <c r="AR63" s="806">
        <f t="shared" si="5"/>
        <v>0</v>
      </c>
      <c r="AS63" s="806">
        <f t="shared" si="5"/>
        <v>0</v>
      </c>
      <c r="AT63" s="447" t="str">
        <f t="array" ref="AT63">IF(MAX(ABS(AG63:AS63))&gt;$AT$4,"EXPLAIN","")</f>
        <v/>
      </c>
    </row>
    <row r="64" spans="2:46" x14ac:dyDescent="0.2">
      <c r="B64" s="801"/>
      <c r="C64" s="809"/>
      <c r="D64" s="810"/>
      <c r="E64" s="811"/>
      <c r="F64" s="811"/>
      <c r="G64" s="811"/>
      <c r="H64" s="811"/>
      <c r="I64" s="811"/>
      <c r="J64" s="811"/>
      <c r="K64" s="811"/>
      <c r="L64" s="811"/>
      <c r="M64" s="811"/>
      <c r="N64" s="811"/>
      <c r="O64" s="811"/>
      <c r="P64" s="811"/>
      <c r="R64" s="812"/>
      <c r="S64" s="813"/>
      <c r="T64" s="813"/>
      <c r="U64" s="813"/>
      <c r="V64" s="813"/>
      <c r="W64" s="813"/>
      <c r="X64" s="813"/>
      <c r="Y64" s="813"/>
      <c r="Z64" s="813"/>
      <c r="AA64" s="814"/>
      <c r="AB64" s="814"/>
      <c r="AC64" s="814"/>
      <c r="AD64" s="814"/>
      <c r="AG64" s="805">
        <f t="shared" si="6"/>
        <v>0</v>
      </c>
      <c r="AH64" s="806">
        <f t="shared" si="6"/>
        <v>0</v>
      </c>
      <c r="AI64" s="806">
        <f t="shared" si="6"/>
        <v>0</v>
      </c>
      <c r="AJ64" s="806">
        <f t="shared" si="6"/>
        <v>0</v>
      </c>
      <c r="AK64" s="806">
        <f t="shared" si="6"/>
        <v>0</v>
      </c>
      <c r="AL64" s="806">
        <f t="shared" si="6"/>
        <v>0</v>
      </c>
      <c r="AM64" s="806">
        <f t="shared" si="6"/>
        <v>0</v>
      </c>
      <c r="AN64" s="806">
        <f t="shared" si="5"/>
        <v>0</v>
      </c>
      <c r="AO64" s="806">
        <f t="shared" si="5"/>
        <v>0</v>
      </c>
      <c r="AP64" s="806">
        <f t="shared" si="5"/>
        <v>0</v>
      </c>
      <c r="AQ64" s="806">
        <f t="shared" si="5"/>
        <v>0</v>
      </c>
      <c r="AR64" s="806">
        <f t="shared" si="5"/>
        <v>0</v>
      </c>
      <c r="AS64" s="806">
        <f t="shared" si="5"/>
        <v>0</v>
      </c>
      <c r="AT64" s="447" t="str">
        <f t="array" ref="AT64">IF(MAX(ABS(AG64:AS64))&gt;$AT$4,"EXPLAIN","")</f>
        <v/>
      </c>
    </row>
    <row r="65" spans="2:46" ht="13.5" thickBot="1" x14ac:dyDescent="0.25">
      <c r="B65" s="815"/>
      <c r="C65" s="816"/>
      <c r="D65" s="817"/>
      <c r="E65" s="818"/>
      <c r="F65" s="818"/>
      <c r="G65" s="818"/>
      <c r="H65" s="818"/>
      <c r="I65" s="818"/>
      <c r="J65" s="818"/>
      <c r="K65" s="818"/>
      <c r="L65" s="818"/>
      <c r="M65" s="818"/>
      <c r="N65" s="818"/>
      <c r="O65" s="818"/>
      <c r="P65" s="818"/>
      <c r="R65" s="819"/>
      <c r="S65" s="820"/>
      <c r="T65" s="820"/>
      <c r="U65" s="820"/>
      <c r="V65" s="820"/>
      <c r="W65" s="820"/>
      <c r="X65" s="820"/>
      <c r="Y65" s="820"/>
      <c r="Z65" s="820"/>
      <c r="AA65" s="821"/>
      <c r="AB65" s="821"/>
      <c r="AC65" s="821"/>
      <c r="AD65" s="821"/>
      <c r="AG65" s="822">
        <f t="shared" si="6"/>
        <v>0</v>
      </c>
      <c r="AH65" s="823">
        <f t="shared" si="6"/>
        <v>0</v>
      </c>
      <c r="AI65" s="823">
        <f t="shared" si="6"/>
        <v>0</v>
      </c>
      <c r="AJ65" s="823">
        <f t="shared" si="6"/>
        <v>0</v>
      </c>
      <c r="AK65" s="823">
        <f t="shared" si="6"/>
        <v>0</v>
      </c>
      <c r="AL65" s="823">
        <f t="shared" si="6"/>
        <v>0</v>
      </c>
      <c r="AM65" s="823">
        <f t="shared" si="6"/>
        <v>0</v>
      </c>
      <c r="AN65" s="823">
        <f t="shared" si="5"/>
        <v>0</v>
      </c>
      <c r="AO65" s="823">
        <f t="shared" si="5"/>
        <v>0</v>
      </c>
      <c r="AP65" s="823">
        <f t="shared" si="5"/>
        <v>0</v>
      </c>
      <c r="AQ65" s="823">
        <f t="shared" si="5"/>
        <v>0</v>
      </c>
      <c r="AR65" s="823">
        <f t="shared" si="5"/>
        <v>0</v>
      </c>
      <c r="AS65" s="823">
        <f t="shared" si="5"/>
        <v>0</v>
      </c>
      <c r="AT65" s="824" t="str">
        <f t="array" ref="AT65">IF(MAX(ABS(AG65:AS65))&gt;$AT$4,"EXPLAIN","")</f>
        <v/>
      </c>
    </row>
    <row r="66" spans="2:46" s="167" customFormat="1" x14ac:dyDescent="0.2"/>
    <row r="67" spans="2:46" s="167" customFormat="1" x14ac:dyDescent="0.2"/>
    <row r="68" spans="2:46" s="167" customFormat="1" x14ac:dyDescent="0.2"/>
    <row r="69" spans="2:46" s="167" customFormat="1" x14ac:dyDescent="0.2"/>
    <row r="70" spans="2:46" s="167" customFormat="1" x14ac:dyDescent="0.2"/>
    <row r="71" spans="2:46" s="167" customFormat="1" x14ac:dyDescent="0.2"/>
    <row r="72" spans="2:46" s="167" customFormat="1" x14ac:dyDescent="0.2"/>
    <row r="73" spans="2:46" s="167" customFormat="1" x14ac:dyDescent="0.2"/>
    <row r="74" spans="2:46" s="167" customFormat="1" x14ac:dyDescent="0.2"/>
    <row r="75" spans="2:46" s="167" customFormat="1" x14ac:dyDescent="0.2"/>
    <row r="76" spans="2:46" s="167" customFormat="1" x14ac:dyDescent="0.2"/>
    <row r="77" spans="2:46" s="167" customFormat="1" x14ac:dyDescent="0.2"/>
    <row r="78" spans="2:46" s="167" customFormat="1" x14ac:dyDescent="0.2"/>
    <row r="79" spans="2:46" s="167" customFormat="1" x14ac:dyDescent="0.2"/>
    <row r="80" spans="2:46" s="167" customFormat="1" x14ac:dyDescent="0.2"/>
    <row r="81" s="167" customFormat="1" x14ac:dyDescent="0.2"/>
    <row r="82" s="167" customFormat="1" x14ac:dyDescent="0.2"/>
    <row r="83" s="167" customFormat="1" x14ac:dyDescent="0.2"/>
    <row r="84" s="167" customFormat="1" x14ac:dyDescent="0.2"/>
    <row r="85" s="167" customFormat="1" x14ac:dyDescent="0.2"/>
    <row r="86" s="167" customFormat="1" x14ac:dyDescent="0.2"/>
    <row r="87" s="167" customFormat="1" x14ac:dyDescent="0.2"/>
    <row r="88" s="167" customFormat="1" x14ac:dyDescent="0.2"/>
    <row r="89" s="167" customFormat="1" x14ac:dyDescent="0.2"/>
    <row r="90" s="167" customFormat="1" x14ac:dyDescent="0.2"/>
    <row r="91" s="167" customFormat="1" x14ac:dyDescent="0.2"/>
    <row r="92" s="167" customFormat="1" x14ac:dyDescent="0.2"/>
    <row r="93" s="167" customFormat="1" x14ac:dyDescent="0.2"/>
    <row r="94" s="167" customFormat="1" x14ac:dyDescent="0.2"/>
    <row r="95" s="167" customFormat="1" x14ac:dyDescent="0.2"/>
    <row r="96" s="167" customFormat="1" x14ac:dyDescent="0.2"/>
    <row r="97" s="167" customFormat="1" x14ac:dyDescent="0.2"/>
    <row r="98" s="167" customFormat="1" x14ac:dyDescent="0.2"/>
    <row r="99" s="167" customFormat="1" x14ac:dyDescent="0.2"/>
    <row r="100" s="167" customFormat="1" x14ac:dyDescent="0.2"/>
    <row r="101" s="167" customFormat="1" x14ac:dyDescent="0.2"/>
    <row r="102" s="167" customFormat="1" x14ac:dyDescent="0.2"/>
    <row r="103" s="167" customFormat="1" x14ac:dyDescent="0.2"/>
    <row r="104" s="167" customFormat="1" x14ac:dyDescent="0.2"/>
  </sheetData>
  <conditionalFormatting sqref="AT6:AT7 AT24:AT65">
    <cfRule type="cellIs" dxfId="9" priority="10" operator="equal">
      <formula>"EXPLAIN"</formula>
    </cfRule>
  </conditionalFormatting>
  <conditionalFormatting sqref="AG6:AS7 AG24:AS65">
    <cfRule type="cellIs" dxfId="8" priority="6" operator="lessThan">
      <formula>-0.15</formula>
    </cfRule>
    <cfRule type="cellIs" dxfId="7" priority="7" operator="greaterThan">
      <formula>0.15</formula>
    </cfRule>
    <cfRule type="cellIs" dxfId="6" priority="8" operator="lessThan">
      <formula>-0.15</formula>
    </cfRule>
    <cfRule type="cellIs" dxfId="5" priority="9" operator="greaterThan">
      <formula>0.15</formula>
    </cfRule>
  </conditionalFormatting>
  <conditionalFormatting sqref="AT8:AT23">
    <cfRule type="cellIs" dxfId="4" priority="5" operator="equal">
      <formula>"EXPLAIN"</formula>
    </cfRule>
  </conditionalFormatting>
  <conditionalFormatting sqref="AG8:AS23">
    <cfRule type="cellIs" dxfId="3" priority="1" operator="lessThan">
      <formula>-0.15</formula>
    </cfRule>
    <cfRule type="cellIs" dxfId="2" priority="2" operator="greaterThan">
      <formula>0.15</formula>
    </cfRule>
    <cfRule type="cellIs" dxfId="1" priority="3" operator="lessThan">
      <formula>-0.15</formula>
    </cfRule>
    <cfRule type="cellIs" dxfId="0" priority="4" operator="greaterThan">
      <formula>0.15</formula>
    </cfRule>
  </conditionalFormatting>
  <printOptions horizontalCentered="1" gridLines="1"/>
  <pageMargins left="0.23622047244094491" right="0.23622047244094491" top="0.74803149606299213" bottom="0.74803149606299213" header="0.31496062992125984" footer="0.31496062992125984"/>
  <pageSetup paperSize="9" scale="66" orientation="landscape" horizontalDpi="4294967293"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17" max="65" man="1"/>
    <brk id="32"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pageSetUpPr autoPageBreaks="0" fitToPage="1"/>
  </sheetPr>
  <dimension ref="B1:P104"/>
  <sheetViews>
    <sheetView zoomScale="80" zoomScaleNormal="80" zoomScaleSheetLayoutView="85" workbookViewId="0">
      <pane xSplit="3" ySplit="5" topLeftCell="D6" activePane="bottomRight" state="frozen"/>
      <selection activeCell="C18" sqref="C18"/>
      <selection pane="topRight" activeCell="C18" sqref="C18"/>
      <selection pane="bottomLeft" activeCell="C18" sqref="C18"/>
      <selection pane="bottomRight"/>
    </sheetView>
  </sheetViews>
  <sheetFormatPr defaultRowHeight="12.75" x14ac:dyDescent="0.2"/>
  <cols>
    <col min="1" max="1" width="1.85546875" style="210" customWidth="1"/>
    <col min="2" max="3" width="40.42578125" style="210" customWidth="1"/>
    <col min="4" max="4" width="14.7109375" style="210" customWidth="1"/>
    <col min="5" max="5" width="11.28515625" style="210" customWidth="1"/>
    <col min="6" max="6" width="12.42578125" style="210" customWidth="1"/>
    <col min="7" max="7" width="13.5703125" style="210" customWidth="1"/>
    <col min="8" max="8" width="12.42578125" style="210" customWidth="1"/>
    <col min="9" max="9" width="11.28515625" style="210" customWidth="1"/>
    <col min="10" max="10" width="11" style="210" customWidth="1"/>
    <col min="11" max="11" width="9.140625" style="210" customWidth="1"/>
    <col min="12" max="12" width="9.7109375" style="210" customWidth="1"/>
    <col min="13" max="13" width="13.28515625" style="210" customWidth="1"/>
    <col min="14" max="14" width="10.5703125" style="210" customWidth="1"/>
    <col min="15" max="16" width="11" style="210" customWidth="1"/>
    <col min="17" max="16384" width="9.140625" style="210"/>
  </cols>
  <sheetData>
    <row r="1" spans="2:16" ht="15" x14ac:dyDescent="0.25">
      <c r="B1" s="166" t="str">
        <f>"Tariff Approval - "&amp;'Model update'!$C$3</f>
        <v>Tariff Approval - United Energy</v>
      </c>
      <c r="C1" s="166"/>
      <c r="D1" s="514"/>
      <c r="F1" s="514"/>
    </row>
    <row r="3" spans="2:16" x14ac:dyDescent="0.2">
      <c r="B3" s="250" t="str">
        <f>"TSS - updated indicative prices for "&amp;'Model update'!$C$5+1</f>
        <v>TSS - updated indicative prices for 2020</v>
      </c>
      <c r="C3" s="250"/>
    </row>
    <row r="4" spans="2:16" ht="13.5" thickBot="1" x14ac:dyDescent="0.25">
      <c r="D4" s="252" t="str">
        <f>"TSS indicative tariffs for "&amp;'Model update'!$C$5+1</f>
        <v>TSS indicative tariffs for 2020</v>
      </c>
      <c r="E4" s="253"/>
      <c r="F4" s="253"/>
      <c r="G4" s="844" t="s">
        <v>748</v>
      </c>
      <c r="H4" s="196"/>
      <c r="M4" s="794"/>
    </row>
    <row r="5" spans="2:16" ht="25.5" x14ac:dyDescent="0.2">
      <c r="B5" s="256" t="s">
        <v>631</v>
      </c>
      <c r="C5" s="795" t="s">
        <v>632</v>
      </c>
      <c r="D5" s="796" t="str">
        <f>Prop2019DistTar!D5</f>
        <v>PropTar
Fixed</v>
      </c>
      <c r="E5" s="797" t="str">
        <f>Prop2019DistTar!E5</f>
        <v>PropTar
PkBlk1</v>
      </c>
      <c r="F5" s="797" t="str">
        <f>Prop2019DistTar!F5</f>
        <v>PropTar
PkBlk2</v>
      </c>
      <c r="G5" s="797" t="str">
        <f>Prop2019DistTar!G5</f>
        <v>PropTar
PkBlk3</v>
      </c>
      <c r="H5" s="797" t="str">
        <f>Prop2019DistTar!H5</f>
        <v>PropTar
PkBlk4</v>
      </c>
      <c r="I5" s="797" t="str">
        <f>Prop2019DistTar!I5</f>
        <v>PropTar
OPkBlk1</v>
      </c>
      <c r="J5" s="797" t="str">
        <f>Prop2019DistTar!J5</f>
        <v>PropTar
OPkBlk2</v>
      </c>
      <c r="K5" s="797" t="str">
        <f>Prop2019DistTar!K5</f>
        <v>PropTar
OPkBlk3</v>
      </c>
      <c r="L5" s="797" t="str">
        <f>Prop2019DistTar!L5</f>
        <v>PropTar
OPkBlk4</v>
      </c>
      <c r="M5" s="797" t="str">
        <f>Prop2019DistTar!M5</f>
        <v>PropTar
DemBlk1</v>
      </c>
      <c r="N5" s="797" t="str">
        <f>Prop2019DistTar!N5</f>
        <v>PropTar
DemBlk2</v>
      </c>
      <c r="O5" s="797" t="str">
        <f>Prop2019DistTar!O5</f>
        <v>PropTar
DemBlk3</v>
      </c>
      <c r="P5" s="798" t="str">
        <f>Prop2019DistTar!P5</f>
        <v>PropTar
DemBlk4</v>
      </c>
    </row>
    <row r="6" spans="2:16" x14ac:dyDescent="0.2">
      <c r="B6" s="801" t="str">
        <f>Prop2019TSSComp!B6</f>
        <v>Low voltage small 1 rate</v>
      </c>
      <c r="C6" s="802" t="str">
        <f>Prop2019DistTar!B6</f>
        <v>Low voltage small 1 rate</v>
      </c>
      <c r="D6" s="803">
        <v>7.29</v>
      </c>
      <c r="E6" s="700">
        <v>9.64</v>
      </c>
      <c r="F6" s="700">
        <v>0</v>
      </c>
      <c r="G6" s="700">
        <v>0</v>
      </c>
      <c r="H6" s="700">
        <v>8.06</v>
      </c>
      <c r="I6" s="700">
        <v>0</v>
      </c>
      <c r="J6" s="700">
        <v>0</v>
      </c>
      <c r="K6" s="700">
        <v>0</v>
      </c>
      <c r="L6" s="700">
        <v>0</v>
      </c>
      <c r="M6" s="700">
        <v>0</v>
      </c>
      <c r="N6" s="700">
        <v>0</v>
      </c>
      <c r="O6" s="700">
        <v>0</v>
      </c>
      <c r="P6" s="700">
        <v>0</v>
      </c>
    </row>
    <row r="7" spans="2:16" x14ac:dyDescent="0.2">
      <c r="B7" s="801" t="str">
        <f>Prop2019TSSComp!B7</f>
        <v>Winter Energy Tariff*</v>
      </c>
      <c r="C7" s="802" t="str">
        <f>Prop2019DistTar!B7</f>
        <v>Winter economy tariff</v>
      </c>
      <c r="D7" s="845">
        <v>9.39</v>
      </c>
      <c r="E7" s="813">
        <v>9.6</v>
      </c>
      <c r="F7" s="813">
        <v>0</v>
      </c>
      <c r="G7" s="813">
        <v>0</v>
      </c>
      <c r="H7" s="813">
        <v>7.22</v>
      </c>
      <c r="I7" s="813">
        <v>3.65</v>
      </c>
      <c r="J7" s="813">
        <v>0</v>
      </c>
      <c r="K7" s="813">
        <v>0</v>
      </c>
      <c r="L7" s="813">
        <v>0</v>
      </c>
      <c r="M7" s="813">
        <v>0</v>
      </c>
      <c r="N7" s="813">
        <v>0</v>
      </c>
      <c r="O7" s="813">
        <v>0</v>
      </c>
      <c r="P7" s="813">
        <v>0</v>
      </c>
    </row>
    <row r="8" spans="2:16" x14ac:dyDescent="0.2">
      <c r="B8" s="801" t="str">
        <f>Prop2019TSSComp!B8</f>
        <v>Reverse cycle airconditioning time of use*</v>
      </c>
      <c r="C8" s="802" t="str">
        <f>Prop2019DistTar!B8</f>
        <v>Reverse cycle airconditioning time of use</v>
      </c>
      <c r="D8" s="845">
        <v>0</v>
      </c>
      <c r="E8" s="813">
        <v>0</v>
      </c>
      <c r="F8" s="813">
        <v>0</v>
      </c>
      <c r="G8" s="813">
        <v>0</v>
      </c>
      <c r="H8" s="813">
        <v>0</v>
      </c>
      <c r="I8" s="813">
        <v>0</v>
      </c>
      <c r="J8" s="813">
        <v>0</v>
      </c>
      <c r="K8" s="813">
        <v>0</v>
      </c>
      <c r="L8" s="813">
        <v>0</v>
      </c>
      <c r="M8" s="813">
        <v>0</v>
      </c>
      <c r="N8" s="813">
        <v>0</v>
      </c>
      <c r="O8" s="813">
        <v>0</v>
      </c>
      <c r="P8" s="813">
        <v>0</v>
      </c>
    </row>
    <row r="9" spans="2:16" x14ac:dyDescent="0.2">
      <c r="B9" s="801" t="str">
        <f>Prop2019TSSComp!B9</f>
        <v>Low voltage small 2 rate*</v>
      </c>
      <c r="C9" s="802" t="str">
        <f>Prop2019DistTar!B9</f>
        <v>Low voltage small 2 rate</v>
      </c>
      <c r="D9" s="845">
        <v>14.9</v>
      </c>
      <c r="E9" s="813">
        <v>0</v>
      </c>
      <c r="F9" s="813">
        <v>0</v>
      </c>
      <c r="G9" s="813">
        <v>15.01</v>
      </c>
      <c r="H9" s="813">
        <v>0</v>
      </c>
      <c r="I9" s="813">
        <v>0</v>
      </c>
      <c r="J9" s="813">
        <v>11.52</v>
      </c>
      <c r="K9" s="813">
        <v>2.04</v>
      </c>
      <c r="L9" s="813">
        <v>0</v>
      </c>
      <c r="M9" s="813">
        <v>0</v>
      </c>
      <c r="N9" s="813">
        <v>0</v>
      </c>
      <c r="O9" s="813">
        <v>0</v>
      </c>
      <c r="P9" s="813">
        <v>0</v>
      </c>
    </row>
    <row r="10" spans="2:16" x14ac:dyDescent="0.2">
      <c r="B10" s="801" t="str">
        <f>Prop2019TSSComp!B10</f>
        <v>Dedicated circuit**</v>
      </c>
      <c r="C10" s="802" t="str">
        <f>Prop2019DistTar!B10</f>
        <v>Dedicated circuit</v>
      </c>
      <c r="D10" s="845">
        <v>0</v>
      </c>
      <c r="E10" s="813">
        <v>0</v>
      </c>
      <c r="F10" s="813">
        <v>0</v>
      </c>
      <c r="G10" s="813">
        <v>0</v>
      </c>
      <c r="H10" s="813">
        <v>0</v>
      </c>
      <c r="I10" s="813">
        <v>0</v>
      </c>
      <c r="J10" s="813">
        <v>0</v>
      </c>
      <c r="K10" s="813">
        <v>2.0499999999999998</v>
      </c>
      <c r="L10" s="813">
        <v>0</v>
      </c>
      <c r="M10" s="813">
        <v>0</v>
      </c>
      <c r="N10" s="813">
        <v>0</v>
      </c>
      <c r="O10" s="813">
        <v>0</v>
      </c>
      <c r="P10" s="813">
        <v>0</v>
      </c>
    </row>
    <row r="11" spans="2:16" x14ac:dyDescent="0.2">
      <c r="B11" s="801" t="str">
        <f>Prop2019TSSComp!B11</f>
        <v>Low voltage medium 1 rate</v>
      </c>
      <c r="C11" s="802" t="str">
        <f>Prop2019DistTar!B11</f>
        <v>Low voltage medium 1 rate</v>
      </c>
      <c r="D11" s="845">
        <v>12.38</v>
      </c>
      <c r="E11" s="813">
        <v>11.65</v>
      </c>
      <c r="F11" s="813">
        <v>0</v>
      </c>
      <c r="G11" s="813">
        <v>0</v>
      </c>
      <c r="H11" s="813">
        <v>9.31</v>
      </c>
      <c r="I11" s="813">
        <v>0</v>
      </c>
      <c r="J11" s="813">
        <v>0</v>
      </c>
      <c r="K11" s="813">
        <v>0</v>
      </c>
      <c r="L11" s="813">
        <v>0</v>
      </c>
      <c r="M11" s="813">
        <v>0</v>
      </c>
      <c r="N11" s="813">
        <v>0</v>
      </c>
      <c r="O11" s="813">
        <v>0</v>
      </c>
      <c r="P11" s="813">
        <v>0</v>
      </c>
    </row>
    <row r="12" spans="2:16" x14ac:dyDescent="0.2">
      <c r="B12" s="801" t="str">
        <f>Prop2019TSSComp!B12</f>
        <v>Low voltage medium 2 rate 5 day*</v>
      </c>
      <c r="C12" s="802" t="str">
        <f>Prop2019DistTar!B12</f>
        <v>Low voltage medium 2 rate 5 day</v>
      </c>
      <c r="D12" s="845">
        <v>23.7</v>
      </c>
      <c r="E12" s="813">
        <v>0</v>
      </c>
      <c r="F12" s="813">
        <v>0</v>
      </c>
      <c r="G12" s="813">
        <v>14.82</v>
      </c>
      <c r="H12" s="813">
        <v>0</v>
      </c>
      <c r="I12" s="813">
        <v>0</v>
      </c>
      <c r="J12" s="813">
        <v>11.21</v>
      </c>
      <c r="K12" s="813">
        <v>2.39</v>
      </c>
      <c r="L12" s="813">
        <v>0</v>
      </c>
      <c r="M12" s="813">
        <v>0</v>
      </c>
      <c r="N12" s="813">
        <v>0</v>
      </c>
      <c r="O12" s="813">
        <v>0</v>
      </c>
      <c r="P12" s="813">
        <v>0</v>
      </c>
    </row>
    <row r="13" spans="2:16" x14ac:dyDescent="0.2">
      <c r="B13" s="801" t="str">
        <f>Prop2019TSSComp!B13</f>
        <v>Low voltage medium 2 rate 7 day*</v>
      </c>
      <c r="C13" s="802" t="str">
        <f>Prop2019DistTar!B13</f>
        <v>Low voltage medium 2 rate 7 day</v>
      </c>
      <c r="D13" s="845">
        <v>25.23</v>
      </c>
      <c r="E13" s="813">
        <v>0</v>
      </c>
      <c r="F13" s="813">
        <v>0</v>
      </c>
      <c r="G13" s="813">
        <v>12.59</v>
      </c>
      <c r="H13" s="813">
        <v>0</v>
      </c>
      <c r="I13" s="813">
        <v>0</v>
      </c>
      <c r="J13" s="813">
        <v>9.8000000000000007</v>
      </c>
      <c r="K13" s="813">
        <v>1.92</v>
      </c>
      <c r="L13" s="813">
        <v>0</v>
      </c>
      <c r="M13" s="813">
        <v>0</v>
      </c>
      <c r="N13" s="813">
        <v>0</v>
      </c>
      <c r="O13" s="813">
        <v>0</v>
      </c>
      <c r="P13" s="813">
        <v>0</v>
      </c>
    </row>
    <row r="14" spans="2:16" x14ac:dyDescent="0.2">
      <c r="B14" s="801" t="str">
        <f>Prop2019TSSComp!B14</f>
        <v>Unmetered supplies</v>
      </c>
      <c r="C14" s="802" t="str">
        <f>Prop2019DistTar!B14</f>
        <v>Unmetered supplies</v>
      </c>
      <c r="D14" s="845">
        <v>0</v>
      </c>
      <c r="E14" s="813">
        <v>0</v>
      </c>
      <c r="F14" s="813">
        <v>0</v>
      </c>
      <c r="G14" s="813">
        <v>11.95</v>
      </c>
      <c r="H14" s="813">
        <v>0</v>
      </c>
      <c r="I14" s="813">
        <v>0</v>
      </c>
      <c r="J14" s="813">
        <v>8.94</v>
      </c>
      <c r="K14" s="813">
        <v>1.62</v>
      </c>
      <c r="L14" s="813">
        <v>0</v>
      </c>
      <c r="M14" s="813">
        <v>0</v>
      </c>
      <c r="N14" s="813">
        <v>0</v>
      </c>
      <c r="O14" s="813">
        <v>0</v>
      </c>
      <c r="P14" s="813">
        <v>0</v>
      </c>
    </row>
    <row r="15" spans="2:16" x14ac:dyDescent="0.2">
      <c r="B15" s="801" t="str">
        <f>Prop2019TSSComp!B15</f>
        <v>Low voltage large 1 rate*</v>
      </c>
      <c r="C15" s="802" t="str">
        <f>Prop2019DistTar!B15</f>
        <v>Low voltage large 1 rate</v>
      </c>
      <c r="D15" s="845">
        <v>14.49</v>
      </c>
      <c r="E15" s="813">
        <v>9.19</v>
      </c>
      <c r="F15" s="813">
        <v>0</v>
      </c>
      <c r="G15" s="813">
        <v>0</v>
      </c>
      <c r="H15" s="813">
        <v>7.27</v>
      </c>
      <c r="I15" s="813">
        <v>0</v>
      </c>
      <c r="J15" s="813">
        <v>0</v>
      </c>
      <c r="K15" s="813">
        <v>0</v>
      </c>
      <c r="L15" s="813">
        <v>0</v>
      </c>
      <c r="M15" s="813">
        <v>0</v>
      </c>
      <c r="N15" s="813">
        <v>0</v>
      </c>
      <c r="O15" s="813">
        <v>0</v>
      </c>
      <c r="P15" s="813">
        <v>0</v>
      </c>
    </row>
    <row r="16" spans="2:16" x14ac:dyDescent="0.2">
      <c r="B16" s="801" t="str">
        <f>Prop2019TSSComp!B16</f>
        <v>Low voltage large 2 rate*</v>
      </c>
      <c r="C16" s="802" t="str">
        <f>Prop2019DistTar!B16</f>
        <v>Low voltage large 2 rate</v>
      </c>
      <c r="D16" s="845">
        <v>20.91</v>
      </c>
      <c r="E16" s="813">
        <v>0</v>
      </c>
      <c r="F16" s="813">
        <v>0</v>
      </c>
      <c r="G16" s="813">
        <v>13.49</v>
      </c>
      <c r="H16" s="813">
        <v>0</v>
      </c>
      <c r="I16" s="813">
        <v>0</v>
      </c>
      <c r="J16" s="813">
        <v>10.74</v>
      </c>
      <c r="K16" s="813">
        <v>2.21</v>
      </c>
      <c r="L16" s="813">
        <v>0</v>
      </c>
      <c r="M16" s="813">
        <v>0</v>
      </c>
      <c r="N16" s="813">
        <v>0</v>
      </c>
      <c r="O16" s="813">
        <v>0</v>
      </c>
      <c r="P16" s="813">
        <v>0</v>
      </c>
    </row>
    <row r="17" spans="2:16" x14ac:dyDescent="0.2">
      <c r="B17" s="801" t="str">
        <f>Prop2019TSSComp!B17</f>
        <v>Low voltage KW time of use*</v>
      </c>
      <c r="C17" s="802" t="str">
        <f>Prop2019DistTar!B17</f>
        <v>Low voltage KW time of use</v>
      </c>
      <c r="D17" s="845">
        <v>0</v>
      </c>
      <c r="E17" s="813">
        <v>0</v>
      </c>
      <c r="F17" s="813">
        <v>0</v>
      </c>
      <c r="G17" s="813">
        <v>12.3</v>
      </c>
      <c r="H17" s="813">
        <v>0</v>
      </c>
      <c r="I17" s="813">
        <v>0</v>
      </c>
      <c r="J17" s="813">
        <v>7.57</v>
      </c>
      <c r="K17" s="813">
        <v>2.4700000000000002</v>
      </c>
      <c r="L17" s="813">
        <v>0</v>
      </c>
      <c r="M17" s="813">
        <v>0</v>
      </c>
      <c r="N17" s="813">
        <v>58.7</v>
      </c>
      <c r="O17" s="813">
        <v>0</v>
      </c>
      <c r="P17" s="813">
        <v>0</v>
      </c>
    </row>
    <row r="18" spans="2:16" x14ac:dyDescent="0.2">
      <c r="B18" s="801" t="str">
        <f>Prop2019TSSComp!B18</f>
        <v>Low voltage KW time of use - HOT*</v>
      </c>
      <c r="C18" s="802" t="str">
        <f>Prop2019DistTar!B18</f>
        <v>Low voltage KW time of use - HOT</v>
      </c>
      <c r="D18" s="845">
        <v>0</v>
      </c>
      <c r="E18" s="813">
        <v>0</v>
      </c>
      <c r="F18" s="813">
        <v>0</v>
      </c>
      <c r="G18" s="813">
        <v>8.6199999999999992</v>
      </c>
      <c r="H18" s="813">
        <v>0</v>
      </c>
      <c r="I18" s="813">
        <v>0</v>
      </c>
      <c r="J18" s="813">
        <v>6.66</v>
      </c>
      <c r="K18" s="813">
        <v>1.71</v>
      </c>
      <c r="L18" s="813">
        <v>0</v>
      </c>
      <c r="M18" s="813">
        <v>0</v>
      </c>
      <c r="N18" s="813">
        <v>76.010000000000005</v>
      </c>
      <c r="O18" s="813">
        <v>0</v>
      </c>
      <c r="P18" s="813">
        <v>0</v>
      </c>
    </row>
    <row r="19" spans="2:16" x14ac:dyDescent="0.2">
      <c r="B19" s="801" t="str">
        <f>Prop2019TSSComp!B19</f>
        <v>Low voltage large KVA time of use</v>
      </c>
      <c r="C19" s="802" t="str">
        <f>Prop2019DistTar!B19</f>
        <v>Low voltage large KVA time of use</v>
      </c>
      <c r="D19" s="845">
        <v>0</v>
      </c>
      <c r="E19" s="813">
        <v>0</v>
      </c>
      <c r="F19" s="813">
        <v>0</v>
      </c>
      <c r="G19" s="813">
        <v>2.4900000000000002</v>
      </c>
      <c r="H19" s="813">
        <v>0</v>
      </c>
      <c r="I19" s="813">
        <v>0</v>
      </c>
      <c r="J19" s="813">
        <v>2.0699999999999998</v>
      </c>
      <c r="K19" s="813">
        <v>1.28</v>
      </c>
      <c r="L19" s="813">
        <v>0</v>
      </c>
      <c r="M19" s="813">
        <v>19.329999999999998</v>
      </c>
      <c r="N19" s="813">
        <v>28.34</v>
      </c>
      <c r="O19" s="813">
        <v>0</v>
      </c>
      <c r="P19" s="813">
        <v>0</v>
      </c>
    </row>
    <row r="20" spans="2:16" x14ac:dyDescent="0.2">
      <c r="B20" s="801" t="str">
        <f>Prop2019TSSComp!B20</f>
        <v>Low voltage large KVA time of use - HOT*</v>
      </c>
      <c r="C20" s="802" t="str">
        <f>Prop2019DistTar!B20</f>
        <v>Low voltage large KVA time of use - HOT</v>
      </c>
      <c r="D20" s="845">
        <v>0</v>
      </c>
      <c r="E20" s="813">
        <v>0</v>
      </c>
      <c r="F20" s="813">
        <v>0</v>
      </c>
      <c r="G20" s="813">
        <v>0</v>
      </c>
      <c r="H20" s="813">
        <v>0</v>
      </c>
      <c r="I20" s="813">
        <v>0</v>
      </c>
      <c r="J20" s="813">
        <v>0</v>
      </c>
      <c r="K20" s="813">
        <v>0</v>
      </c>
      <c r="L20" s="813">
        <v>0</v>
      </c>
      <c r="M20" s="813">
        <v>0</v>
      </c>
      <c r="N20" s="813">
        <v>0</v>
      </c>
      <c r="O20" s="813">
        <v>0</v>
      </c>
      <c r="P20" s="813">
        <v>0</v>
      </c>
    </row>
    <row r="21" spans="2:16" x14ac:dyDescent="0.2">
      <c r="B21" s="801" t="str">
        <f>Prop2019TSSComp!B21</f>
        <v>High voltage KVA time of use</v>
      </c>
      <c r="C21" s="802" t="str">
        <f>Prop2019DistTar!B21</f>
        <v>High voltage KVA time of use</v>
      </c>
      <c r="D21" s="845">
        <v>0</v>
      </c>
      <c r="E21" s="813">
        <v>0</v>
      </c>
      <c r="F21" s="813">
        <v>0</v>
      </c>
      <c r="G21" s="813">
        <v>1.59</v>
      </c>
      <c r="H21" s="813">
        <v>0</v>
      </c>
      <c r="I21" s="813">
        <v>0</v>
      </c>
      <c r="J21" s="813">
        <v>1.35</v>
      </c>
      <c r="K21" s="813">
        <v>0.79</v>
      </c>
      <c r="L21" s="813">
        <v>0</v>
      </c>
      <c r="M21" s="813">
        <v>13.82</v>
      </c>
      <c r="N21" s="813">
        <v>17.52</v>
      </c>
      <c r="O21" s="813">
        <v>0</v>
      </c>
      <c r="P21" s="813">
        <v>0</v>
      </c>
    </row>
    <row r="22" spans="2:16" x14ac:dyDescent="0.2">
      <c r="B22" s="801" t="str">
        <f>Prop2019TSSComp!B22</f>
        <v>High voltage KVA time of use - HOT*</v>
      </c>
      <c r="C22" s="802" t="str">
        <f>Prop2019DistTar!B22</f>
        <v>High voltage KVA time of use - HOT</v>
      </c>
      <c r="D22" s="845">
        <v>0</v>
      </c>
      <c r="E22" s="813">
        <v>0</v>
      </c>
      <c r="F22" s="813">
        <v>0</v>
      </c>
      <c r="G22" s="813">
        <v>0</v>
      </c>
      <c r="H22" s="813">
        <v>0</v>
      </c>
      <c r="I22" s="813">
        <v>0</v>
      </c>
      <c r="J22" s="813">
        <v>0</v>
      </c>
      <c r="K22" s="813">
        <v>0</v>
      </c>
      <c r="L22" s="813">
        <v>0</v>
      </c>
      <c r="M22" s="813">
        <v>0</v>
      </c>
      <c r="N22" s="813">
        <v>0</v>
      </c>
      <c r="O22" s="813">
        <v>0</v>
      </c>
      <c r="P22" s="813">
        <v>0</v>
      </c>
    </row>
    <row r="23" spans="2:16" x14ac:dyDescent="0.2">
      <c r="B23" s="801" t="str">
        <f>Prop2019TSSComp!B23</f>
        <v>Subtransmission KVA time of use*</v>
      </c>
      <c r="C23" s="802" t="str">
        <f>Prop2019DistTar!B23</f>
        <v>Subtransmission KVA time of use</v>
      </c>
      <c r="D23" s="845">
        <v>0</v>
      </c>
      <c r="E23" s="813">
        <v>0</v>
      </c>
      <c r="F23" s="813">
        <v>0</v>
      </c>
      <c r="G23" s="813">
        <v>0.98</v>
      </c>
      <c r="H23" s="813">
        <v>0</v>
      </c>
      <c r="I23" s="813">
        <v>0</v>
      </c>
      <c r="J23" s="813">
        <v>0.77</v>
      </c>
      <c r="K23" s="813">
        <v>0.35</v>
      </c>
      <c r="L23" s="813">
        <v>0</v>
      </c>
      <c r="M23" s="813">
        <v>4.16</v>
      </c>
      <c r="N23" s="813">
        <v>5.27</v>
      </c>
      <c r="O23" s="813">
        <v>0</v>
      </c>
      <c r="P23" s="813">
        <v>0</v>
      </c>
    </row>
    <row r="24" spans="2:16" x14ac:dyDescent="0.2">
      <c r="B24" s="801" t="str">
        <f>Prop2019TSSComp!B24</f>
        <v>Time of Day</v>
      </c>
      <c r="C24" s="802" t="str">
        <f>Prop2019DistTar!B24</f>
        <v>TOD</v>
      </c>
      <c r="D24" s="845">
        <v>6.94</v>
      </c>
      <c r="E24" s="813">
        <v>0</v>
      </c>
      <c r="F24" s="813">
        <v>7.7</v>
      </c>
      <c r="G24" s="813">
        <v>21.08</v>
      </c>
      <c r="H24" s="813">
        <v>0</v>
      </c>
      <c r="I24" s="813">
        <v>0</v>
      </c>
      <c r="J24" s="813">
        <v>13.23</v>
      </c>
      <c r="K24" s="813">
        <v>3.47</v>
      </c>
      <c r="L24" s="813">
        <v>6.05</v>
      </c>
      <c r="M24" s="813">
        <v>0</v>
      </c>
      <c r="N24" s="813">
        <v>0</v>
      </c>
      <c r="O24" s="813">
        <v>0</v>
      </c>
      <c r="P24" s="813">
        <v>0</v>
      </c>
    </row>
    <row r="25" spans="2:16" x14ac:dyDescent="0.2">
      <c r="B25" s="801" t="str">
        <f>Prop2019TSSComp!B25</f>
        <v>Time of Day 9pm off-peak</v>
      </c>
      <c r="C25" s="802" t="str">
        <f>Prop2019DistTar!B25</f>
        <v>TOD9</v>
      </c>
      <c r="D25" s="845">
        <v>7.2</v>
      </c>
      <c r="E25" s="813">
        <v>0</v>
      </c>
      <c r="F25" s="813">
        <v>9.1999999999999993</v>
      </c>
      <c r="G25" s="813">
        <v>21.2</v>
      </c>
      <c r="H25" s="813">
        <v>0</v>
      </c>
      <c r="I25" s="813">
        <v>0</v>
      </c>
      <c r="J25" s="813">
        <v>14.48</v>
      </c>
      <c r="K25" s="813">
        <v>4.0199999999999996</v>
      </c>
      <c r="L25" s="813">
        <v>7.97</v>
      </c>
      <c r="M25" s="813">
        <v>0</v>
      </c>
      <c r="N25" s="813">
        <v>0</v>
      </c>
      <c r="O25" s="813">
        <v>0</v>
      </c>
      <c r="P25" s="813">
        <v>0</v>
      </c>
    </row>
    <row r="26" spans="2:16" x14ac:dyDescent="0.2">
      <c r="B26" s="801" t="str">
        <f>Prop2019TSSComp!B26</f>
        <v>Time of Use</v>
      </c>
      <c r="C26" s="802" t="str">
        <f>Prop2019DistTar!B26</f>
        <v>TOU</v>
      </c>
      <c r="D26" s="845">
        <v>0</v>
      </c>
      <c r="E26" s="813">
        <v>0</v>
      </c>
      <c r="F26" s="813">
        <v>0</v>
      </c>
      <c r="G26" s="813">
        <v>12.69</v>
      </c>
      <c r="H26" s="813">
        <v>0</v>
      </c>
      <c r="I26" s="813">
        <v>0</v>
      </c>
      <c r="J26" s="813">
        <v>7.38</v>
      </c>
      <c r="K26" s="813">
        <v>3.06</v>
      </c>
      <c r="L26" s="813">
        <v>0</v>
      </c>
      <c r="M26" s="813">
        <v>0</v>
      </c>
      <c r="N26" s="813">
        <v>51.22</v>
      </c>
      <c r="O26" s="813">
        <v>0</v>
      </c>
      <c r="P26" s="813">
        <v>0</v>
      </c>
    </row>
    <row r="27" spans="2:16" x14ac:dyDescent="0.2">
      <c r="B27" s="801" t="str">
        <f>Prop2019TSSComp!B27</f>
        <v>Time of Day Flexible</v>
      </c>
      <c r="C27" s="802" t="str">
        <f>Prop2019DistTar!B27</f>
        <v>TODFLEX</v>
      </c>
      <c r="D27" s="845">
        <v>7.75</v>
      </c>
      <c r="E27" s="813">
        <v>0</v>
      </c>
      <c r="F27" s="813">
        <v>6.75</v>
      </c>
      <c r="G27" s="813">
        <v>21.96</v>
      </c>
      <c r="H27" s="813">
        <v>0</v>
      </c>
      <c r="I27" s="813">
        <v>0</v>
      </c>
      <c r="J27" s="813">
        <v>13.84</v>
      </c>
      <c r="K27" s="813">
        <v>4.26</v>
      </c>
      <c r="L27" s="813">
        <v>6.55</v>
      </c>
      <c r="M27" s="813">
        <v>0</v>
      </c>
      <c r="N27" s="813">
        <v>0</v>
      </c>
      <c r="O27" s="813">
        <v>0</v>
      </c>
      <c r="P27" s="813">
        <v>0</v>
      </c>
    </row>
    <row r="28" spans="2:16" x14ac:dyDescent="0.2">
      <c r="B28" s="801" t="str">
        <f>Prop2019TSSComp!B28</f>
        <v>Low voltage KW 1 rate</v>
      </c>
      <c r="C28" s="802" t="str">
        <f>Prop2019DistTar!B28</f>
        <v>Low Voltage KW 1 rate</v>
      </c>
      <c r="D28" s="845">
        <v>0</v>
      </c>
      <c r="E28" s="813">
        <v>3.52</v>
      </c>
      <c r="F28" s="813">
        <v>3.52</v>
      </c>
      <c r="G28" s="813">
        <v>3.52</v>
      </c>
      <c r="H28" s="813">
        <v>3.52</v>
      </c>
      <c r="I28" s="813">
        <v>3.52</v>
      </c>
      <c r="J28" s="813">
        <v>3.52</v>
      </c>
      <c r="K28" s="813">
        <v>3.52</v>
      </c>
      <c r="L28" s="813">
        <v>3.52</v>
      </c>
      <c r="M28" s="813">
        <v>0</v>
      </c>
      <c r="N28" s="813">
        <v>0</v>
      </c>
      <c r="O28" s="813">
        <v>32.520000000000003</v>
      </c>
      <c r="P28" s="813">
        <v>14.05</v>
      </c>
    </row>
    <row r="29" spans="2:16" x14ac:dyDescent="0.2">
      <c r="B29" s="801" t="str">
        <f>Prop2019TSSComp!B29</f>
        <v>Low Voltage Medium kW Time of Use (Opt-in)</v>
      </c>
      <c r="C29" s="802" t="str">
        <f>Prop2019DistTar!B29</f>
        <v>Low voltage medium KW time of use (opt-in)</v>
      </c>
      <c r="D29" s="845">
        <v>0</v>
      </c>
      <c r="E29" s="813">
        <v>0</v>
      </c>
      <c r="F29" s="813">
        <v>0</v>
      </c>
      <c r="G29" s="813">
        <v>4.3899999999999997</v>
      </c>
      <c r="H29" s="813">
        <v>0</v>
      </c>
      <c r="I29" s="813">
        <v>0</v>
      </c>
      <c r="J29" s="813">
        <v>4.3899999999999997</v>
      </c>
      <c r="K29" s="813">
        <v>0</v>
      </c>
      <c r="L29" s="813">
        <v>0</v>
      </c>
      <c r="M29" s="813">
        <v>0</v>
      </c>
      <c r="N29" s="813">
        <v>0</v>
      </c>
      <c r="O29" s="813">
        <v>49.6</v>
      </c>
      <c r="P29" s="813">
        <v>33.07</v>
      </c>
    </row>
    <row r="30" spans="2:16" x14ac:dyDescent="0.2">
      <c r="B30" s="801" t="str">
        <f>Prop2019TSSComp!B30</f>
        <v>Low Voltage Medium kW 1 rate (Mandatory)</v>
      </c>
      <c r="C30" s="802" t="str">
        <f>Prop2019DistTar!B30</f>
        <v>Low voltage medium KW 1 rate (mandatory)</v>
      </c>
      <c r="D30" s="845">
        <v>0</v>
      </c>
      <c r="E30" s="813">
        <v>0</v>
      </c>
      <c r="F30" s="813">
        <v>0</v>
      </c>
      <c r="G30" s="813">
        <v>4.3899999999999997</v>
      </c>
      <c r="H30" s="813">
        <v>0</v>
      </c>
      <c r="I30" s="813">
        <v>0</v>
      </c>
      <c r="J30" s="813">
        <v>4.3899999999999997</v>
      </c>
      <c r="K30" s="813">
        <v>0</v>
      </c>
      <c r="L30" s="813">
        <v>0</v>
      </c>
      <c r="M30" s="813">
        <v>0</v>
      </c>
      <c r="N30" s="813">
        <v>0</v>
      </c>
      <c r="O30" s="813">
        <v>49.6</v>
      </c>
      <c r="P30" s="813">
        <v>33.07</v>
      </c>
    </row>
    <row r="31" spans="2:16" x14ac:dyDescent="0.2">
      <c r="B31" s="801"/>
      <c r="C31" s="802"/>
      <c r="D31" s="807"/>
      <c r="E31" s="642"/>
      <c r="F31" s="642"/>
      <c r="G31" s="642"/>
      <c r="H31" s="642"/>
      <c r="I31" s="642"/>
      <c r="J31" s="642"/>
      <c r="K31" s="642"/>
      <c r="L31" s="642"/>
      <c r="M31" s="642"/>
      <c r="N31" s="642"/>
      <c r="O31" s="642"/>
      <c r="P31" s="642"/>
    </row>
    <row r="32" spans="2:16" x14ac:dyDescent="0.2">
      <c r="B32" s="801"/>
      <c r="C32" s="802"/>
      <c r="D32" s="807"/>
      <c r="E32" s="642"/>
      <c r="F32" s="642"/>
      <c r="G32" s="642"/>
      <c r="H32" s="642"/>
      <c r="I32" s="642"/>
      <c r="J32" s="642"/>
      <c r="K32" s="642"/>
      <c r="L32" s="642"/>
      <c r="M32" s="642"/>
      <c r="N32" s="642"/>
      <c r="O32" s="642"/>
      <c r="P32" s="642"/>
    </row>
    <row r="33" spans="2:16" x14ac:dyDescent="0.2">
      <c r="B33" s="801"/>
      <c r="C33" s="802"/>
      <c r="D33" s="807"/>
      <c r="E33" s="642"/>
      <c r="F33" s="642"/>
      <c r="G33" s="642"/>
      <c r="H33" s="642"/>
      <c r="I33" s="642"/>
      <c r="J33" s="642"/>
      <c r="K33" s="642"/>
      <c r="L33" s="642"/>
      <c r="M33" s="642"/>
      <c r="N33" s="642"/>
      <c r="O33" s="642"/>
      <c r="P33" s="642"/>
    </row>
    <row r="34" spans="2:16" x14ac:dyDescent="0.2">
      <c r="B34" s="801"/>
      <c r="C34" s="802"/>
      <c r="D34" s="807"/>
      <c r="E34" s="642"/>
      <c r="F34" s="642"/>
      <c r="G34" s="642"/>
      <c r="H34" s="642"/>
      <c r="I34" s="642"/>
      <c r="J34" s="642"/>
      <c r="K34" s="642"/>
      <c r="L34" s="642"/>
      <c r="M34" s="642"/>
      <c r="N34" s="642"/>
      <c r="O34" s="642"/>
      <c r="P34" s="642"/>
    </row>
    <row r="35" spans="2:16" x14ac:dyDescent="0.2">
      <c r="B35" s="801"/>
      <c r="C35" s="802"/>
      <c r="D35" s="807"/>
      <c r="E35" s="642"/>
      <c r="F35" s="642"/>
      <c r="G35" s="642"/>
      <c r="H35" s="642"/>
      <c r="I35" s="642"/>
      <c r="J35" s="642"/>
      <c r="K35" s="642"/>
      <c r="L35" s="642"/>
      <c r="M35" s="642"/>
      <c r="N35" s="642"/>
      <c r="O35" s="642"/>
      <c r="P35" s="642"/>
    </row>
    <row r="36" spans="2:16" x14ac:dyDescent="0.2">
      <c r="B36" s="801"/>
      <c r="C36" s="802"/>
      <c r="D36" s="807"/>
      <c r="E36" s="642"/>
      <c r="F36" s="642"/>
      <c r="G36" s="642"/>
      <c r="H36" s="642"/>
      <c r="I36" s="642"/>
      <c r="J36" s="642"/>
      <c r="K36" s="642"/>
      <c r="L36" s="642"/>
      <c r="M36" s="642"/>
      <c r="N36" s="642"/>
      <c r="O36" s="642"/>
      <c r="P36" s="642"/>
    </row>
    <row r="37" spans="2:16" x14ac:dyDescent="0.2">
      <c r="B37" s="801"/>
      <c r="C37" s="802"/>
      <c r="D37" s="807"/>
      <c r="E37" s="642"/>
      <c r="F37" s="642"/>
      <c r="G37" s="642"/>
      <c r="H37" s="642"/>
      <c r="I37" s="642"/>
      <c r="J37" s="642"/>
      <c r="K37" s="642"/>
      <c r="L37" s="642"/>
      <c r="M37" s="642"/>
      <c r="N37" s="642"/>
      <c r="O37" s="642"/>
      <c r="P37" s="642"/>
    </row>
    <row r="38" spans="2:16" x14ac:dyDescent="0.2">
      <c r="B38" s="801"/>
      <c r="C38" s="802"/>
      <c r="D38" s="807"/>
      <c r="E38" s="642"/>
      <c r="F38" s="642"/>
      <c r="G38" s="642"/>
      <c r="H38" s="642"/>
      <c r="I38" s="642"/>
      <c r="J38" s="642"/>
      <c r="K38" s="642"/>
      <c r="L38" s="642"/>
      <c r="M38" s="642"/>
      <c r="N38" s="642"/>
      <c r="O38" s="642"/>
      <c r="P38" s="642"/>
    </row>
    <row r="39" spans="2:16" x14ac:dyDescent="0.2">
      <c r="B39" s="801"/>
      <c r="C39" s="802"/>
      <c r="D39" s="807"/>
      <c r="E39" s="642"/>
      <c r="F39" s="642"/>
      <c r="G39" s="642"/>
      <c r="H39" s="642"/>
      <c r="I39" s="642"/>
      <c r="J39" s="642"/>
      <c r="K39" s="642"/>
      <c r="L39" s="642"/>
      <c r="M39" s="642"/>
      <c r="N39" s="642"/>
      <c r="O39" s="642"/>
      <c r="P39" s="642"/>
    </row>
    <row r="40" spans="2:16" x14ac:dyDescent="0.2">
      <c r="B40" s="801"/>
      <c r="C40" s="802"/>
      <c r="D40" s="807"/>
      <c r="E40" s="642"/>
      <c r="F40" s="642"/>
      <c r="G40" s="642"/>
      <c r="H40" s="642"/>
      <c r="I40" s="642"/>
      <c r="J40" s="642"/>
      <c r="K40" s="642"/>
      <c r="L40" s="642"/>
      <c r="M40" s="642"/>
      <c r="N40" s="642"/>
      <c r="O40" s="642"/>
      <c r="P40" s="642"/>
    </row>
    <row r="41" spans="2:16" x14ac:dyDescent="0.2">
      <c r="B41" s="801"/>
      <c r="C41" s="802"/>
      <c r="D41" s="807"/>
      <c r="E41" s="642"/>
      <c r="F41" s="642"/>
      <c r="G41" s="642"/>
      <c r="H41" s="642"/>
      <c r="I41" s="642"/>
      <c r="J41" s="642"/>
      <c r="K41" s="642"/>
      <c r="L41" s="642"/>
      <c r="M41" s="642"/>
      <c r="N41" s="642"/>
      <c r="O41" s="642"/>
      <c r="P41" s="642"/>
    </row>
    <row r="42" spans="2:16" x14ac:dyDescent="0.2">
      <c r="B42" s="801"/>
      <c r="C42" s="802"/>
      <c r="D42" s="807"/>
      <c r="E42" s="642"/>
      <c r="F42" s="642"/>
      <c r="G42" s="642"/>
      <c r="H42" s="642"/>
      <c r="I42" s="642"/>
      <c r="J42" s="642"/>
      <c r="K42" s="642"/>
      <c r="L42" s="642"/>
      <c r="M42" s="642"/>
      <c r="N42" s="642"/>
      <c r="O42" s="642"/>
      <c r="P42" s="642"/>
    </row>
    <row r="43" spans="2:16" x14ac:dyDescent="0.2">
      <c r="B43" s="801"/>
      <c r="C43" s="802"/>
      <c r="D43" s="807"/>
      <c r="E43" s="642"/>
      <c r="F43" s="642"/>
      <c r="G43" s="642"/>
      <c r="H43" s="642"/>
      <c r="I43" s="642"/>
      <c r="J43" s="642"/>
      <c r="K43" s="642"/>
      <c r="L43" s="642"/>
      <c r="M43" s="642"/>
      <c r="N43" s="642"/>
      <c r="O43" s="642"/>
      <c r="P43" s="642"/>
    </row>
    <row r="44" spans="2:16" x14ac:dyDescent="0.2">
      <c r="B44" s="801"/>
      <c r="C44" s="802"/>
      <c r="D44" s="807"/>
      <c r="E44" s="642"/>
      <c r="F44" s="642"/>
      <c r="G44" s="642"/>
      <c r="H44" s="642"/>
      <c r="I44" s="642"/>
      <c r="J44" s="642"/>
      <c r="K44" s="642"/>
      <c r="L44" s="642"/>
      <c r="M44" s="642"/>
      <c r="N44" s="642"/>
      <c r="O44" s="642"/>
      <c r="P44" s="642"/>
    </row>
    <row r="45" spans="2:16" x14ac:dyDescent="0.2">
      <c r="B45" s="801"/>
      <c r="C45" s="802"/>
      <c r="D45" s="807"/>
      <c r="E45" s="642"/>
      <c r="F45" s="642"/>
      <c r="G45" s="642"/>
      <c r="H45" s="642"/>
      <c r="I45" s="642"/>
      <c r="J45" s="642"/>
      <c r="K45" s="642"/>
      <c r="L45" s="642"/>
      <c r="M45" s="642"/>
      <c r="N45" s="642"/>
      <c r="O45" s="642"/>
      <c r="P45" s="642"/>
    </row>
    <row r="46" spans="2:16" x14ac:dyDescent="0.2">
      <c r="B46" s="801"/>
      <c r="C46" s="802"/>
      <c r="D46" s="807"/>
      <c r="E46" s="642"/>
      <c r="F46" s="642"/>
      <c r="G46" s="642"/>
      <c r="H46" s="642"/>
      <c r="I46" s="642"/>
      <c r="J46" s="642"/>
      <c r="K46" s="642"/>
      <c r="L46" s="642"/>
      <c r="M46" s="642"/>
      <c r="N46" s="642"/>
      <c r="O46" s="642"/>
      <c r="P46" s="642"/>
    </row>
    <row r="47" spans="2:16" x14ac:dyDescent="0.2">
      <c r="B47" s="801"/>
      <c r="C47" s="802"/>
      <c r="D47" s="807"/>
      <c r="E47" s="642"/>
      <c r="F47" s="642"/>
      <c r="G47" s="642"/>
      <c r="H47" s="642"/>
      <c r="I47" s="642"/>
      <c r="J47" s="642"/>
      <c r="K47" s="642"/>
      <c r="L47" s="642"/>
      <c r="M47" s="642"/>
      <c r="N47" s="642"/>
      <c r="O47" s="642"/>
      <c r="P47" s="642"/>
    </row>
    <row r="48" spans="2:16" x14ac:dyDescent="0.2">
      <c r="B48" s="801"/>
      <c r="C48" s="802"/>
      <c r="D48" s="641"/>
      <c r="E48" s="642"/>
      <c r="F48" s="642"/>
      <c r="G48" s="642"/>
      <c r="H48" s="642"/>
      <c r="I48" s="642"/>
      <c r="J48" s="642"/>
      <c r="K48" s="642"/>
      <c r="L48" s="642"/>
      <c r="M48" s="642"/>
      <c r="N48" s="642"/>
      <c r="O48" s="642"/>
      <c r="P48" s="642"/>
    </row>
    <row r="49" spans="2:16" x14ac:dyDescent="0.2">
      <c r="B49" s="801"/>
      <c r="C49" s="802"/>
      <c r="D49" s="641"/>
      <c r="E49" s="642"/>
      <c r="F49" s="642"/>
      <c r="G49" s="642"/>
      <c r="H49" s="642"/>
      <c r="I49" s="642"/>
      <c r="J49" s="642"/>
      <c r="K49" s="642"/>
      <c r="L49" s="642"/>
      <c r="M49" s="642"/>
      <c r="N49" s="642"/>
      <c r="O49" s="642"/>
      <c r="P49" s="642"/>
    </row>
    <row r="50" spans="2:16" x14ac:dyDescent="0.2">
      <c r="B50" s="801"/>
      <c r="C50" s="802"/>
      <c r="D50" s="641"/>
      <c r="E50" s="642"/>
      <c r="F50" s="642"/>
      <c r="G50" s="642"/>
      <c r="H50" s="642"/>
      <c r="I50" s="642"/>
      <c r="J50" s="642"/>
      <c r="K50" s="642"/>
      <c r="L50" s="642"/>
      <c r="M50" s="642"/>
      <c r="N50" s="642"/>
      <c r="O50" s="642"/>
      <c r="P50" s="642"/>
    </row>
    <row r="51" spans="2:16" x14ac:dyDescent="0.2">
      <c r="B51" s="801"/>
      <c r="C51" s="802"/>
      <c r="D51" s="641"/>
      <c r="E51" s="642"/>
      <c r="F51" s="642"/>
      <c r="G51" s="642"/>
      <c r="H51" s="642"/>
      <c r="I51" s="642"/>
      <c r="J51" s="642"/>
      <c r="K51" s="642"/>
      <c r="L51" s="642"/>
      <c r="M51" s="642"/>
      <c r="N51" s="642"/>
      <c r="O51" s="642"/>
      <c r="P51" s="642"/>
    </row>
    <row r="52" spans="2:16" x14ac:dyDescent="0.2">
      <c r="B52" s="801"/>
      <c r="C52" s="802"/>
      <c r="D52" s="641"/>
      <c r="E52" s="642"/>
      <c r="F52" s="642"/>
      <c r="G52" s="642"/>
      <c r="H52" s="642"/>
      <c r="I52" s="642"/>
      <c r="J52" s="642"/>
      <c r="K52" s="642"/>
      <c r="L52" s="642"/>
      <c r="M52" s="642"/>
      <c r="N52" s="642"/>
      <c r="O52" s="642"/>
      <c r="P52" s="642"/>
    </row>
    <row r="53" spans="2:16" x14ac:dyDescent="0.2">
      <c r="B53" s="801"/>
      <c r="C53" s="802"/>
      <c r="D53" s="641"/>
      <c r="E53" s="642"/>
      <c r="F53" s="642"/>
      <c r="G53" s="642"/>
      <c r="H53" s="642"/>
      <c r="I53" s="642"/>
      <c r="J53" s="642"/>
      <c r="K53" s="642"/>
      <c r="L53" s="642"/>
      <c r="M53" s="642"/>
      <c r="N53" s="642"/>
      <c r="O53" s="642"/>
      <c r="P53" s="642"/>
    </row>
    <row r="54" spans="2:16" x14ac:dyDescent="0.2">
      <c r="B54" s="801"/>
      <c r="C54" s="802"/>
      <c r="D54" s="641"/>
      <c r="E54" s="642"/>
      <c r="F54" s="642"/>
      <c r="G54" s="642"/>
      <c r="H54" s="642"/>
      <c r="I54" s="642"/>
      <c r="J54" s="642"/>
      <c r="K54" s="642"/>
      <c r="L54" s="642"/>
      <c r="M54" s="642"/>
      <c r="N54" s="642"/>
      <c r="O54" s="642"/>
      <c r="P54" s="642"/>
    </row>
    <row r="55" spans="2:16" x14ac:dyDescent="0.2">
      <c r="B55" s="801"/>
      <c r="C55" s="802"/>
      <c r="D55" s="641"/>
      <c r="E55" s="642"/>
      <c r="F55" s="642"/>
      <c r="G55" s="642"/>
      <c r="H55" s="642"/>
      <c r="I55" s="642"/>
      <c r="J55" s="642"/>
      <c r="K55" s="642"/>
      <c r="L55" s="642"/>
      <c r="M55" s="642"/>
      <c r="N55" s="642"/>
      <c r="O55" s="642"/>
      <c r="P55" s="642"/>
    </row>
    <row r="56" spans="2:16" x14ac:dyDescent="0.2">
      <c r="B56" s="801"/>
      <c r="C56" s="802"/>
      <c r="D56" s="641"/>
      <c r="E56" s="642"/>
      <c r="F56" s="642"/>
      <c r="G56" s="642"/>
      <c r="H56" s="642"/>
      <c r="I56" s="642"/>
      <c r="J56" s="642"/>
      <c r="K56" s="642"/>
      <c r="L56" s="642"/>
      <c r="M56" s="642"/>
      <c r="N56" s="642"/>
      <c r="O56" s="642"/>
      <c r="P56" s="642"/>
    </row>
    <row r="57" spans="2:16" x14ac:dyDescent="0.2">
      <c r="B57" s="801"/>
      <c r="C57" s="802"/>
      <c r="D57" s="641"/>
      <c r="E57" s="642"/>
      <c r="F57" s="642"/>
      <c r="G57" s="642"/>
      <c r="H57" s="642"/>
      <c r="I57" s="642"/>
      <c r="J57" s="642"/>
      <c r="K57" s="642"/>
      <c r="L57" s="642"/>
      <c r="M57" s="642"/>
      <c r="N57" s="642"/>
      <c r="O57" s="642"/>
      <c r="P57" s="642"/>
    </row>
    <row r="58" spans="2:16" x14ac:dyDescent="0.2">
      <c r="B58" s="801"/>
      <c r="C58" s="802"/>
      <c r="D58" s="641"/>
      <c r="E58" s="642"/>
      <c r="F58" s="642"/>
      <c r="G58" s="642"/>
      <c r="H58" s="642"/>
      <c r="I58" s="642"/>
      <c r="J58" s="642"/>
      <c r="K58" s="642"/>
      <c r="L58" s="642"/>
      <c r="M58" s="642"/>
      <c r="N58" s="642"/>
      <c r="O58" s="642"/>
      <c r="P58" s="642"/>
    </row>
    <row r="59" spans="2:16" x14ac:dyDescent="0.2">
      <c r="B59" s="801"/>
      <c r="C59" s="809"/>
      <c r="D59" s="810"/>
      <c r="E59" s="811"/>
      <c r="F59" s="811"/>
      <c r="G59" s="811"/>
      <c r="H59" s="811"/>
      <c r="I59" s="811"/>
      <c r="J59" s="811"/>
      <c r="K59" s="811"/>
      <c r="L59" s="811"/>
      <c r="M59" s="811"/>
      <c r="N59" s="811"/>
      <c r="O59" s="811"/>
      <c r="P59" s="811"/>
    </row>
    <row r="60" spans="2:16" x14ac:dyDescent="0.2">
      <c r="B60" s="801"/>
      <c r="C60" s="809"/>
      <c r="D60" s="810"/>
      <c r="E60" s="811"/>
      <c r="F60" s="811"/>
      <c r="G60" s="811"/>
      <c r="H60" s="811"/>
      <c r="I60" s="811"/>
      <c r="J60" s="811"/>
      <c r="K60" s="811"/>
      <c r="L60" s="811"/>
      <c r="M60" s="811"/>
      <c r="N60" s="811"/>
      <c r="O60" s="811"/>
      <c r="P60" s="811"/>
    </row>
    <row r="61" spans="2:16" x14ac:dyDescent="0.2">
      <c r="B61" s="801"/>
      <c r="C61" s="809"/>
      <c r="D61" s="810"/>
      <c r="E61" s="811"/>
      <c r="F61" s="811"/>
      <c r="G61" s="811"/>
      <c r="H61" s="811"/>
      <c r="I61" s="811"/>
      <c r="J61" s="811"/>
      <c r="K61" s="811"/>
      <c r="L61" s="811"/>
      <c r="M61" s="811"/>
      <c r="N61" s="811"/>
      <c r="O61" s="811"/>
      <c r="P61" s="811"/>
    </row>
    <row r="62" spans="2:16" x14ac:dyDescent="0.2">
      <c r="B62" s="801"/>
      <c r="C62" s="809"/>
      <c r="D62" s="810"/>
      <c r="E62" s="811"/>
      <c r="F62" s="811"/>
      <c r="G62" s="811"/>
      <c r="H62" s="811"/>
      <c r="I62" s="811"/>
      <c r="J62" s="811"/>
      <c r="K62" s="811"/>
      <c r="L62" s="811"/>
      <c r="M62" s="811"/>
      <c r="N62" s="811"/>
      <c r="O62" s="811"/>
      <c r="P62" s="811"/>
    </row>
    <row r="63" spans="2:16" x14ac:dyDescent="0.2">
      <c r="B63" s="801"/>
      <c r="C63" s="809"/>
      <c r="D63" s="810"/>
      <c r="E63" s="811"/>
      <c r="F63" s="811"/>
      <c r="G63" s="811"/>
      <c r="H63" s="811"/>
      <c r="I63" s="811"/>
      <c r="J63" s="811"/>
      <c r="K63" s="811"/>
      <c r="L63" s="811"/>
      <c r="M63" s="811"/>
      <c r="N63" s="811"/>
      <c r="O63" s="811"/>
      <c r="P63" s="811"/>
    </row>
    <row r="64" spans="2:16" x14ac:dyDescent="0.2">
      <c r="B64" s="801"/>
      <c r="C64" s="809"/>
      <c r="D64" s="810"/>
      <c r="E64" s="811"/>
      <c r="F64" s="811"/>
      <c r="G64" s="811"/>
      <c r="H64" s="811"/>
      <c r="I64" s="811"/>
      <c r="J64" s="811"/>
      <c r="K64" s="811"/>
      <c r="L64" s="811"/>
      <c r="M64" s="811"/>
      <c r="N64" s="811"/>
      <c r="O64" s="811"/>
      <c r="P64" s="811"/>
    </row>
    <row r="65" spans="2:16" ht="13.5" thickBot="1" x14ac:dyDescent="0.25">
      <c r="B65" s="815"/>
      <c r="C65" s="816"/>
      <c r="D65" s="817"/>
      <c r="E65" s="818"/>
      <c r="F65" s="818"/>
      <c r="G65" s="818"/>
      <c r="H65" s="818"/>
      <c r="I65" s="818"/>
      <c r="J65" s="818"/>
      <c r="K65" s="818"/>
      <c r="L65" s="818"/>
      <c r="M65" s="818"/>
      <c r="N65" s="818"/>
      <c r="O65" s="818"/>
      <c r="P65" s="818"/>
    </row>
    <row r="66" spans="2:16" s="167" customFormat="1" x14ac:dyDescent="0.2"/>
    <row r="67" spans="2:16" s="167" customFormat="1" x14ac:dyDescent="0.2"/>
    <row r="68" spans="2:16" s="167" customFormat="1" x14ac:dyDescent="0.2"/>
    <row r="69" spans="2:16" s="167" customFormat="1" x14ac:dyDescent="0.2"/>
    <row r="70" spans="2:16" s="167" customFormat="1" x14ac:dyDescent="0.2"/>
    <row r="71" spans="2:16" s="167" customFormat="1" x14ac:dyDescent="0.2"/>
    <row r="72" spans="2:16" s="167" customFormat="1" x14ac:dyDescent="0.2"/>
    <row r="73" spans="2:16" s="167" customFormat="1" x14ac:dyDescent="0.2"/>
    <row r="74" spans="2:16" s="167" customFormat="1" x14ac:dyDescent="0.2"/>
    <row r="75" spans="2:16" s="167" customFormat="1" x14ac:dyDescent="0.2"/>
    <row r="76" spans="2:16" s="167" customFormat="1" x14ac:dyDescent="0.2"/>
    <row r="77" spans="2:16" s="167" customFormat="1" x14ac:dyDescent="0.2"/>
    <row r="78" spans="2:16" s="167" customFormat="1" x14ac:dyDescent="0.2"/>
    <row r="79" spans="2:16" s="167" customFormat="1" x14ac:dyDescent="0.2"/>
    <row r="80" spans="2:16" s="167" customFormat="1" x14ac:dyDescent="0.2"/>
    <row r="81" s="167" customFormat="1" x14ac:dyDescent="0.2"/>
    <row r="82" s="167" customFormat="1" x14ac:dyDescent="0.2"/>
    <row r="83" s="167" customFormat="1" x14ac:dyDescent="0.2"/>
    <row r="84" s="167" customFormat="1" x14ac:dyDescent="0.2"/>
    <row r="85" s="167" customFormat="1" x14ac:dyDescent="0.2"/>
    <row r="86" s="167" customFormat="1" x14ac:dyDescent="0.2"/>
    <row r="87" s="167" customFormat="1" x14ac:dyDescent="0.2"/>
    <row r="88" s="167" customFormat="1" x14ac:dyDescent="0.2"/>
    <row r="89" s="167" customFormat="1" x14ac:dyDescent="0.2"/>
    <row r="90" s="167" customFormat="1" x14ac:dyDescent="0.2"/>
    <row r="91" s="167" customFormat="1" x14ac:dyDescent="0.2"/>
    <row r="92" s="167" customFormat="1" x14ac:dyDescent="0.2"/>
    <row r="93" s="167" customFormat="1" x14ac:dyDescent="0.2"/>
    <row r="94" s="167" customFormat="1" x14ac:dyDescent="0.2"/>
    <row r="95" s="167" customFormat="1" x14ac:dyDescent="0.2"/>
    <row r="96" s="167" customFormat="1" x14ac:dyDescent="0.2"/>
    <row r="97" s="167" customFormat="1" x14ac:dyDescent="0.2"/>
    <row r="98" s="167" customFormat="1" x14ac:dyDescent="0.2"/>
    <row r="99" s="167" customFormat="1" x14ac:dyDescent="0.2"/>
    <row r="100" s="167" customFormat="1" x14ac:dyDescent="0.2"/>
    <row r="101" s="167" customFormat="1" x14ac:dyDescent="0.2"/>
    <row r="102" s="167" customFormat="1" x14ac:dyDescent="0.2"/>
    <row r="103" s="167" customFormat="1" x14ac:dyDescent="0.2"/>
    <row r="104" s="167" customFormat="1" x14ac:dyDescent="0.2"/>
  </sheetData>
  <printOptions horizontalCentered="1" gridLines="1"/>
  <pageMargins left="0.23622047244094491" right="0.23622047244094491" top="0.74803149606299213" bottom="0.74803149606299213" header="0.31496062992125984" footer="0.31496062992125984"/>
  <pageSetup paperSize="9" scale="66" orientation="landscape" horizontalDpi="4294967293"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NOTES</vt:lpstr>
      <vt:lpstr>Formulae</vt:lpstr>
      <vt:lpstr>Model update</vt:lpstr>
      <vt:lpstr>2019 Unmetered supply</vt:lpstr>
      <vt:lpstr>Metering</vt:lpstr>
      <vt:lpstr>Prop2019DistTar</vt:lpstr>
      <vt:lpstr>2019DistRevCapForm</vt:lpstr>
      <vt:lpstr>2019DistTarRebalCont</vt:lpstr>
      <vt:lpstr>Est2018DistRev</vt:lpstr>
      <vt:lpstr>Prop2019TransTar</vt:lpstr>
      <vt:lpstr>Est2018TransRev</vt:lpstr>
      <vt:lpstr>2019TransRevCont</vt:lpstr>
      <vt:lpstr>TUoS cost audit template</vt:lpstr>
      <vt:lpstr>Prop2019JSTar</vt:lpstr>
      <vt:lpstr>Est2018JSRev</vt:lpstr>
      <vt:lpstr>2019JSRevCont</vt:lpstr>
      <vt:lpstr>JS cost audit template</vt:lpstr>
      <vt:lpstr>Prop2019TSSComp</vt:lpstr>
      <vt:lpstr>Indicative prices for 2020</vt:lpstr>
      <vt:lpstr>'Indicative prices for 2020'!Print_Area</vt:lpstr>
      <vt:lpstr>Prop2019TSSComp!Print_Area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rombo1@bigpond.com</dc:creator>
  <cp:lastModifiedBy>Laszlo Milias</cp:lastModifiedBy>
  <cp:lastPrinted>2018-08-21T01:06:29Z</cp:lastPrinted>
  <dcterms:created xsi:type="dcterms:W3CDTF">2015-11-10T05:39:38Z</dcterms:created>
  <dcterms:modified xsi:type="dcterms:W3CDTF">2018-09-27T03:52:58Z</dcterms:modified>
</cp:coreProperties>
</file>