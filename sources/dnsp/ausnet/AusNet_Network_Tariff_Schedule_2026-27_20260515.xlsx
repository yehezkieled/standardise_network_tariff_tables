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rchfil100\networks\Regulation\Pricing\Network Price Submissions\Electricity Model\2026-27 Submission\Formal submission 20260507\Clean files (for submission)\"/>
    </mc:Choice>
  </mc:AlternateContent>
  <xr:revisionPtr revIDLastSave="0" documentId="13_ncr:1_{07A923F9-64A3-4C1F-8868-19E0CB1FB542}" xr6:coauthVersionLast="47" xr6:coauthVersionMax="47" xr10:uidLastSave="{00000000-0000-0000-0000-000000000000}"/>
  <bookViews>
    <workbookView xWindow="-120" yWindow="-120" windowWidth="29040" windowHeight="15720" xr2:uid="{EAF6DB6F-C2F5-436C-8C94-62C3D59FD966}"/>
  </bookViews>
  <sheets>
    <sheet name="Network 2026-27" sheetId="1" r:id="rId1"/>
    <sheet name="Distribution 2026-27" sheetId="6" r:id="rId2"/>
    <sheet name="Transmission 2026-27" sheetId="4" r:id="rId3"/>
    <sheet name="Jurisdictional 2026-27" sheetId="5" r:id="rId4"/>
    <sheet name="Tariff structures" sheetId="2" r:id="rId5"/>
  </sheets>
  <definedNames>
    <definedName name="aggregatetrialthreshold">#REF!</definedName>
    <definedName name="anscount" hidden="1">1</definedName>
    <definedName name="cancelfutureyear1">#REF!</definedName>
    <definedName name="cancelfutureyear2">#REF!</definedName>
    <definedName name="cancelfutureyear3">#REF!</definedName>
    <definedName name="cancelfutureyear4">#REF!</definedName>
    <definedName name="cancelfutureyear5">#REF!</definedName>
    <definedName name="cents">#REF!</definedName>
    <definedName name="consmultiplier">#REF!</definedName>
    <definedName name="consoutputs">#REF!</definedName>
    <definedName name="consprofile">#REF!</definedName>
    <definedName name="consprofilemultiplier">#REF!</definedName>
    <definedName name="currentyear">#REF!</definedName>
    <definedName name="day">#REF!</definedName>
    <definedName name="daysperhighsn">#REF!</definedName>
    <definedName name="daysperhighsn_currentyear">#REF!</definedName>
    <definedName name="daysperhighsn_previousyear">#REF!</definedName>
    <definedName name="daysperlowsn">#REF!</definedName>
    <definedName name="daysperlowsn_currentyear">#REF!</definedName>
    <definedName name="daysperlowsn_previousyear">#REF!</definedName>
    <definedName name="daysperossn">#REF!</definedName>
    <definedName name="daysperossn_currentyear">#REF!</definedName>
    <definedName name="daysperossn_previousyear">#REF!</definedName>
    <definedName name="daysperyear">#REF!</definedName>
    <definedName name="daysperyear_currentyear">#REF!</definedName>
    <definedName name="daysperyear_previousyear">#REF!</definedName>
    <definedName name="DNSP">#REF!</definedName>
    <definedName name="dollars">#REF!</definedName>
    <definedName name="DuosTariffs">#REF!</definedName>
    <definedName name="Forecastinflation">#REF!</definedName>
    <definedName name="forecastyear">#REF!</definedName>
    <definedName name="highsn">#REF!</definedName>
    <definedName name="IndicativePricesICYr1">#REF!</definedName>
    <definedName name="IndicativePricesICYr2">#REF!</definedName>
    <definedName name="IndicativePricesICYr3">#REF!</definedName>
    <definedName name="IndicativePricesICYr4">#REF!</definedName>
    <definedName name="IndicativePricesICYr5">#REF!</definedName>
    <definedName name="IndicativePricesSCSYr1">#REF!</definedName>
    <definedName name="IndicativePricesSCSYr2">#REF!</definedName>
    <definedName name="IndicativePricesSCSYr3">#REF!</definedName>
    <definedName name="IndicativePricesSCSYr4">#REF!</definedName>
    <definedName name="IndicativePricesSCSYr5">#REF!</definedName>
    <definedName name="individualtrialthreshold">#REF!</definedName>
    <definedName name="JSTariffs">#REF!</definedName>
    <definedName name="lowsn">#REF!</definedName>
    <definedName name="materialitythreshold">#REF!</definedName>
    <definedName name="millions">#REF!</definedName>
    <definedName name="month">#REF!</definedName>
    <definedName name="ossn">#REF!</definedName>
    <definedName name="outputsmultiplier">#REF!</definedName>
    <definedName name="outputtableunits">#REF!</definedName>
    <definedName name="previousyear">#REF!</definedName>
    <definedName name="RCP_firstyear">#REF!</definedName>
    <definedName name="RCP_fourthyear">#REF!</definedName>
    <definedName name="RCP_lastyear">#REF!</definedName>
    <definedName name="RCP_secondyear">#REF!</definedName>
    <definedName name="RCP_thirdyear">#REF!</definedName>
    <definedName name="RCPminus1">#REF!</definedName>
    <definedName name="RCPminus2">#REF!</definedName>
    <definedName name="RCPminus3">#REF!</definedName>
    <definedName name="RCPminus4">#REF!</definedName>
    <definedName name="RCPminus5">#REF!</definedName>
    <definedName name="RCPminus6">#REF!</definedName>
    <definedName name="redact12">#REF!</definedName>
    <definedName name="redact9">#REF!</definedName>
    <definedName name="revenuemultiplier">#REF!</definedName>
    <definedName name="revenueunits">#REF!</definedName>
    <definedName name="saamultiplier">#REF!</definedName>
    <definedName name="saaunits">#REF!</definedName>
    <definedName name="sideconstraintmethod">#REF!</definedName>
    <definedName name="tariffid1">#REF!</definedName>
    <definedName name="tariffid2">#REF!</definedName>
    <definedName name="tariffid3">#REF!</definedName>
    <definedName name="TariffName">#REF!</definedName>
    <definedName name="thousands">#REF!</definedName>
    <definedName name="tminus3_year">#REF!</definedName>
    <definedName name="tminus4_year">#REF!</definedName>
    <definedName name="tminus5_year">#REF!</definedName>
    <definedName name="tminus6_year">#REF!</definedName>
    <definedName name="TuosTariffs">#REF!</definedName>
    <definedName name="yearending">#REF!</definedName>
  </definedNames>
  <calcPr calcId="191028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" i="1" l="1"/>
  <c r="K38" i="1"/>
  <c r="S31" i="1"/>
  <c r="S29" i="1"/>
  <c r="X67" i="1"/>
  <c r="V67" i="1"/>
  <c r="R63" i="1"/>
  <c r="V62" i="1"/>
  <c r="N66" i="1"/>
  <c r="R65" i="1"/>
  <c r="L66" i="1"/>
  <c r="W65" i="1"/>
  <c r="W60" i="1"/>
  <c r="R61" i="1"/>
  <c r="R59" i="1"/>
  <c r="K56" i="1"/>
  <c r="P56" i="1"/>
  <c r="W58" i="1"/>
  <c r="P58" i="1"/>
  <c r="H58" i="1"/>
  <c r="W56" i="1"/>
  <c r="H57" i="1"/>
  <c r="L52" i="1"/>
  <c r="W54" i="1"/>
  <c r="J53" i="1"/>
  <c r="M52" i="1"/>
  <c r="H53" i="1"/>
  <c r="M54" i="1"/>
  <c r="X52" i="1"/>
  <c r="S52" i="1"/>
  <c r="H55" i="1"/>
  <c r="U48" i="1"/>
  <c r="J49" i="1"/>
  <c r="P48" i="1"/>
  <c r="U51" i="1"/>
  <c r="Q50" i="1"/>
  <c r="X49" i="1"/>
  <c r="S49" i="1"/>
  <c r="G40" i="1"/>
  <c r="M48" i="1"/>
  <c r="L48" i="1"/>
  <c r="G48" i="1"/>
  <c r="L40" i="1"/>
  <c r="M41" i="1"/>
  <c r="K40" i="1"/>
  <c r="U41" i="1"/>
  <c r="T41" i="1"/>
  <c r="S38" i="1"/>
  <c r="S37" i="1"/>
  <c r="Q39" i="1"/>
  <c r="G37" i="1"/>
  <c r="J37" i="1"/>
  <c r="R37" i="1"/>
  <c r="M36" i="1"/>
  <c r="L36" i="1"/>
  <c r="L33" i="1"/>
  <c r="V33" i="1"/>
  <c r="I33" i="1"/>
  <c r="Q34" i="1"/>
  <c r="V34" i="1"/>
  <c r="M34" i="1"/>
  <c r="O34" i="1"/>
  <c r="R31" i="1"/>
  <c r="H31" i="1"/>
  <c r="G31" i="1"/>
  <c r="L30" i="1"/>
  <c r="J30" i="1"/>
  <c r="O31" i="1"/>
  <c r="R28" i="1"/>
  <c r="L28" i="1"/>
  <c r="K65" i="1"/>
  <c r="P55" i="1"/>
  <c r="N53" i="1"/>
  <c r="M53" i="1"/>
  <c r="V39" i="1"/>
  <c r="P39" i="1"/>
  <c r="W35" i="1"/>
  <c r="O29" i="1"/>
  <c r="N29" i="1"/>
  <c r="R66" i="1"/>
  <c r="Q65" i="1"/>
  <c r="Q63" i="1"/>
  <c r="V60" i="1"/>
  <c r="P59" i="1"/>
  <c r="X50" i="1"/>
  <c r="W49" i="1"/>
  <c r="O39" i="1"/>
  <c r="L38" i="1"/>
  <c r="Q31" i="1"/>
  <c r="H64" i="1"/>
  <c r="M63" i="1"/>
  <c r="P62" i="1"/>
  <c r="J60" i="1"/>
  <c r="N57" i="1"/>
  <c r="K54" i="1"/>
  <c r="R51" i="1"/>
  <c r="Q51" i="1"/>
  <c r="S66" i="1"/>
  <c r="L65" i="1"/>
  <c r="I65" i="1"/>
  <c r="N62" i="1"/>
  <c r="S61" i="1"/>
  <c r="X58" i="1"/>
  <c r="X55" i="1"/>
  <c r="W55" i="1"/>
  <c r="N52" i="1"/>
  <c r="X51" i="1"/>
  <c r="L49" i="1"/>
  <c r="K49" i="1"/>
  <c r="X40" i="1"/>
  <c r="O38" i="1"/>
  <c r="X37" i="1"/>
  <c r="P35" i="1"/>
  <c r="I35" i="1"/>
  <c r="T31" i="1"/>
  <c r="V12" i="1"/>
  <c r="W28" i="1"/>
  <c r="H34" i="1"/>
  <c r="S51" i="1"/>
  <c r="J61" i="1"/>
  <c r="J40" i="1"/>
  <c r="G65" i="1"/>
  <c r="W66" i="1"/>
  <c r="H61" i="1"/>
  <c r="L51" i="1"/>
  <c r="J64" i="1"/>
  <c r="K28" i="1"/>
  <c r="X30" i="1"/>
  <c r="J38" i="1"/>
  <c r="U38" i="1"/>
  <c r="I40" i="1"/>
  <c r="N48" i="1"/>
  <c r="T49" i="1"/>
  <c r="M50" i="1"/>
  <c r="I37" i="1"/>
  <c r="N39" i="1"/>
  <c r="I48" i="1"/>
  <c r="R49" i="1"/>
  <c r="L63" i="1"/>
  <c r="N41" i="1"/>
  <c r="T37" i="1"/>
  <c r="J51" i="1"/>
  <c r="J59" i="1"/>
  <c r="W59" i="1"/>
  <c r="G66" i="1"/>
  <c r="X59" i="1"/>
  <c r="N61" i="1"/>
  <c r="I64" i="1"/>
  <c r="T64" i="1"/>
  <c r="O67" i="1"/>
  <c r="O53" i="1"/>
  <c r="Q58" i="1"/>
  <c r="N65" i="1"/>
  <c r="P67" i="1"/>
  <c r="S35" i="1"/>
  <c r="M38" i="1"/>
  <c r="V11" i="1"/>
  <c r="T27" i="1"/>
  <c r="M35" i="1"/>
  <c r="S36" i="1"/>
  <c r="N38" i="1"/>
  <c r="T52" i="1"/>
  <c r="P53" i="1"/>
  <c r="V57" i="1"/>
  <c r="O63" i="1"/>
  <c r="V64" i="1"/>
  <c r="Q67" i="1"/>
  <c r="T35" i="1"/>
  <c r="W67" i="1"/>
  <c r="G18" i="1"/>
  <c r="Q19" i="1"/>
  <c r="T36" i="1"/>
  <c r="U52" i="1"/>
  <c r="Q53" i="1"/>
  <c r="S58" i="1"/>
  <c r="N59" i="1"/>
  <c r="Q37" i="1"/>
  <c r="R52" i="1"/>
  <c r="N32" i="1"/>
  <c r="H27" i="1"/>
  <c r="N13" i="1"/>
  <c r="M28" i="1"/>
  <c r="N54" i="1"/>
  <c r="X57" i="1"/>
  <c r="W62" i="1"/>
  <c r="X36" i="1"/>
  <c r="X20" i="1"/>
  <c r="G59" i="1"/>
  <c r="V27" i="1"/>
  <c r="H39" i="1"/>
  <c r="G41" i="1"/>
  <c r="U15" i="1"/>
  <c r="U40" i="1"/>
  <c r="G50" i="1"/>
  <c r="T50" i="1"/>
  <c r="V55" i="1"/>
  <c r="X60" i="1"/>
  <c r="G67" i="1"/>
  <c r="G29" i="1"/>
  <c r="Q48" i="1"/>
  <c r="U55" i="1"/>
  <c r="G49" i="1"/>
  <c r="W27" i="1"/>
  <c r="V48" i="1"/>
  <c r="M55" i="1"/>
  <c r="J65" i="1"/>
  <c r="L67" i="1"/>
  <c r="O37" i="1"/>
  <c r="V40" i="1"/>
  <c r="U50" i="1"/>
  <c r="P51" i="1"/>
  <c r="O54" i="1"/>
  <c r="M62" i="1"/>
  <c r="H67" i="1"/>
  <c r="R35" i="1"/>
  <c r="P41" i="1"/>
  <c r="V37" i="1"/>
  <c r="G36" i="1"/>
  <c r="W37" i="1"/>
  <c r="W48" i="1"/>
  <c r="R58" i="1"/>
  <c r="M67" i="1"/>
  <c r="H12" i="1"/>
  <c r="I29" i="1"/>
  <c r="P37" i="1"/>
  <c r="I58" i="1"/>
  <c r="T61" i="1"/>
  <c r="J54" i="1"/>
  <c r="M57" i="1"/>
  <c r="K61" i="1"/>
  <c r="W63" i="1"/>
  <c r="X65" i="1"/>
  <c r="N67" i="1"/>
  <c r="N14" i="1"/>
  <c r="T16" i="1"/>
  <c r="U39" i="1"/>
  <c r="J58" i="1"/>
  <c r="O62" i="1"/>
  <c r="O64" i="1"/>
  <c r="O66" i="1"/>
  <c r="V50" i="1"/>
  <c r="L61" i="1"/>
  <c r="R64" i="1"/>
  <c r="T66" i="1"/>
  <c r="O49" i="1"/>
  <c r="P57" i="1"/>
  <c r="K58" i="1"/>
  <c r="T59" i="1"/>
  <c r="I63" i="1"/>
  <c r="N30" i="1"/>
  <c r="U36" i="1"/>
  <c r="M39" i="1"/>
  <c r="R40" i="1"/>
  <c r="X41" i="1"/>
  <c r="K52" i="1"/>
  <c r="L54" i="1"/>
  <c r="J56" i="1"/>
  <c r="O57" i="1"/>
  <c r="H60" i="1"/>
  <c r="M61" i="1"/>
  <c r="X61" i="1"/>
  <c r="G64" i="1"/>
  <c r="S64" i="1"/>
  <c r="H66" i="1"/>
  <c r="U66" i="1"/>
  <c r="J19" i="1"/>
  <c r="W29" i="1"/>
  <c r="U33" i="1"/>
  <c r="G51" i="1"/>
  <c r="X53" i="1"/>
  <c r="Q57" i="1"/>
  <c r="U59" i="1"/>
  <c r="O60" i="1"/>
  <c r="O41" i="1"/>
  <c r="L50" i="1"/>
  <c r="I60" i="1"/>
  <c r="G62" i="1"/>
  <c r="Q14" i="1"/>
  <c r="R30" i="1"/>
  <c r="N36" i="1"/>
  <c r="T51" i="1"/>
  <c r="G54" i="1"/>
  <c r="N55" i="1"/>
  <c r="X63" i="1"/>
  <c r="Q64" i="1"/>
  <c r="J48" i="1"/>
  <c r="P49" i="1"/>
  <c r="J50" i="1"/>
  <c r="I52" i="1"/>
  <c r="V52" i="1"/>
  <c r="O55" i="1"/>
  <c r="H56" i="1"/>
  <c r="U56" i="1"/>
  <c r="M59" i="1"/>
  <c r="R60" i="1"/>
  <c r="V61" i="1"/>
  <c r="J63" i="1"/>
  <c r="K48" i="1"/>
  <c r="X48" i="1"/>
  <c r="Q49" i="1"/>
  <c r="K50" i="1"/>
  <c r="J52" i="1"/>
  <c r="W52" i="1"/>
  <c r="U54" i="1"/>
  <c r="I56" i="1"/>
  <c r="V56" i="1"/>
  <c r="G60" i="1"/>
  <c r="S60" i="1"/>
  <c r="W61" i="1"/>
  <c r="Q62" i="1"/>
  <c r="K63" i="1"/>
  <c r="H49" i="1"/>
  <c r="W50" i="1"/>
  <c r="V54" i="1"/>
  <c r="Q55" i="1"/>
  <c r="T58" i="1"/>
  <c r="O59" i="1"/>
  <c r="T60" i="1"/>
  <c r="R62" i="1"/>
  <c r="M65" i="1"/>
  <c r="R55" i="1"/>
  <c r="U58" i="1"/>
  <c r="S57" i="1"/>
  <c r="S67" i="1"/>
  <c r="S48" i="1"/>
  <c r="W51" i="1"/>
  <c r="U57" i="1"/>
  <c r="K64" i="1"/>
  <c r="H48" i="1"/>
  <c r="M49" i="1"/>
  <c r="R50" i="1"/>
  <c r="N51" i="1"/>
  <c r="G52" i="1"/>
  <c r="R54" i="1"/>
  <c r="R56" i="1"/>
  <c r="K57" i="1"/>
  <c r="W57" i="1"/>
  <c r="P60" i="1"/>
  <c r="I61" i="1"/>
  <c r="G63" i="1"/>
  <c r="U63" i="1"/>
  <c r="T65" i="1"/>
  <c r="P66" i="1"/>
  <c r="I67" i="1"/>
  <c r="P52" i="1"/>
  <c r="K62" i="1"/>
  <c r="W53" i="1"/>
  <c r="K55" i="1"/>
  <c r="J57" i="1"/>
  <c r="N58" i="1"/>
  <c r="H59" i="1"/>
  <c r="N60" i="1"/>
  <c r="X62" i="1"/>
  <c r="S63" i="1"/>
  <c r="M64" i="1"/>
  <c r="H50" i="1"/>
  <c r="S56" i="1"/>
  <c r="V49" i="1"/>
  <c r="U53" i="1"/>
  <c r="I55" i="1"/>
  <c r="N56" i="1"/>
  <c r="M58" i="1"/>
  <c r="L60" i="1"/>
  <c r="P61" i="1"/>
  <c r="X64" i="1"/>
  <c r="N49" i="1"/>
  <c r="S50" i="1"/>
  <c r="H52" i="1"/>
  <c r="H54" i="1"/>
  <c r="S54" i="1"/>
  <c r="G56" i="1"/>
  <c r="K59" i="1"/>
  <c r="Q60" i="1"/>
  <c r="H63" i="1"/>
  <c r="U65" i="1"/>
  <c r="Q66" i="1"/>
  <c r="J67" i="1"/>
  <c r="I50" i="1"/>
  <c r="O51" i="1"/>
  <c r="I54" i="1"/>
  <c r="T54" i="1"/>
  <c r="T56" i="1"/>
  <c r="L57" i="1"/>
  <c r="G58" i="1"/>
  <c r="L59" i="1"/>
  <c r="U61" i="1"/>
  <c r="V63" i="1"/>
  <c r="P64" i="1"/>
  <c r="V65" i="1"/>
  <c r="K67" i="1"/>
  <c r="G53" i="1"/>
  <c r="R53" i="1"/>
  <c r="X54" i="1"/>
  <c r="S55" i="1"/>
  <c r="L56" i="1"/>
  <c r="X56" i="1"/>
  <c r="V58" i="1"/>
  <c r="Q59" i="1"/>
  <c r="U60" i="1"/>
  <c r="H62" i="1"/>
  <c r="S62" i="1"/>
  <c r="U64" i="1"/>
  <c r="I66" i="1"/>
  <c r="O48" i="1"/>
  <c r="U49" i="1"/>
  <c r="N50" i="1"/>
  <c r="H51" i="1"/>
  <c r="S53" i="1"/>
  <c r="G55" i="1"/>
  <c r="G57" i="1"/>
  <c r="O61" i="1"/>
  <c r="I62" i="1"/>
  <c r="T62" i="1"/>
  <c r="O65" i="1"/>
  <c r="J66" i="1"/>
  <c r="V66" i="1"/>
  <c r="I49" i="1"/>
  <c r="O50" i="1"/>
  <c r="I51" i="1"/>
  <c r="O52" i="1"/>
  <c r="I53" i="1"/>
  <c r="T53" i="1"/>
  <c r="T55" i="1"/>
  <c r="M56" i="1"/>
  <c r="R57" i="1"/>
  <c r="L58" i="1"/>
  <c r="S59" i="1"/>
  <c r="K60" i="1"/>
  <c r="J62" i="1"/>
  <c r="U62" i="1"/>
  <c r="P63" i="1"/>
  <c r="W64" i="1"/>
  <c r="P65" i="1"/>
  <c r="K66" i="1"/>
  <c r="R67" i="1"/>
  <c r="R48" i="1"/>
  <c r="P50" i="1"/>
  <c r="K51" i="1"/>
  <c r="V51" i="1"/>
  <c r="Q52" i="1"/>
  <c r="K53" i="1"/>
  <c r="V53" i="1"/>
  <c r="P54" i="1"/>
  <c r="J55" i="1"/>
  <c r="O56" i="1"/>
  <c r="I57" i="1"/>
  <c r="T57" i="1"/>
  <c r="M60" i="1"/>
  <c r="G61" i="1"/>
  <c r="Q61" i="1"/>
  <c r="L62" i="1"/>
  <c r="L64" i="1"/>
  <c r="M66" i="1"/>
  <c r="X66" i="1"/>
  <c r="T67" i="1"/>
  <c r="T48" i="1"/>
  <c r="M51" i="1"/>
  <c r="L53" i="1"/>
  <c r="Q54" i="1"/>
  <c r="L55" i="1"/>
  <c r="Q56" i="1"/>
  <c r="O58" i="1"/>
  <c r="I59" i="1"/>
  <c r="V59" i="1"/>
  <c r="T63" i="1"/>
  <c r="N64" i="1"/>
  <c r="H65" i="1"/>
  <c r="S65" i="1"/>
  <c r="U67" i="1"/>
  <c r="M47" i="1"/>
  <c r="P47" i="1"/>
  <c r="R47" i="1"/>
  <c r="G47" i="1"/>
  <c r="S47" i="1"/>
  <c r="L47" i="1"/>
  <c r="O47" i="1"/>
  <c r="T47" i="1"/>
  <c r="U47" i="1"/>
  <c r="X47" i="1"/>
  <c r="N47" i="1"/>
  <c r="H47" i="1"/>
  <c r="I47" i="1"/>
  <c r="J47" i="1"/>
  <c r="V47" i="1"/>
  <c r="Q47" i="1"/>
  <c r="K47" i="1"/>
  <c r="W47" i="1"/>
  <c r="W38" i="1"/>
  <c r="I28" i="1"/>
  <c r="U28" i="1"/>
  <c r="I30" i="1"/>
  <c r="V30" i="1"/>
  <c r="P31" i="1"/>
  <c r="V32" i="1"/>
  <c r="R33" i="1"/>
  <c r="J36" i="1"/>
  <c r="H38" i="1"/>
  <c r="L41" i="1"/>
  <c r="V28" i="1"/>
  <c r="P29" i="1"/>
  <c r="K30" i="1"/>
  <c r="K32" i="1"/>
  <c r="X32" i="1"/>
  <c r="T33" i="1"/>
  <c r="X34" i="1"/>
  <c r="Q35" i="1"/>
  <c r="W36" i="1"/>
  <c r="T40" i="1"/>
  <c r="Q29" i="1"/>
  <c r="L32" i="1"/>
  <c r="G33" i="1"/>
  <c r="G35" i="1"/>
  <c r="V38" i="1"/>
  <c r="X28" i="1"/>
  <c r="R29" i="1"/>
  <c r="M30" i="1"/>
  <c r="M32" i="1"/>
  <c r="H33" i="1"/>
  <c r="N34" i="1"/>
  <c r="H35" i="1"/>
  <c r="P34" i="1"/>
  <c r="O28" i="1"/>
  <c r="T29" i="1"/>
  <c r="P30" i="1"/>
  <c r="J31" i="1"/>
  <c r="V31" i="1"/>
  <c r="O32" i="1"/>
  <c r="K33" i="1"/>
  <c r="X33" i="1"/>
  <c r="V35" i="1"/>
  <c r="P36" i="1"/>
  <c r="S39" i="1"/>
  <c r="M40" i="1"/>
  <c r="R41" i="1"/>
  <c r="P28" i="1"/>
  <c r="J29" i="1"/>
  <c r="U29" i="1"/>
  <c r="Q30" i="1"/>
  <c r="K31" i="1"/>
  <c r="W31" i="1"/>
  <c r="P32" i="1"/>
  <c r="G34" i="1"/>
  <c r="R34" i="1"/>
  <c r="J35" i="1"/>
  <c r="U37" i="1"/>
  <c r="G39" i="1"/>
  <c r="T39" i="1"/>
  <c r="N40" i="1"/>
  <c r="S41" i="1"/>
  <c r="N28" i="1"/>
  <c r="Q28" i="1"/>
  <c r="K29" i="1"/>
  <c r="V29" i="1"/>
  <c r="L31" i="1"/>
  <c r="X31" i="1"/>
  <c r="Q32" i="1"/>
  <c r="M33" i="1"/>
  <c r="S34" i="1"/>
  <c r="K35" i="1"/>
  <c r="Q36" i="1"/>
  <c r="O40" i="1"/>
  <c r="M31" i="1"/>
  <c r="R32" i="1"/>
  <c r="N33" i="1"/>
  <c r="L35" i="1"/>
  <c r="X35" i="1"/>
  <c r="R36" i="1"/>
  <c r="K37" i="1"/>
  <c r="P38" i="1"/>
  <c r="I39" i="1"/>
  <c r="H41" i="1"/>
  <c r="I31" i="1"/>
  <c r="J33" i="1"/>
  <c r="U35" i="1"/>
  <c r="H37" i="1"/>
  <c r="L37" i="1"/>
  <c r="G28" i="1"/>
  <c r="S28" i="1"/>
  <c r="M29" i="1"/>
  <c r="G30" i="1"/>
  <c r="T30" i="1"/>
  <c r="N31" i="1"/>
  <c r="H32" i="1"/>
  <c r="T32" i="1"/>
  <c r="P33" i="1"/>
  <c r="J34" i="1"/>
  <c r="U34" i="1"/>
  <c r="N35" i="1"/>
  <c r="H36" i="1"/>
  <c r="M37" i="1"/>
  <c r="K39" i="1"/>
  <c r="W39" i="1"/>
  <c r="J41" i="1"/>
  <c r="V41" i="1"/>
  <c r="H29" i="1"/>
  <c r="O30" i="1"/>
  <c r="U31" i="1"/>
  <c r="W33" i="1"/>
  <c r="O36" i="1"/>
  <c r="X38" i="1"/>
  <c r="R39" i="1"/>
  <c r="W40" i="1"/>
  <c r="Q41" i="1"/>
  <c r="L29" i="1"/>
  <c r="X29" i="1"/>
  <c r="S30" i="1"/>
  <c r="G32" i="1"/>
  <c r="S32" i="1"/>
  <c r="O33" i="1"/>
  <c r="I34" i="1"/>
  <c r="T34" i="1"/>
  <c r="Q38" i="1"/>
  <c r="J39" i="1"/>
  <c r="P40" i="1"/>
  <c r="I41" i="1"/>
  <c r="H28" i="1"/>
  <c r="T28" i="1"/>
  <c r="H30" i="1"/>
  <c r="U30" i="1"/>
  <c r="I32" i="1"/>
  <c r="U32" i="1"/>
  <c r="Q33" i="1"/>
  <c r="K34" i="1"/>
  <c r="O35" i="1"/>
  <c r="I36" i="1"/>
  <c r="N37" i="1"/>
  <c r="G38" i="1"/>
  <c r="R38" i="1"/>
  <c r="L39" i="1"/>
  <c r="X39" i="1"/>
  <c r="Q40" i="1"/>
  <c r="K41" i="1"/>
  <c r="W41" i="1"/>
  <c r="J28" i="1"/>
  <c r="W30" i="1"/>
  <c r="J32" i="1"/>
  <c r="W32" i="1"/>
  <c r="S33" i="1"/>
  <c r="L34" i="1"/>
  <c r="W34" i="1"/>
  <c r="K36" i="1"/>
  <c r="V36" i="1"/>
  <c r="I38" i="1"/>
  <c r="T38" i="1"/>
  <c r="H40" i="1"/>
  <c r="S40" i="1"/>
  <c r="J27" i="1"/>
  <c r="K27" i="1"/>
  <c r="P27" i="1"/>
  <c r="S27" i="1"/>
  <c r="X27" i="1"/>
  <c r="I27" i="1"/>
  <c r="U27" i="1"/>
  <c r="L27" i="1"/>
  <c r="M27" i="1"/>
  <c r="R27" i="1"/>
  <c r="G27" i="1"/>
  <c r="Q27" i="1"/>
  <c r="N27" i="1"/>
  <c r="O27" i="1"/>
  <c r="H13" i="1"/>
  <c r="V13" i="1"/>
  <c r="N15" i="1"/>
  <c r="J16" i="1"/>
  <c r="O13" i="1"/>
  <c r="K14" i="1"/>
  <c r="G15" i="1"/>
  <c r="Q16" i="1"/>
  <c r="R18" i="1"/>
  <c r="L19" i="1"/>
  <c r="M17" i="1"/>
  <c r="H20" i="1"/>
  <c r="R14" i="1"/>
  <c r="X16" i="1"/>
  <c r="S19" i="1"/>
  <c r="T17" i="1"/>
  <c r="O20" i="1"/>
  <c r="I14" i="1"/>
  <c r="W14" i="1"/>
  <c r="S15" i="1"/>
  <c r="O16" i="1"/>
  <c r="P18" i="1"/>
  <c r="J14" i="1"/>
  <c r="X14" i="1"/>
  <c r="T15" i="1"/>
  <c r="P16" i="1"/>
  <c r="K19" i="1"/>
  <c r="I18" i="1"/>
  <c r="V20" i="1"/>
  <c r="R12" i="1"/>
  <c r="G12" i="1"/>
  <c r="S12" i="1"/>
  <c r="T12" i="1"/>
  <c r="U12" i="1"/>
  <c r="N11" i="1"/>
  <c r="P11" i="1"/>
  <c r="X11" i="1"/>
  <c r="T10" i="1"/>
  <c r="M10" i="1"/>
  <c r="X9" i="1"/>
  <c r="Q9" i="1"/>
  <c r="J9" i="1"/>
  <c r="W9" i="1"/>
  <c r="N8" i="1"/>
  <c r="M8" i="1"/>
  <c r="G8" i="1"/>
  <c r="U8" i="1"/>
  <c r="K7" i="1"/>
  <c r="S7" i="1"/>
  <c r="Q7" i="1"/>
  <c r="R7" i="1"/>
  <c r="K8" i="1"/>
  <c r="Q10" i="1"/>
  <c r="Q20" i="1"/>
  <c r="P7" i="1"/>
  <c r="L8" i="1"/>
  <c r="H9" i="1"/>
  <c r="V9" i="1"/>
  <c r="R10" i="1"/>
  <c r="M11" i="1"/>
  <c r="W17" i="1"/>
  <c r="Q18" i="1"/>
  <c r="R20" i="1"/>
  <c r="O7" i="1"/>
  <c r="U9" i="1"/>
  <c r="L11" i="1"/>
  <c r="M13" i="1"/>
  <c r="J17" i="1"/>
  <c r="V17" i="1"/>
  <c r="W19" i="1"/>
  <c r="P13" i="1"/>
  <c r="L14" i="1"/>
  <c r="H15" i="1"/>
  <c r="V15" i="1"/>
  <c r="R16" i="1"/>
  <c r="L17" i="1"/>
  <c r="S18" i="1"/>
  <c r="M19" i="1"/>
  <c r="G20" i="1"/>
  <c r="K17" i="1"/>
  <c r="X19" i="1"/>
  <c r="S20" i="1"/>
  <c r="G9" i="1"/>
  <c r="O8" i="1"/>
  <c r="K9" i="1"/>
  <c r="S10" i="1"/>
  <c r="I9" i="1"/>
  <c r="X17" i="1"/>
  <c r="X15" i="1"/>
  <c r="G10" i="1"/>
  <c r="U10" i="1"/>
  <c r="O11" i="1"/>
  <c r="I12" i="1"/>
  <c r="Q13" i="1"/>
  <c r="M14" i="1"/>
  <c r="I15" i="1"/>
  <c r="W15" i="1"/>
  <c r="S16" i="1"/>
  <c r="T18" i="1"/>
  <c r="N19" i="1"/>
  <c r="T20" i="1"/>
  <c r="J15" i="1"/>
  <c r="H7" i="1"/>
  <c r="V7" i="1"/>
  <c r="R8" i="1"/>
  <c r="N9" i="1"/>
  <c r="J10" i="1"/>
  <c r="X10" i="1"/>
  <c r="R11" i="1"/>
  <c r="L12" i="1"/>
  <c r="X12" i="1"/>
  <c r="T13" i="1"/>
  <c r="P14" i="1"/>
  <c r="L15" i="1"/>
  <c r="H16" i="1"/>
  <c r="P17" i="1"/>
  <c r="J18" i="1"/>
  <c r="V18" i="1"/>
  <c r="K20" i="1"/>
  <c r="W20" i="1"/>
  <c r="I7" i="1"/>
  <c r="W7" i="1"/>
  <c r="S8" i="1"/>
  <c r="O9" i="1"/>
  <c r="K10" i="1"/>
  <c r="G11" i="1"/>
  <c r="S11" i="1"/>
  <c r="M12" i="1"/>
  <c r="G13" i="1"/>
  <c r="U13" i="1"/>
  <c r="M15" i="1"/>
  <c r="I16" i="1"/>
  <c r="V16" i="1"/>
  <c r="Q17" i="1"/>
  <c r="K18" i="1"/>
  <c r="W18" i="1"/>
  <c r="L20" i="1"/>
  <c r="H10" i="1"/>
  <c r="J12" i="1"/>
  <c r="H18" i="1"/>
  <c r="U20" i="1"/>
  <c r="Q8" i="1"/>
  <c r="I10" i="1"/>
  <c r="Q11" i="1"/>
  <c r="W12" i="1"/>
  <c r="O14" i="1"/>
  <c r="G16" i="1"/>
  <c r="O17" i="1"/>
  <c r="P19" i="1"/>
  <c r="J7" i="1"/>
  <c r="X7" i="1"/>
  <c r="T8" i="1"/>
  <c r="P9" i="1"/>
  <c r="L10" i="1"/>
  <c r="T11" i="1"/>
  <c r="N12" i="1"/>
  <c r="W16" i="1"/>
  <c r="L18" i="1"/>
  <c r="X18" i="1"/>
  <c r="R19" i="1"/>
  <c r="T7" i="1"/>
  <c r="L9" i="1"/>
  <c r="V10" i="1"/>
  <c r="R13" i="1"/>
  <c r="O19" i="1"/>
  <c r="M9" i="1"/>
  <c r="W10" i="1"/>
  <c r="K12" i="1"/>
  <c r="S13" i="1"/>
  <c r="K15" i="1"/>
  <c r="U16" i="1"/>
  <c r="U18" i="1"/>
  <c r="H11" i="1"/>
  <c r="U11" i="1"/>
  <c r="I13" i="1"/>
  <c r="W13" i="1"/>
  <c r="S14" i="1"/>
  <c r="O15" i="1"/>
  <c r="K16" i="1"/>
  <c r="R17" i="1"/>
  <c r="M18" i="1"/>
  <c r="G19" i="1"/>
  <c r="M20" i="1"/>
  <c r="P8" i="1"/>
  <c r="N17" i="1"/>
  <c r="I20" i="1"/>
  <c r="U7" i="1"/>
  <c r="J20" i="1"/>
  <c r="L7" i="1"/>
  <c r="H8" i="1"/>
  <c r="V8" i="1"/>
  <c r="R9" i="1"/>
  <c r="N10" i="1"/>
  <c r="I11" i="1"/>
  <c r="O12" i="1"/>
  <c r="J13" i="1"/>
  <c r="X13" i="1"/>
  <c r="T14" i="1"/>
  <c r="P15" i="1"/>
  <c r="L16" i="1"/>
  <c r="G17" i="1"/>
  <c r="S17" i="1"/>
  <c r="H19" i="1"/>
  <c r="T19" i="1"/>
  <c r="N20" i="1"/>
  <c r="M7" i="1"/>
  <c r="I8" i="1"/>
  <c r="W8" i="1"/>
  <c r="S9" i="1"/>
  <c r="O10" i="1"/>
  <c r="J11" i="1"/>
  <c r="P12" i="1"/>
  <c r="K13" i="1"/>
  <c r="G14" i="1"/>
  <c r="U14" i="1"/>
  <c r="Q15" i="1"/>
  <c r="M16" i="1"/>
  <c r="H17" i="1"/>
  <c r="N18" i="1"/>
  <c r="I19" i="1"/>
  <c r="U19" i="1"/>
  <c r="N7" i="1"/>
  <c r="J8" i="1"/>
  <c r="X8" i="1"/>
  <c r="T9" i="1"/>
  <c r="P10" i="1"/>
  <c r="K11" i="1"/>
  <c r="W11" i="1"/>
  <c r="Q12" i="1"/>
  <c r="L13" i="1"/>
  <c r="H14" i="1"/>
  <c r="V14" i="1"/>
  <c r="R15" i="1"/>
  <c r="N16" i="1"/>
  <c r="I17" i="1"/>
  <c r="U17" i="1"/>
  <c r="O18" i="1"/>
  <c r="V19" i="1"/>
  <c r="P20" i="1"/>
  <c r="G7" i="1"/>
</calcChain>
</file>

<file path=xl/sharedStrings.xml><?xml version="1.0" encoding="utf-8"?>
<sst xmlns="http://schemas.openxmlformats.org/spreadsheetml/2006/main" count="3752" uniqueCount="202">
  <si>
    <t>Standing charge</t>
  </si>
  <si>
    <t>Anytime</t>
  </si>
  <si>
    <t>Block 1</t>
  </si>
  <si>
    <t>Block 2</t>
  </si>
  <si>
    <t>Peak</t>
  </si>
  <si>
    <t>Shoulder</t>
  </si>
  <si>
    <t>Summer peak</t>
  </si>
  <si>
    <t>Summer shoulder</t>
  </si>
  <si>
    <t>Winter peak</t>
  </si>
  <si>
    <t>Off peak</t>
  </si>
  <si>
    <t>Dedicated circuit</t>
  </si>
  <si>
    <t>Solar soak</t>
  </si>
  <si>
    <t>Export charge</t>
  </si>
  <si>
    <t>Export reward</t>
  </si>
  <si>
    <t>Tariff class</t>
  </si>
  <si>
    <t xml:space="preserve">Tariff code
</t>
  </si>
  <si>
    <t>Tariff Structure</t>
  </si>
  <si>
    <t>Description</t>
  </si>
  <si>
    <t>Closed to New Entrants</t>
  </si>
  <si>
    <t>Shoulder all year</t>
  </si>
  <si>
    <t>Off Peak</t>
  </si>
  <si>
    <t>Export charge^</t>
  </si>
  <si>
    <t>Capacity</t>
  </si>
  <si>
    <t>Critical peak demand</t>
  </si>
  <si>
    <t>Monthly peak kW demand</t>
  </si>
  <si>
    <t>Monthly off peak kW demand</t>
  </si>
  <si>
    <t>$/year</t>
  </si>
  <si>
    <t>c/kWh</t>
  </si>
  <si>
    <t>$/kVA/yr</t>
  </si>
  <si>
    <t>$/kW/mth</t>
  </si>
  <si>
    <t>Residential</t>
  </si>
  <si>
    <t>NEE11</t>
  </si>
  <si>
    <t>Small single rate</t>
  </si>
  <si>
    <t>No</t>
  </si>
  <si>
    <t>NEE11S</t>
  </si>
  <si>
    <t>Small single rate standard feed in</t>
  </si>
  <si>
    <t>NEE19</t>
  </si>
  <si>
    <t>1 &amp; 19</t>
  </si>
  <si>
    <t>Small single rate &amp; dedicated circuit 24 hour</t>
  </si>
  <si>
    <t>Small residential time of use</t>
  </si>
  <si>
    <t>Small residential time of use standard feed in</t>
  </si>
  <si>
    <t>NAST17</t>
  </si>
  <si>
    <t>Small residential time of use &amp; dedicated circuit 24 hour</t>
  </si>
  <si>
    <t>NEE24</t>
  </si>
  <si>
    <t>Small two rate 8:00 to 8:00*</t>
  </si>
  <si>
    <t>Yes</t>
  </si>
  <si>
    <t>NSP20</t>
  </si>
  <si>
    <t>Small interval meter time of use</t>
  </si>
  <si>
    <t>NSP23</t>
  </si>
  <si>
    <t>Small interval meter time of use solar installation standard feed in</t>
  </si>
  <si>
    <t>NEE30</t>
  </si>
  <si>
    <t>Small dedicated circuit</t>
  </si>
  <si>
    <t>NEE31</t>
  </si>
  <si>
    <t>Small dedicated circuit with afternoon boost</t>
  </si>
  <si>
    <t>NEE32</t>
  </si>
  <si>
    <t>Small dedicated circuit 8:00 to 8:00</t>
  </si>
  <si>
    <t>NEE33</t>
  </si>
  <si>
    <t>Small dedicated circuit 24 hour</t>
  </si>
  <si>
    <t>RCER11</t>
  </si>
  <si>
    <t>Residential CER</t>
  </si>
  <si>
    <t>* Available to customers in rural areas with heating requirement</t>
  </si>
  <si>
    <t>* Includes a BEL of 1 kWh per day</t>
  </si>
  <si>
    <t>Small industrial &amp; commercial</t>
  </si>
  <si>
    <t>NEE12</t>
  </si>
  <si>
    <t>NEE12S</t>
  </si>
  <si>
    <t>NEE16</t>
  </si>
  <si>
    <t>1 &amp; 9</t>
  </si>
  <si>
    <t>Small single rate &amp; dedicated circuit</t>
  </si>
  <si>
    <t>NEE17</t>
  </si>
  <si>
    <t>1 &amp; 10</t>
  </si>
  <si>
    <t>Small single rate &amp; dedicated circuit with afternoon boost</t>
  </si>
  <si>
    <t>NEE18</t>
  </si>
  <si>
    <t>1 &amp; 11</t>
  </si>
  <si>
    <t>Small single rate &amp; dedicated circuit 8:00 to 8:00</t>
  </si>
  <si>
    <t>NAST12</t>
  </si>
  <si>
    <t>Small business time of use</t>
  </si>
  <si>
    <t>NAST12S</t>
  </si>
  <si>
    <t>Small business time of use standard feed in</t>
  </si>
  <si>
    <t>NASN12</t>
  </si>
  <si>
    <t>Small business single rate demand</t>
  </si>
  <si>
    <t>NASN12S</t>
  </si>
  <si>
    <t>Small business single rate demand standard feed in</t>
  </si>
  <si>
    <t>NASN19</t>
  </si>
  <si>
    <t>Business &gt; 40 MWh single rate demand</t>
  </si>
  <si>
    <t>NASN21</t>
  </si>
  <si>
    <t>Business &gt; 40 MWh two rate demand</t>
  </si>
  <si>
    <t>NASN2S</t>
  </si>
  <si>
    <t>Business &gt; 40 MWh two rate demand standard feed in</t>
  </si>
  <si>
    <t>NSP21</t>
  </si>
  <si>
    <t>NSP27</t>
  </si>
  <si>
    <t>Small interval meter low peak time of use</t>
  </si>
  <si>
    <t>SSP27</t>
  </si>
  <si>
    <t>NEE52</t>
  </si>
  <si>
    <t xml:space="preserve">Medium unmetered </t>
  </si>
  <si>
    <t>NEE55</t>
  </si>
  <si>
    <t xml:space="preserve">Medium snowfields </t>
  </si>
  <si>
    <t>NSP55</t>
  </si>
  <si>
    <t xml:space="preserve">Medium interval meter time of use snowfields </t>
  </si>
  <si>
    <t>NSP56</t>
  </si>
  <si>
    <t>Medium critical peak demand 160 MWh to 400 MWh</t>
  </si>
  <si>
    <t>NAT56</t>
  </si>
  <si>
    <t>Medium critical peak demand 160 MWh to 400 MWh (Transitional)</t>
  </si>
  <si>
    <t>NEN56</t>
  </si>
  <si>
    <t>Medium critical peak demand 160 MWh to 400 MWh within embedded network</t>
  </si>
  <si>
    <t>NSP75</t>
  </si>
  <si>
    <t>Large critical peak demand 400 MWh to 750 MWh</t>
  </si>
  <si>
    <t>NAT75</t>
  </si>
  <si>
    <t>Large critical peak demand 400 MWh to 750 MWh (Transitional)</t>
  </si>
  <si>
    <t>NSP76</t>
  </si>
  <si>
    <t>Large critical peak demand 750 MWh to 2000 MWh</t>
  </si>
  <si>
    <t>NSP77</t>
  </si>
  <si>
    <t>Large critical peak demand 2000 MWh to 4000 MWh</t>
  </si>
  <si>
    <t>NSP78</t>
  </si>
  <si>
    <t>Large critical peak demand over 4000 MWh</t>
  </si>
  <si>
    <t>High voltage</t>
  </si>
  <si>
    <t>NSP81</t>
  </si>
  <si>
    <t>High voltage critical peak demand</t>
  </si>
  <si>
    <t>NSP82</t>
  </si>
  <si>
    <t>High voltage critical peak demand traction</t>
  </si>
  <si>
    <t>NSP83</t>
  </si>
  <si>
    <t>High voltage critical peak demand low energy use</t>
  </si>
  <si>
    <t>NAL84</t>
  </si>
  <si>
    <t>High voltage critical peak demand locational</t>
  </si>
  <si>
    <t>Sub transmission</t>
  </si>
  <si>
    <t>NSP91</t>
  </si>
  <si>
    <t>Sub transmission critical peak demand &lt; 25 MVA &amp; &lt; 20 km from ts</t>
  </si>
  <si>
    <t>NEE93</t>
  </si>
  <si>
    <t>Large Labtrobe Valley open cut supplies</t>
  </si>
  <si>
    <t>NSP94</t>
  </si>
  <si>
    <t>Sub transmission critical peak demand &gt; 25 MVA &amp; &lt; 20 km from ts</t>
  </si>
  <si>
    <t>STSS</t>
  </si>
  <si>
    <t>Sub transmission site specific critical peak demand &gt; 50 MVA</t>
  </si>
  <si>
    <t>NSP95</t>
  </si>
  <si>
    <t>Sub transmission critical peak demand &lt; 25 MVA &amp; &gt; 20 km from ts</t>
  </si>
  <si>
    <t>NAL96</t>
  </si>
  <si>
    <t>Sub transmission critical peak demand locational</t>
  </si>
  <si>
    <t>Tariff structure and charging parameter</t>
  </si>
  <si>
    <t>Tariff structure</t>
  </si>
  <si>
    <t>Charging parameter</t>
  </si>
  <si>
    <t>Unit</t>
  </si>
  <si>
    <t>Tariff structure description</t>
  </si>
  <si>
    <t>$/yr</t>
  </si>
  <si>
    <t>All energy</t>
  </si>
  <si>
    <t>Inclining block 1</t>
  </si>
  <si>
    <t>1020 kWh/qtr</t>
  </si>
  <si>
    <t>Inclining block 2</t>
  </si>
  <si>
    <t>kWh balance</t>
  </si>
  <si>
    <t>7:00 AM to 11:00 PM Monday to Friday</t>
  </si>
  <si>
    <t>All other times</t>
  </si>
  <si>
    <t>Demand</t>
  </si>
  <si>
    <t>3:00PM to 9:00PM ADST Monday to Friday. Peak season - December to March, Off Peak - All other months</t>
  </si>
  <si>
    <t>8:00 AM to 8:00 PM Monday to Friday</t>
  </si>
  <si>
    <t>7:00 AM to 11:00 PM Monday to Sunday</t>
  </si>
  <si>
    <t>Energy</t>
  </si>
  <si>
    <t>2:00 PM to 6:00 PM Monday to Friday, December to March</t>
  </si>
  <si>
    <t>12:00 PM to 2:00 PM and 6:00 PM to 8:00 PM Monday to Friday, December to March</t>
  </si>
  <si>
    <t>4:00 PM to 8:00 PM Monday to Friday, June to August</t>
  </si>
  <si>
    <t>Summer</t>
  </si>
  <si>
    <t>2:00 AM AEST First Sunday in October to 2:00 AM AEST First Sunday in April</t>
  </si>
  <si>
    <t>3:00 PM to 9:00 PM Monday to Friday</t>
  </si>
  <si>
    <t>7:00 AM to 3:00 PM and 9:00 PM to 10:00 PM Monday to Friday, 7:00 AM to 10:00 PM Saturday to Sunday</t>
  </si>
  <si>
    <t>AEDT in summer, AEST all other times</t>
  </si>
  <si>
    <t>11:00 PM to 7:00 AM Monday to Sunday</t>
  </si>
  <si>
    <t>11:00 PM to 7:00 AM and 1:00 PM to 4:00 PM Monday to Sunday</t>
  </si>
  <si>
    <t>6 or 8 Hrs between 8:00 PM to 8:00 AM Monday to Sunday</t>
  </si>
  <si>
    <t>1 May to 30 September</t>
  </si>
  <si>
    <t>7:00 AM to 10:00 AM and 4:00 PM to 11:00 PM Monday to Friday</t>
  </si>
  <si>
    <t>10:00 AM to 4:00 PM Monday to Friday</t>
  </si>
  <si>
    <t>Fixed value</t>
  </si>
  <si>
    <t>Average of  up to five values recorded between 3:00 PM and 7:00 PM ADST on days nominated in advance</t>
  </si>
  <si>
    <t>Monthly demand</t>
  </si>
  <si>
    <t>3:00 PM to 9:00 PM ADST Monday to Friday. Peak season - December to March, Off Peak Season - All other months</t>
  </si>
  <si>
    <t>11:00 AM to 4:00 PM Monday to Sunday*</t>
  </si>
  <si>
    <t>All other times*</t>
  </si>
  <si>
    <t>9:00 AM to 9:00 PM Monday to Friday*</t>
  </si>
  <si>
    <t>4:00 PM to 9:00 PM Monday to Friday</t>
  </si>
  <si>
    <t>12:00 AM to 12:00 AM Monday to Sunday</t>
  </si>
  <si>
    <t>11:00 AM to 4:00 PM Monday to Sunday*^</t>
  </si>
  <si>
    <t>4:00 PM to 9:00 PM Monday to Sunday*</t>
  </si>
  <si>
    <t>* Based on local time</t>
  </si>
  <si>
    <t xml:space="preserve">^ Includes a BEL of 1 kWh per day </t>
  </si>
  <si>
    <t>3:00 PM to 9:00 PM Monday to Sunday*</t>
  </si>
  <si>
    <t>NASS11</t>
  </si>
  <si>
    <t>NASS11S</t>
  </si>
  <si>
    <t>19 &amp; 21</t>
  </si>
  <si>
    <t>Network tariff schedule</t>
  </si>
  <si>
    <t>Date of Application - 1 July 2026</t>
  </si>
  <si>
    <t>Distribution tariff schedule</t>
  </si>
  <si>
    <t>Transmission tariff schedule</t>
  </si>
  <si>
    <t>Jurisdictional scheme tariff schedule</t>
  </si>
  <si>
    <t>Fixed</t>
  </si>
  <si>
    <t>Off-peak</t>
  </si>
  <si>
    <t>Dedicated</t>
  </si>
  <si>
    <t>Critical peak</t>
  </si>
  <si>
    <t>Monthly peak</t>
  </si>
  <si>
    <t>Monthly off-peak</t>
  </si>
  <si>
    <t>NAST11</t>
  </si>
  <si>
    <t>NAST11S</t>
  </si>
  <si>
    <t>Large industrial &amp; commercial</t>
  </si>
  <si>
    <t>Medium industrial &amp; commercial</t>
  </si>
  <si>
    <t>Site specific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</si>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</sst>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#,##0.0000_ ;[Red]\-#,##0.0000\ "/>
    <numFmt numFmtId="166" formatCode="0.0000_ ;[Red]\-0.0000\ "/>
    <numFmt numFmtId="167" formatCode="0.0000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color rgb="FF8DC63F"/>
      <name val="Century Gothic"/>
      <family val="2"/>
    </font>
    <font>
      <sz val="10"/>
      <color theme="1"/>
      <name val="Arial"/>
      <family val="2"/>
    </font>
    <font>
      <sz val="11"/>
      <name val="Century Gothic"/>
      <family val="2"/>
    </font>
    <font>
      <b/>
      <sz val="12"/>
      <color theme="0"/>
      <name val="Century Gothic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Arial"/>
      <family val="2"/>
    </font>
    <font>
      <b/>
      <sz val="12"/>
      <color rgb="FFFF0000"/>
      <name val="Century Gothic"/>
      <family val="2"/>
    </font>
    <font>
      <sz val="8"/>
      <color theme="1"/>
      <name val="Arial"/>
      <family val="2"/>
    </font>
    <font>
      <sz val="10"/>
      <color theme="0"/>
      <name val="Arial"/>
      <family val="2"/>
    </font>
    <font>
      <sz val="12"/>
      <color rgb="FFFF000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53B69"/>
        <bgColor theme="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theme="4" tint="0.79995117038483843"/>
      </patternFill>
    </fill>
    <fill>
      <patternFill patternType="solid">
        <fgColor theme="0"/>
        <bgColor theme="4" tint="0.79995117038483843"/>
      </patternFill>
    </fill>
    <fill>
      <patternFill patternType="solid">
        <fgColor rgb="FF263A69"/>
        <bgColor rgb="FF363594"/>
      </patternFill>
    </fill>
    <fill>
      <patternFill patternType="solid">
        <fgColor rgb="FFF2F2F2"/>
        <bgColor rgb="FF188CCC"/>
      </patternFill>
    </fill>
    <fill>
      <patternFill patternType="solid">
        <fgColor rgb="FF275CAB"/>
        <bgColor theme="4"/>
      </patternFill>
    </fill>
    <fill>
      <patternFill patternType="solid">
        <fgColor rgb="FF26B67C"/>
        <bgColor theme="4"/>
      </patternFill>
    </fill>
    <fill>
      <patternFill patternType="solid">
        <fgColor rgb="FF8DC63F"/>
        <bgColor theme="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864B0"/>
      </left>
      <right style="thin">
        <color theme="0"/>
      </right>
      <top style="thin">
        <color rgb="FF0864B0"/>
      </top>
      <bottom/>
      <diagonal/>
    </border>
    <border>
      <left style="thin">
        <color theme="0"/>
      </left>
      <right style="thin">
        <color theme="0"/>
      </right>
      <top style="thin">
        <color rgb="FF0864B0"/>
      </top>
      <bottom/>
      <diagonal/>
    </border>
    <border>
      <left style="thin">
        <color theme="0"/>
      </left>
      <right style="thin">
        <color rgb="FF0864B0"/>
      </right>
      <top style="thin">
        <color rgb="FF0864B0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2" fillId="0" borderId="0"/>
  </cellStyleXfs>
  <cellXfs count="93">
    <xf numFmtId="0" fontId="0" fillId="0" borderId="0" xfId="0"/>
    <xf numFmtId="0" fontId="2" fillId="2" borderId="0" xfId="1" applyFont="1" applyFill="1"/>
    <xf numFmtId="0" fontId="3" fillId="3" borderId="0" xfId="2" applyFill="1"/>
    <xf numFmtId="0" fontId="4" fillId="2" borderId="0" xfId="1" applyFont="1" applyFill="1" applyAlignment="1">
      <alignment horizontal="left" vertical="center"/>
    </xf>
    <xf numFmtId="0" fontId="3" fillId="3" borderId="0" xfId="2" applyFill="1" applyAlignment="1">
      <alignment horizontal="center"/>
    </xf>
    <xf numFmtId="0" fontId="5" fillId="4" borderId="1" xfId="2" applyFont="1" applyFill="1" applyBorder="1" applyAlignment="1">
      <alignment horizontal="center" vertical="top" wrapText="1"/>
    </xf>
    <xf numFmtId="0" fontId="5" fillId="4" borderId="1" xfId="2" applyFont="1" applyFill="1" applyBorder="1" applyAlignment="1">
      <alignment vertical="top" wrapText="1"/>
    </xf>
    <xf numFmtId="0" fontId="5" fillId="4" borderId="1" xfId="2" applyFont="1" applyFill="1" applyBorder="1" applyAlignment="1">
      <alignment horizontal="left" vertical="top" wrapText="1"/>
    </xf>
    <xf numFmtId="0" fontId="5" fillId="4" borderId="2" xfId="2" applyFont="1" applyFill="1" applyBorder="1" applyAlignment="1">
      <alignment vertical="top" wrapText="1"/>
    </xf>
    <xf numFmtId="0" fontId="5" fillId="4" borderId="2" xfId="2" applyFont="1" applyFill="1" applyBorder="1" applyAlignment="1">
      <alignment horizontal="center" vertical="top" wrapText="1"/>
    </xf>
    <xf numFmtId="0" fontId="6" fillId="5" borderId="3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vertical="center"/>
    </xf>
    <xf numFmtId="0" fontId="7" fillId="5" borderId="3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vertical="center" wrapText="1"/>
    </xf>
    <xf numFmtId="0" fontId="3" fillId="0" borderId="0" xfId="2"/>
    <xf numFmtId="0" fontId="7" fillId="6" borderId="3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vertical="center"/>
    </xf>
    <xf numFmtId="0" fontId="7" fillId="6" borderId="3" xfId="2" applyFont="1" applyFill="1" applyBorder="1" applyAlignment="1">
      <alignment vertical="center" wrapText="1"/>
    </xf>
    <xf numFmtId="0" fontId="8" fillId="3" borderId="0" xfId="2" applyFont="1" applyFill="1"/>
    <xf numFmtId="0" fontId="8" fillId="3" borderId="0" xfId="2" applyFont="1" applyFill="1" applyAlignment="1">
      <alignment horizontal="center"/>
    </xf>
    <xf numFmtId="164" fontId="8" fillId="3" borderId="0" xfId="2" applyNumberFormat="1" applyFont="1" applyFill="1" applyAlignment="1">
      <alignment horizontal="center"/>
    </xf>
    <xf numFmtId="165" fontId="8" fillId="3" borderId="0" xfId="2" applyNumberFormat="1" applyFont="1" applyFill="1" applyAlignment="1">
      <alignment horizontal="center"/>
    </xf>
    <xf numFmtId="0" fontId="9" fillId="3" borderId="0" xfId="2" applyFont="1" applyFill="1"/>
    <xf numFmtId="0" fontId="9" fillId="3" borderId="0" xfId="2" applyFont="1" applyFill="1" applyAlignment="1">
      <alignment horizontal="center"/>
    </xf>
    <xf numFmtId="164" fontId="9" fillId="3" borderId="0" xfId="2" applyNumberFormat="1" applyFont="1" applyFill="1" applyAlignment="1">
      <alignment horizontal="center"/>
    </xf>
    <xf numFmtId="165" fontId="9" fillId="3" borderId="0" xfId="2" applyNumberFormat="1" applyFont="1" applyFill="1" applyAlignment="1">
      <alignment horizontal="center"/>
    </xf>
    <xf numFmtId="167" fontId="9" fillId="3" borderId="0" xfId="2" applyNumberFormat="1" applyFont="1" applyFill="1" applyAlignment="1">
      <alignment horizontal="center"/>
    </xf>
    <xf numFmtId="0" fontId="6" fillId="5" borderId="3" xfId="2" applyFont="1" applyFill="1" applyBorder="1" applyAlignment="1">
      <alignment vertical="center"/>
    </xf>
    <xf numFmtId="0" fontId="6" fillId="5" borderId="3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horizontal="center" vertical="center"/>
    </xf>
    <xf numFmtId="0" fontId="6" fillId="6" borderId="3" xfId="2" applyFont="1" applyFill="1" applyBorder="1" applyAlignment="1">
      <alignment vertical="center"/>
    </xf>
    <xf numFmtId="0" fontId="6" fillId="6" borderId="3" xfId="2" applyFont="1" applyFill="1" applyBorder="1" applyAlignment="1">
      <alignment vertical="center" wrapText="1"/>
    </xf>
    <xf numFmtId="0" fontId="6" fillId="3" borderId="0" xfId="2" applyFont="1" applyFill="1" applyAlignment="1">
      <alignment horizontal="center" vertical="center" wrapText="1"/>
    </xf>
    <xf numFmtId="0" fontId="6" fillId="3" borderId="0" xfId="2" applyFont="1" applyFill="1" applyAlignment="1">
      <alignment vertical="center"/>
    </xf>
    <xf numFmtId="0" fontId="6" fillId="7" borderId="0" xfId="2" applyFont="1" applyFill="1" applyAlignment="1">
      <alignment horizontal="center" vertical="center"/>
    </xf>
    <xf numFmtId="0" fontId="6" fillId="7" borderId="0" xfId="2" applyFont="1" applyFill="1" applyAlignment="1">
      <alignment vertical="center" wrapText="1"/>
    </xf>
    <xf numFmtId="164" fontId="6" fillId="3" borderId="0" xfId="2" applyNumberFormat="1" applyFont="1" applyFill="1" applyAlignment="1">
      <alignment horizontal="center" vertical="center"/>
    </xf>
    <xf numFmtId="165" fontId="6" fillId="3" borderId="0" xfId="2" applyNumberFormat="1" applyFont="1" applyFill="1" applyAlignment="1">
      <alignment horizontal="center" vertical="center"/>
    </xf>
    <xf numFmtId="166" fontId="6" fillId="3" borderId="0" xfId="2" applyNumberFormat="1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 wrapText="1"/>
    </xf>
    <xf numFmtId="0" fontId="8" fillId="7" borderId="0" xfId="2" applyFont="1" applyFill="1" applyAlignment="1">
      <alignment vertical="center"/>
    </xf>
    <xf numFmtId="0" fontId="8" fillId="7" borderId="0" xfId="2" applyFont="1" applyFill="1" applyAlignment="1">
      <alignment horizontal="center" vertical="center"/>
    </xf>
    <xf numFmtId="0" fontId="8" fillId="7" borderId="0" xfId="2" applyFont="1" applyFill="1" applyAlignment="1">
      <alignment vertical="center" wrapText="1"/>
    </xf>
    <xf numFmtId="164" fontId="8" fillId="7" borderId="0" xfId="2" applyNumberFormat="1" applyFont="1" applyFill="1" applyAlignment="1">
      <alignment horizontal="center" vertical="center"/>
    </xf>
    <xf numFmtId="165" fontId="8" fillId="7" borderId="0" xfId="2" applyNumberFormat="1" applyFont="1" applyFill="1" applyAlignment="1">
      <alignment horizontal="center" vertical="center"/>
    </xf>
    <xf numFmtId="0" fontId="0" fillId="3" borderId="0" xfId="0" applyFill="1"/>
    <xf numFmtId="0" fontId="10" fillId="3" borderId="0" xfId="0" applyFont="1" applyFill="1"/>
    <xf numFmtId="0" fontId="5" fillId="8" borderId="3" xfId="0" applyFont="1" applyFill="1" applyBorder="1" applyAlignment="1">
      <alignment vertical="center" wrapText="1"/>
    </xf>
    <xf numFmtId="0" fontId="10" fillId="3" borderId="0" xfId="0" applyFont="1" applyFill="1" applyAlignment="1">
      <alignment vertical="top"/>
    </xf>
    <xf numFmtId="0" fontId="6" fillId="5" borderId="1" xfId="0" applyFont="1" applyFill="1" applyBorder="1" applyAlignment="1">
      <alignment horizontal="left" vertical="top"/>
    </xf>
    <xf numFmtId="0" fontId="6" fillId="5" borderId="4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/>
    </xf>
    <xf numFmtId="0" fontId="6" fillId="5" borderId="4" xfId="0" applyFont="1" applyFill="1" applyBorder="1" applyAlignment="1">
      <alignment horizontal="left" vertical="top" wrapText="1"/>
    </xf>
    <xf numFmtId="0" fontId="6" fillId="5" borderId="0" xfId="0" applyFont="1" applyFill="1" applyAlignment="1">
      <alignment horizontal="left" vertical="top"/>
    </xf>
    <xf numFmtId="0" fontId="5" fillId="9" borderId="5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vertical="center" wrapText="1"/>
    </xf>
    <xf numFmtId="0" fontId="6" fillId="5" borderId="1" xfId="0" applyFont="1" applyFill="1" applyBorder="1"/>
    <xf numFmtId="0" fontId="6" fillId="5" borderId="4" xfId="0" applyFont="1" applyFill="1" applyBorder="1"/>
    <xf numFmtId="0" fontId="6" fillId="5" borderId="2" xfId="0" applyFont="1" applyFill="1" applyBorder="1"/>
    <xf numFmtId="0" fontId="6" fillId="3" borderId="0" xfId="0" applyFont="1" applyFill="1"/>
    <xf numFmtId="0" fontId="5" fillId="10" borderId="1" xfId="2" applyFont="1" applyFill="1" applyBorder="1" applyAlignment="1">
      <alignment horizontal="center" vertical="top" wrapText="1"/>
    </xf>
    <xf numFmtId="0" fontId="5" fillId="10" borderId="2" xfId="2" applyFont="1" applyFill="1" applyBorder="1" applyAlignment="1">
      <alignment horizontal="center" vertical="top" wrapText="1"/>
    </xf>
    <xf numFmtId="0" fontId="5" fillId="11" borderId="1" xfId="2" applyFont="1" applyFill="1" applyBorder="1" applyAlignment="1">
      <alignment horizontal="center" vertical="top" wrapText="1"/>
    </xf>
    <xf numFmtId="0" fontId="5" fillId="11" borderId="2" xfId="2" applyFont="1" applyFill="1" applyBorder="1" applyAlignment="1">
      <alignment vertical="top" wrapText="1"/>
    </xf>
    <xf numFmtId="0" fontId="5" fillId="11" borderId="2" xfId="2" applyFont="1" applyFill="1" applyBorder="1" applyAlignment="1">
      <alignment horizontal="center" vertical="top" wrapText="1"/>
    </xf>
    <xf numFmtId="0" fontId="5" fillId="12" borderId="1" xfId="2" applyFont="1" applyFill="1" applyBorder="1" applyAlignment="1">
      <alignment horizontal="center" vertical="top" wrapText="1"/>
    </xf>
    <xf numFmtId="0" fontId="5" fillId="12" borderId="2" xfId="2" applyFont="1" applyFill="1" applyBorder="1" applyAlignment="1">
      <alignment vertical="top" wrapText="1"/>
    </xf>
    <xf numFmtId="0" fontId="5" fillId="12" borderId="2" xfId="2" applyFont="1" applyFill="1" applyBorder="1" applyAlignment="1">
      <alignment horizontal="center" vertical="top" wrapText="1"/>
    </xf>
    <xf numFmtId="0" fontId="5" fillId="10" borderId="1" xfId="2" applyFont="1" applyFill="1" applyBorder="1" applyAlignment="1">
      <alignment horizontal="left" vertical="top" wrapText="1"/>
    </xf>
    <xf numFmtId="0" fontId="5" fillId="10" borderId="2" xfId="2" applyFont="1" applyFill="1" applyBorder="1" applyAlignment="1">
      <alignment horizontal="left" vertical="top" wrapText="1"/>
    </xf>
    <xf numFmtId="0" fontId="5" fillId="11" borderId="1" xfId="2" applyFont="1" applyFill="1" applyBorder="1" applyAlignment="1">
      <alignment horizontal="left" vertical="top" wrapText="1"/>
    </xf>
    <xf numFmtId="0" fontId="5" fillId="11" borderId="2" xfId="2" applyFont="1" applyFill="1" applyBorder="1" applyAlignment="1">
      <alignment horizontal="left" vertical="top" wrapText="1"/>
    </xf>
    <xf numFmtId="0" fontId="5" fillId="12" borderId="1" xfId="2" applyFont="1" applyFill="1" applyBorder="1" applyAlignment="1">
      <alignment horizontal="left" vertical="top" wrapText="1"/>
    </xf>
    <xf numFmtId="0" fontId="5" fillId="12" borderId="2" xfId="2" applyFont="1" applyFill="1" applyBorder="1" applyAlignment="1">
      <alignment horizontal="left" vertical="top" wrapText="1"/>
    </xf>
    <xf numFmtId="0" fontId="3" fillId="3" borderId="0" xfId="2" quotePrefix="1" applyFill="1"/>
    <xf numFmtId="167" fontId="7" fillId="5" borderId="3" xfId="2" applyNumberFormat="1" applyFont="1" applyFill="1" applyBorder="1" applyAlignment="1">
      <alignment horizontal="center" vertical="center"/>
    </xf>
    <xf numFmtId="2" fontId="7" fillId="5" borderId="3" xfId="2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top"/>
    </xf>
    <xf numFmtId="0" fontId="11" fillId="5" borderId="4" xfId="0" applyFont="1" applyFill="1" applyBorder="1"/>
    <xf numFmtId="0" fontId="7" fillId="5" borderId="4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7" fillId="5" borderId="3" xfId="2" quotePrefix="1" applyFont="1" applyFill="1" applyBorder="1" applyAlignment="1">
      <alignment horizontal="center" vertical="center"/>
    </xf>
    <xf numFmtId="164" fontId="6" fillId="5" borderId="3" xfId="2" applyNumberFormat="1" applyFont="1" applyFill="1" applyBorder="1" applyAlignment="1">
      <alignment horizontal="center" vertical="center"/>
    </xf>
    <xf numFmtId="167" fontId="7" fillId="5" borderId="3" xfId="2" applyNumberFormat="1" applyFont="1" applyFill="1" applyBorder="1" applyAlignment="1">
      <alignment horizontal="center" vertical="center" wrapText="1"/>
    </xf>
    <xf numFmtId="0" fontId="13" fillId="3" borderId="0" xfId="2" applyFont="1" applyFill="1"/>
    <xf numFmtId="0" fontId="6" fillId="5" borderId="3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/>
    </xf>
    <xf numFmtId="0" fontId="6" fillId="5" borderId="4" xfId="2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167" fontId="14" fillId="5" borderId="3" xfId="2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7EA56552-1BB4-4128-A5C6-392D2B9CCAA8}"/>
    <cellStyle name="Normal 2 2" xfId="2" xr:uid="{B1E1911F-A181-4873-A2DD-2FCFF7178F0F}"/>
    <cellStyle name="Normal_051020 Meter tariff approval model" xfId="1" xr:uid="{25AF62D2-6B83-4930-8AB6-62EFA569B85B}"/>
  </cellStyles>
  <dxfs count="0"/>
  <tableStyles count="0" defaultTableStyle="TableStyleMedium2" defaultPivotStyle="PivotStyleLight16"/>
  <colors>
    <mruColors>
      <color rgb="FF0E8568"/>
      <color rgb="FF64C4EB"/>
      <color rgb="FF8DC63F"/>
      <color rgb="FF26B67C"/>
      <color rgb="FF275CAB"/>
      <color rgb="FF253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</xdr:row>
      <xdr:rowOff>0</xdr:rowOff>
    </xdr:from>
    <xdr:to>
      <xdr:col>23</xdr:col>
      <xdr:colOff>193221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28D2A5EF-7A05-4E64-B12F-82760ABDC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9716750" y="161925"/>
          <a:ext cx="1012371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</xdr:row>
      <xdr:rowOff>0</xdr:rowOff>
    </xdr:from>
    <xdr:to>
      <xdr:col>23</xdr:col>
      <xdr:colOff>193221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5666BB72-9BC0-4528-8362-9E5A680A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9716750" y="161925"/>
          <a:ext cx="1012371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23</xdr:col>
      <xdr:colOff>193221</xdr:colOff>
      <xdr:row>1</xdr:row>
      <xdr:rowOff>229960</xdr:rowOff>
    </xdr:to>
    <xdr:pic>
      <xdr:nvPicPr>
        <xdr:cNvPr id="3" name="Graphic 8">
          <a:extLst>
            <a:ext uri="{FF2B5EF4-FFF2-40B4-BE49-F238E27FC236}">
              <a16:creationId xmlns:a16="http://schemas.microsoft.com/office/drawing/2014/main" id="{BEA491D3-8AE7-47A1-AFFF-8153D81FB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9716750" y="161925"/>
          <a:ext cx="1012371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</xdr:row>
      <xdr:rowOff>0</xdr:rowOff>
    </xdr:from>
    <xdr:to>
      <xdr:col>23</xdr:col>
      <xdr:colOff>193221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B5BEF661-CC46-46ED-A501-13D331BFA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9716750" y="161925"/>
          <a:ext cx="1012371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23</xdr:col>
      <xdr:colOff>193221</xdr:colOff>
      <xdr:row>1</xdr:row>
      <xdr:rowOff>229960</xdr:rowOff>
    </xdr:to>
    <xdr:pic>
      <xdr:nvPicPr>
        <xdr:cNvPr id="3" name="Graphic 8">
          <a:extLst>
            <a:ext uri="{FF2B5EF4-FFF2-40B4-BE49-F238E27FC236}">
              <a16:creationId xmlns:a16="http://schemas.microsoft.com/office/drawing/2014/main" id="{1236F83D-3B32-40FE-ADA8-AF17FFFF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9716750" y="161925"/>
          <a:ext cx="1012371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</xdr:row>
      <xdr:rowOff>0</xdr:rowOff>
    </xdr:from>
    <xdr:to>
      <xdr:col>23</xdr:col>
      <xdr:colOff>193221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0F916CB3-9EC4-47D9-AACB-2ABFB54F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9716750" y="161925"/>
          <a:ext cx="1012371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23</xdr:col>
      <xdr:colOff>193221</xdr:colOff>
      <xdr:row>1</xdr:row>
      <xdr:rowOff>229960</xdr:rowOff>
    </xdr:to>
    <xdr:pic>
      <xdr:nvPicPr>
        <xdr:cNvPr id="3" name="Graphic 8">
          <a:extLst>
            <a:ext uri="{FF2B5EF4-FFF2-40B4-BE49-F238E27FC236}">
              <a16:creationId xmlns:a16="http://schemas.microsoft.com/office/drawing/2014/main" id="{48B068E5-4288-46AE-A8EE-50B7ADAD3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9716750" y="161925"/>
          <a:ext cx="1012371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5946308</xdr:colOff>
      <xdr:row>1</xdr:row>
      <xdr:rowOff>0</xdr:rowOff>
    </xdr:from>
    <xdr:to>
      <xdr:col>4</xdr:col>
      <xdr:colOff>6955958</xdr:colOff>
      <xdr:row>1</xdr:row>
      <xdr:rowOff>229960</xdr:rowOff>
    </xdr:to>
    <xdr:pic>
      <xdr:nvPicPr>
        <xdr:cNvPr id="2" name="Graphic 8">
          <a:extLst>
            <a:ext uri="{FF2B5EF4-FFF2-40B4-BE49-F238E27FC236}">
              <a16:creationId xmlns:a16="http://schemas.microsoft.com/office/drawing/2014/main" id="{55479BFA-4FB4-47AC-AD8C-E2EDD4F26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517"/>
        <a:stretch>
          <a:fillRect/>
        </a:stretch>
      </xdr:blipFill>
      <xdr:spPr bwMode="auto">
        <a:xfrm>
          <a:off x="10280183" y="161925"/>
          <a:ext cx="1009650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F60B-ABE1-4B50-ADDF-CE51D1440476}">
  <sheetPr codeName="Sheet1">
    <tabColor rgb="FF253B69"/>
    <pageSetUpPr fitToPage="1"/>
  </sheetPr>
  <dimension ref="B1:AB68"/>
  <sheetViews>
    <sheetView tabSelected="1" zoomScale="70" zoomScaleNormal="70" workbookViewId="0">
      <selection activeCell="N18" sqref="N18"/>
    </sheetView>
  </sheetViews>
  <sheetFormatPr defaultColWidth="9.140625" defaultRowHeight="12.75" x14ac:dyDescent="0.2"/>
  <cols>
    <col min="1" max="1" width="0.85546875" style="2" customWidth="1"/>
    <col min="2" max="2" width="17.5703125" style="2" customWidth="1"/>
    <col min="3" max="3" width="19.7109375" style="2" customWidth="1"/>
    <col min="4" max="4" width="12.5703125" style="2" customWidth="1"/>
    <col min="5" max="5" width="44.7109375" style="2" customWidth="1"/>
    <col min="6" max="24" width="12.28515625" style="2" customWidth="1"/>
    <col min="25" max="25" width="0.85546875" style="2" customWidth="1"/>
    <col min="26" max="16384" width="9.140625" style="2"/>
  </cols>
  <sheetData>
    <row r="1" spans="2:28" x14ac:dyDescent="0.2">
      <c r="E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2:28" ht="35.1" customHeight="1" x14ac:dyDescent="0.4">
      <c r="B2" s="1" t="s">
        <v>185</v>
      </c>
    </row>
    <row r="3" spans="2:28" ht="15" customHeight="1" x14ac:dyDescent="0.2">
      <c r="B3" s="3" t="s">
        <v>186</v>
      </c>
      <c r="G3" s="86" t="s">
        <v>190</v>
      </c>
      <c r="H3" s="86" t="s">
        <v>1</v>
      </c>
      <c r="I3" s="86" t="s">
        <v>2</v>
      </c>
      <c r="J3" s="86" t="s">
        <v>3</v>
      </c>
      <c r="K3" s="86" t="s">
        <v>4</v>
      </c>
      <c r="L3" s="86" t="s">
        <v>5</v>
      </c>
      <c r="M3" s="86" t="s">
        <v>6</v>
      </c>
      <c r="N3" s="86" t="s">
        <v>7</v>
      </c>
      <c r="O3" s="86" t="s">
        <v>8</v>
      </c>
      <c r="P3" s="86" t="s">
        <v>191</v>
      </c>
      <c r="Q3" s="86" t="s">
        <v>192</v>
      </c>
      <c r="R3" s="86" t="s">
        <v>11</v>
      </c>
      <c r="S3" s="86" t="s">
        <v>12</v>
      </c>
      <c r="T3" s="86" t="s">
        <v>13</v>
      </c>
      <c r="U3" s="86" t="s">
        <v>22</v>
      </c>
      <c r="V3" s="86" t="s">
        <v>193</v>
      </c>
      <c r="W3" s="86" t="s">
        <v>194</v>
      </c>
      <c r="X3" s="86" t="s">
        <v>195</v>
      </c>
      <c r="Y3" s="86"/>
      <c r="Z3" s="86"/>
    </row>
    <row r="4" spans="2:28" ht="14.25" customHeight="1" x14ac:dyDescent="0.2"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2:28" ht="62.1" customHeight="1" x14ac:dyDescent="0.2">
      <c r="B5" s="5" t="s">
        <v>14</v>
      </c>
      <c r="C5" s="6" t="s">
        <v>15</v>
      </c>
      <c r="D5" s="7" t="s">
        <v>16</v>
      </c>
      <c r="E5" s="6" t="s">
        <v>17</v>
      </c>
      <c r="F5" s="5" t="s">
        <v>18</v>
      </c>
      <c r="G5" s="5" t="s">
        <v>0</v>
      </c>
      <c r="H5" s="5" t="s">
        <v>1</v>
      </c>
      <c r="I5" s="5" t="s">
        <v>2</v>
      </c>
      <c r="J5" s="5" t="s">
        <v>3</v>
      </c>
      <c r="K5" s="5" t="s">
        <v>4</v>
      </c>
      <c r="L5" s="5" t="s">
        <v>19</v>
      </c>
      <c r="M5" s="5" t="s">
        <v>6</v>
      </c>
      <c r="N5" s="5" t="s">
        <v>7</v>
      </c>
      <c r="O5" s="5" t="s">
        <v>8</v>
      </c>
      <c r="P5" s="5" t="s">
        <v>20</v>
      </c>
      <c r="Q5" s="5" t="s">
        <v>10</v>
      </c>
      <c r="R5" s="5" t="s">
        <v>11</v>
      </c>
      <c r="S5" s="5" t="s">
        <v>21</v>
      </c>
      <c r="T5" s="5" t="s">
        <v>13</v>
      </c>
      <c r="U5" s="5" t="s">
        <v>22</v>
      </c>
      <c r="V5" s="5" t="s">
        <v>23</v>
      </c>
      <c r="W5" s="5" t="s">
        <v>24</v>
      </c>
      <c r="X5" s="5" t="s">
        <v>25</v>
      </c>
    </row>
    <row r="6" spans="2:28" ht="18" customHeight="1" x14ac:dyDescent="0.2">
      <c r="B6" s="8"/>
      <c r="C6" s="8"/>
      <c r="D6" s="9"/>
      <c r="E6" s="8"/>
      <c r="F6" s="9"/>
      <c r="G6" s="9" t="s">
        <v>26</v>
      </c>
      <c r="H6" s="9" t="s">
        <v>27</v>
      </c>
      <c r="I6" s="9" t="s">
        <v>27</v>
      </c>
      <c r="J6" s="9" t="s">
        <v>27</v>
      </c>
      <c r="K6" s="9" t="s">
        <v>27</v>
      </c>
      <c r="L6" s="9" t="s">
        <v>27</v>
      </c>
      <c r="M6" s="9" t="s">
        <v>27</v>
      </c>
      <c r="N6" s="9" t="s">
        <v>27</v>
      </c>
      <c r="O6" s="9" t="s">
        <v>27</v>
      </c>
      <c r="P6" s="9" t="s">
        <v>27</v>
      </c>
      <c r="Q6" s="9" t="s">
        <v>27</v>
      </c>
      <c r="R6" s="9" t="s">
        <v>27</v>
      </c>
      <c r="S6" s="9" t="s">
        <v>27</v>
      </c>
      <c r="T6" s="9" t="s">
        <v>27</v>
      </c>
      <c r="U6" s="9" t="s">
        <v>28</v>
      </c>
      <c r="V6" s="9" t="s">
        <v>28</v>
      </c>
      <c r="W6" s="9" t="s">
        <v>29</v>
      </c>
      <c r="X6" s="9" t="s">
        <v>29</v>
      </c>
    </row>
    <row r="7" spans="2:28" ht="35.1" customHeight="1" x14ac:dyDescent="0.2">
      <c r="B7" s="88" t="s">
        <v>30</v>
      </c>
      <c r="C7" s="11" t="s">
        <v>31</v>
      </c>
      <c r="D7" s="12">
        <v>1</v>
      </c>
      <c r="E7" s="13" t="s">
        <v>32</v>
      </c>
      <c r="F7" s="12" t="s">
        <v>33</v>
      </c>
      <c r="G7" s="77">
        <f>IF(SUM('Distribution 2026-27:Jurisdictional 2026-27'!G7)=0,"",SUM('Distribution 2026-27:Jurisdictional 2026-27'!G7))</f>
        <v>145.30522170722094</v>
      </c>
      <c r="H7" s="77" t="str">
        <f>IF(SUM('Distribution 2026-27:Jurisdictional 2026-27'!H7)=0,"",SUM('Distribution 2026-27:Jurisdictional 2026-27'!H7))</f>
        <v/>
      </c>
      <c r="I7" s="76">
        <f>IF(SUM('Distribution 2026-27:Jurisdictional 2026-27'!I7)=0,"",SUM('Distribution 2026-27:Jurisdictional 2026-27'!I7))</f>
        <v>13.429651598815571</v>
      </c>
      <c r="J7" s="76">
        <f>IF(SUM('Distribution 2026-27:Jurisdictional 2026-27'!J7)=0,"",SUM('Distribution 2026-27:Jurisdictional 2026-27'!J7))</f>
        <v>13.429651598815571</v>
      </c>
      <c r="K7" s="76" t="str">
        <f>IF(SUM('Distribution 2026-27:Jurisdictional 2026-27'!K7)=0,"",SUM('Distribution 2026-27:Jurisdictional 2026-27'!K7))</f>
        <v/>
      </c>
      <c r="L7" s="76" t="str">
        <f>IF(SUM('Distribution 2026-27:Jurisdictional 2026-27'!L7)=0,"",SUM('Distribution 2026-27:Jurisdictional 2026-27'!L7))</f>
        <v/>
      </c>
      <c r="M7" s="76" t="str">
        <f>IF(SUM('Distribution 2026-27:Jurisdictional 2026-27'!M7)=0,"",SUM('Distribution 2026-27:Jurisdictional 2026-27'!M7))</f>
        <v/>
      </c>
      <c r="N7" s="76" t="str">
        <f>IF(SUM('Distribution 2026-27:Jurisdictional 2026-27'!N7)=0,"",SUM('Distribution 2026-27:Jurisdictional 2026-27'!N7))</f>
        <v/>
      </c>
      <c r="O7" s="76" t="str">
        <f>IF(SUM('Distribution 2026-27:Jurisdictional 2026-27'!O7)=0,"",SUM('Distribution 2026-27:Jurisdictional 2026-27'!O7))</f>
        <v/>
      </c>
      <c r="P7" s="76" t="str">
        <f>IF(SUM('Distribution 2026-27:Jurisdictional 2026-27'!P7)=0,"",SUM('Distribution 2026-27:Jurisdictional 2026-27'!P7))</f>
        <v/>
      </c>
      <c r="Q7" s="76" t="str">
        <f>IF(SUM('Distribution 2026-27:Jurisdictional 2026-27'!Q7)=0,"",SUM('Distribution 2026-27:Jurisdictional 2026-27'!Q7))</f>
        <v/>
      </c>
      <c r="R7" s="76" t="str">
        <f>IF(SUM('Distribution 2026-27:Jurisdictional 2026-27'!R7)=0,"",SUM('Distribution 2026-27:Jurisdictional 2026-27'!R7))</f>
        <v/>
      </c>
      <c r="S7" s="76" t="str">
        <f>IF(SUM('Distribution 2026-27:Jurisdictional 2026-27'!S7)=0,"",SUM('Distribution 2026-27:Jurisdictional 2026-27'!S7))</f>
        <v/>
      </c>
      <c r="T7" s="76" t="str">
        <f>IF(SUM('Distribution 2026-27:Jurisdictional 2026-27'!T7)=0,"",SUM('Distribution 2026-27:Jurisdictional 2026-27'!T7))</f>
        <v/>
      </c>
      <c r="U7" s="77" t="str">
        <f>IF(SUM('Distribution 2026-27:Jurisdictional 2026-27'!U7)=0,"",SUM('Distribution 2026-27:Jurisdictional 2026-27'!U7))</f>
        <v/>
      </c>
      <c r="V7" s="77" t="str">
        <f>IF(SUM('Distribution 2026-27:Jurisdictional 2026-27'!V7)=0,"",SUM('Distribution 2026-27:Jurisdictional 2026-27'!V7))</f>
        <v/>
      </c>
      <c r="W7" s="77" t="str">
        <f>IF(SUM('Distribution 2026-27:Jurisdictional 2026-27'!W7)=0,"",SUM('Distribution 2026-27:Jurisdictional 2026-27'!W7))</f>
        <v/>
      </c>
      <c r="X7" s="77" t="str">
        <f>IF(SUM('Distribution 2026-27:Jurisdictional 2026-27'!X7)=0,"",SUM('Distribution 2026-27:Jurisdictional 2026-27'!X7))</f>
        <v/>
      </c>
    </row>
    <row r="8" spans="2:28" ht="35.1" customHeight="1" x14ac:dyDescent="0.2">
      <c r="B8" s="88"/>
      <c r="C8" s="11" t="s">
        <v>34</v>
      </c>
      <c r="D8" s="12">
        <v>1</v>
      </c>
      <c r="E8" s="13" t="s">
        <v>35</v>
      </c>
      <c r="F8" s="12" t="s">
        <v>33</v>
      </c>
      <c r="G8" s="77">
        <f>IF(SUM('Distribution 2026-27:Jurisdictional 2026-27'!G8)=0,"",SUM('Distribution 2026-27:Jurisdictional 2026-27'!G8))</f>
        <v>145.30522170722094</v>
      </c>
      <c r="H8" s="77" t="str">
        <f>IF(SUM('Distribution 2026-27:Jurisdictional 2026-27'!H8)=0,"",SUM('Distribution 2026-27:Jurisdictional 2026-27'!H8))</f>
        <v/>
      </c>
      <c r="I8" s="76">
        <f>IF(SUM('Distribution 2026-27:Jurisdictional 2026-27'!I8)=0,"",SUM('Distribution 2026-27:Jurisdictional 2026-27'!I8))</f>
        <v>13.429651598815571</v>
      </c>
      <c r="J8" s="76">
        <f>IF(SUM('Distribution 2026-27:Jurisdictional 2026-27'!J8)=0,"",SUM('Distribution 2026-27:Jurisdictional 2026-27'!J8))</f>
        <v>13.429651598815571</v>
      </c>
      <c r="K8" s="76" t="str">
        <f>IF(SUM('Distribution 2026-27:Jurisdictional 2026-27'!K8)=0,"",SUM('Distribution 2026-27:Jurisdictional 2026-27'!K8))</f>
        <v/>
      </c>
      <c r="L8" s="76" t="str">
        <f>IF(SUM('Distribution 2026-27:Jurisdictional 2026-27'!L8)=0,"",SUM('Distribution 2026-27:Jurisdictional 2026-27'!L8))</f>
        <v/>
      </c>
      <c r="M8" s="76" t="str">
        <f>IF(SUM('Distribution 2026-27:Jurisdictional 2026-27'!M8)=0,"",SUM('Distribution 2026-27:Jurisdictional 2026-27'!M8))</f>
        <v/>
      </c>
      <c r="N8" s="76" t="str">
        <f>IF(SUM('Distribution 2026-27:Jurisdictional 2026-27'!N8)=0,"",SUM('Distribution 2026-27:Jurisdictional 2026-27'!N8))</f>
        <v/>
      </c>
      <c r="O8" s="76" t="str">
        <f>IF(SUM('Distribution 2026-27:Jurisdictional 2026-27'!O8)=0,"",SUM('Distribution 2026-27:Jurisdictional 2026-27'!O8))</f>
        <v/>
      </c>
      <c r="P8" s="76" t="str">
        <f>IF(SUM('Distribution 2026-27:Jurisdictional 2026-27'!P8)=0,"",SUM('Distribution 2026-27:Jurisdictional 2026-27'!P8))</f>
        <v/>
      </c>
      <c r="Q8" s="76" t="str">
        <f>IF(SUM('Distribution 2026-27:Jurisdictional 2026-27'!Q8)=0,"",SUM('Distribution 2026-27:Jurisdictional 2026-27'!Q8))</f>
        <v/>
      </c>
      <c r="R8" s="76" t="str">
        <f>IF(SUM('Distribution 2026-27:Jurisdictional 2026-27'!R8)=0,"",SUM('Distribution 2026-27:Jurisdictional 2026-27'!R8))</f>
        <v/>
      </c>
      <c r="S8" s="76" t="str">
        <f>IF(SUM('Distribution 2026-27:Jurisdictional 2026-27'!S8)=0,"",SUM('Distribution 2026-27:Jurisdictional 2026-27'!S8))</f>
        <v/>
      </c>
      <c r="T8" s="76" t="str">
        <f>IF(SUM('Distribution 2026-27:Jurisdictional 2026-27'!T8)=0,"",SUM('Distribution 2026-27:Jurisdictional 2026-27'!T8))</f>
        <v/>
      </c>
      <c r="U8" s="77" t="str">
        <f>IF(SUM('Distribution 2026-27:Jurisdictional 2026-27'!U8)=0,"",SUM('Distribution 2026-27:Jurisdictional 2026-27'!U8))</f>
        <v/>
      </c>
      <c r="V8" s="77" t="str">
        <f>IF(SUM('Distribution 2026-27:Jurisdictional 2026-27'!V8)=0,"",SUM('Distribution 2026-27:Jurisdictional 2026-27'!V8))</f>
        <v/>
      </c>
      <c r="W8" s="77" t="str">
        <f>IF(SUM('Distribution 2026-27:Jurisdictional 2026-27'!W8)=0,"",SUM('Distribution 2026-27:Jurisdictional 2026-27'!W8))</f>
        <v/>
      </c>
      <c r="X8" s="77" t="str">
        <f>IF(SUM('Distribution 2026-27:Jurisdictional 2026-27'!X8)=0,"",SUM('Distribution 2026-27:Jurisdictional 2026-27'!X8))</f>
        <v/>
      </c>
    </row>
    <row r="9" spans="2:28" ht="35.1" customHeight="1" x14ac:dyDescent="0.2">
      <c r="B9" s="88"/>
      <c r="C9" s="11" t="s">
        <v>36</v>
      </c>
      <c r="D9" s="12" t="s">
        <v>37</v>
      </c>
      <c r="E9" s="13" t="s">
        <v>38</v>
      </c>
      <c r="F9" s="12" t="s">
        <v>33</v>
      </c>
      <c r="G9" s="77">
        <f>IF(SUM('Distribution 2026-27:Jurisdictional 2026-27'!G9)=0,"",SUM('Distribution 2026-27:Jurisdictional 2026-27'!G9))</f>
        <v>145.30522170722094</v>
      </c>
      <c r="H9" s="77" t="str">
        <f>IF(SUM('Distribution 2026-27:Jurisdictional 2026-27'!H9)=0,"",SUM('Distribution 2026-27:Jurisdictional 2026-27'!H9))</f>
        <v/>
      </c>
      <c r="I9" s="76">
        <f>IF(SUM('Distribution 2026-27:Jurisdictional 2026-27'!I9)=0,"",SUM('Distribution 2026-27:Jurisdictional 2026-27'!I9))</f>
        <v>13.429651598815571</v>
      </c>
      <c r="J9" s="76">
        <f>IF(SUM('Distribution 2026-27:Jurisdictional 2026-27'!J9)=0,"",SUM('Distribution 2026-27:Jurisdictional 2026-27'!J9))</f>
        <v>13.429651598815571</v>
      </c>
      <c r="K9" s="76" t="str">
        <f>IF(SUM('Distribution 2026-27:Jurisdictional 2026-27'!K9)=0,"",SUM('Distribution 2026-27:Jurisdictional 2026-27'!K9))</f>
        <v/>
      </c>
      <c r="L9" s="76" t="str">
        <f>IF(SUM('Distribution 2026-27:Jurisdictional 2026-27'!L9)=0,"",SUM('Distribution 2026-27:Jurisdictional 2026-27'!L9))</f>
        <v/>
      </c>
      <c r="M9" s="76" t="str">
        <f>IF(SUM('Distribution 2026-27:Jurisdictional 2026-27'!M9)=0,"",SUM('Distribution 2026-27:Jurisdictional 2026-27'!M9))</f>
        <v/>
      </c>
      <c r="N9" s="76" t="str">
        <f>IF(SUM('Distribution 2026-27:Jurisdictional 2026-27'!N9)=0,"",SUM('Distribution 2026-27:Jurisdictional 2026-27'!N9))</f>
        <v/>
      </c>
      <c r="O9" s="76" t="str">
        <f>IF(SUM('Distribution 2026-27:Jurisdictional 2026-27'!O9)=0,"",SUM('Distribution 2026-27:Jurisdictional 2026-27'!O9))</f>
        <v/>
      </c>
      <c r="P9" s="76" t="str">
        <f>IF(SUM('Distribution 2026-27:Jurisdictional 2026-27'!P9)=0,"",SUM('Distribution 2026-27:Jurisdictional 2026-27'!P9))</f>
        <v/>
      </c>
      <c r="Q9" s="76">
        <f>IF(SUM('Distribution 2026-27:Jurisdictional 2026-27'!Q9)=0,"",SUM('Distribution 2026-27:Jurisdictional 2026-27'!Q9))</f>
        <v>4.9004640702879465</v>
      </c>
      <c r="R9" s="76" t="str">
        <f>IF(SUM('Distribution 2026-27:Jurisdictional 2026-27'!R9)=0,"",SUM('Distribution 2026-27:Jurisdictional 2026-27'!R9))</f>
        <v/>
      </c>
      <c r="S9" s="76" t="str">
        <f>IF(SUM('Distribution 2026-27:Jurisdictional 2026-27'!S9)=0,"",SUM('Distribution 2026-27:Jurisdictional 2026-27'!S9))</f>
        <v/>
      </c>
      <c r="T9" s="76" t="str">
        <f>IF(SUM('Distribution 2026-27:Jurisdictional 2026-27'!T9)=0,"",SUM('Distribution 2026-27:Jurisdictional 2026-27'!T9))</f>
        <v/>
      </c>
      <c r="U9" s="77" t="str">
        <f>IF(SUM('Distribution 2026-27:Jurisdictional 2026-27'!U9)=0,"",SUM('Distribution 2026-27:Jurisdictional 2026-27'!U9))</f>
        <v/>
      </c>
      <c r="V9" s="77" t="str">
        <f>IF(SUM('Distribution 2026-27:Jurisdictional 2026-27'!V9)=0,"",SUM('Distribution 2026-27:Jurisdictional 2026-27'!V9))</f>
        <v/>
      </c>
      <c r="W9" s="77" t="str">
        <f>IF(SUM('Distribution 2026-27:Jurisdictional 2026-27'!W9)=0,"",SUM('Distribution 2026-27:Jurisdictional 2026-27'!W9))</f>
        <v/>
      </c>
      <c r="X9" s="77" t="str">
        <f>IF(SUM('Distribution 2026-27:Jurisdictional 2026-27'!X9)=0,"",SUM('Distribution 2026-27:Jurisdictional 2026-27'!X9))</f>
        <v/>
      </c>
      <c r="Y9" s="14"/>
    </row>
    <row r="10" spans="2:28" ht="35.1" customHeight="1" x14ac:dyDescent="0.2">
      <c r="B10" s="88"/>
      <c r="C10" s="11" t="s">
        <v>182</v>
      </c>
      <c r="D10" s="83">
        <v>21</v>
      </c>
      <c r="E10" s="13" t="s">
        <v>39</v>
      </c>
      <c r="F10" s="12" t="s">
        <v>33</v>
      </c>
      <c r="G10" s="77">
        <f>IF(SUM('Distribution 2026-27:Jurisdictional 2026-27'!G10)=0,"",SUM('Distribution 2026-27:Jurisdictional 2026-27'!G10))</f>
        <v>145.30522170722094</v>
      </c>
      <c r="H10" s="77" t="str">
        <f>IF(SUM('Distribution 2026-27:Jurisdictional 2026-27'!H10)=0,"",SUM('Distribution 2026-27:Jurisdictional 2026-27'!H10))</f>
        <v/>
      </c>
      <c r="I10" s="76" t="str">
        <f>IF(SUM('Distribution 2026-27:Jurisdictional 2026-27'!I10)=0,"",SUM('Distribution 2026-27:Jurisdictional 2026-27'!I10))</f>
        <v/>
      </c>
      <c r="J10" s="76" t="str">
        <f>IF(SUM('Distribution 2026-27:Jurisdictional 2026-27'!J10)=0,"",SUM('Distribution 2026-27:Jurisdictional 2026-27'!J10))</f>
        <v/>
      </c>
      <c r="K10" s="76">
        <f>IF(SUM('Distribution 2026-27:Jurisdictional 2026-27'!K10)=0,"",SUM('Distribution 2026-27:Jurisdictional 2026-27'!K10))</f>
        <v>26.955620835167398</v>
      </c>
      <c r="L10" s="76" t="str">
        <f>IF(SUM('Distribution 2026-27:Jurisdictional 2026-27'!L10)=0,"",SUM('Distribution 2026-27:Jurisdictional 2026-27'!L10))</f>
        <v/>
      </c>
      <c r="M10" s="76" t="str">
        <f>IF(SUM('Distribution 2026-27:Jurisdictional 2026-27'!M10)=0,"",SUM('Distribution 2026-27:Jurisdictional 2026-27'!M10))</f>
        <v/>
      </c>
      <c r="N10" s="76" t="str">
        <f>IF(SUM('Distribution 2026-27:Jurisdictional 2026-27'!N10)=0,"",SUM('Distribution 2026-27:Jurisdictional 2026-27'!N10))</f>
        <v/>
      </c>
      <c r="O10" s="76" t="str">
        <f>IF(SUM('Distribution 2026-27:Jurisdictional 2026-27'!O10)=0,"",SUM('Distribution 2026-27:Jurisdictional 2026-27'!O10))</f>
        <v/>
      </c>
      <c r="P10" s="76">
        <f>IF(SUM('Distribution 2026-27:Jurisdictional 2026-27'!P10)=0,"",SUM('Distribution 2026-27:Jurisdictional 2026-27'!P10))</f>
        <v>5.3299438826158552</v>
      </c>
      <c r="Q10" s="76" t="str">
        <f>IF(SUM('Distribution 2026-27:Jurisdictional 2026-27'!Q10)=0,"",SUM('Distribution 2026-27:Jurisdictional 2026-27'!Q10))</f>
        <v/>
      </c>
      <c r="R10" s="76">
        <f>IF(SUM('Distribution 2026-27:Jurisdictional 2026-27'!R10)=0,"",SUM('Distribution 2026-27:Jurisdictional 2026-27'!R10))</f>
        <v>1</v>
      </c>
      <c r="S10" s="76" t="str">
        <f>IF(SUM('Distribution 2026-27:Jurisdictional 2026-27'!S10)=0,"",SUM('Distribution 2026-27:Jurisdictional 2026-27'!S10))</f>
        <v/>
      </c>
      <c r="T10" s="76" t="str">
        <f>IF(SUM('Distribution 2026-27:Jurisdictional 2026-27'!T10)=0,"",SUM('Distribution 2026-27:Jurisdictional 2026-27'!T10))</f>
        <v/>
      </c>
      <c r="U10" s="77" t="str">
        <f>IF(SUM('Distribution 2026-27:Jurisdictional 2026-27'!U10)=0,"",SUM('Distribution 2026-27:Jurisdictional 2026-27'!U10))</f>
        <v/>
      </c>
      <c r="V10" s="77" t="str">
        <f>IF(SUM('Distribution 2026-27:Jurisdictional 2026-27'!V10)=0,"",SUM('Distribution 2026-27:Jurisdictional 2026-27'!V10))</f>
        <v/>
      </c>
      <c r="W10" s="77" t="str">
        <f>IF(SUM('Distribution 2026-27:Jurisdictional 2026-27'!W10)=0,"",SUM('Distribution 2026-27:Jurisdictional 2026-27'!W10))</f>
        <v/>
      </c>
      <c r="X10" s="77" t="str">
        <f>IF(SUM('Distribution 2026-27:Jurisdictional 2026-27'!X10)=0,"",SUM('Distribution 2026-27:Jurisdictional 2026-27'!X10))</f>
        <v/>
      </c>
      <c r="AB10" s="86" t="s">
        <v>196</v>
      </c>
    </row>
    <row r="11" spans="2:28" ht="35.1" customHeight="1" x14ac:dyDescent="0.2">
      <c r="B11" s="88"/>
      <c r="C11" s="11" t="s">
        <v>183</v>
      </c>
      <c r="D11" s="83">
        <v>21</v>
      </c>
      <c r="E11" s="13" t="s">
        <v>40</v>
      </c>
      <c r="F11" s="12" t="s">
        <v>33</v>
      </c>
      <c r="G11" s="77">
        <f>IF(SUM('Distribution 2026-27:Jurisdictional 2026-27'!G11)=0,"",SUM('Distribution 2026-27:Jurisdictional 2026-27'!G11))</f>
        <v>145.30522170722094</v>
      </c>
      <c r="H11" s="77" t="str">
        <f>IF(SUM('Distribution 2026-27:Jurisdictional 2026-27'!H11)=0,"",SUM('Distribution 2026-27:Jurisdictional 2026-27'!H11))</f>
        <v/>
      </c>
      <c r="I11" s="76" t="str">
        <f>IF(SUM('Distribution 2026-27:Jurisdictional 2026-27'!I11)=0,"",SUM('Distribution 2026-27:Jurisdictional 2026-27'!I11))</f>
        <v/>
      </c>
      <c r="J11" s="76" t="str">
        <f>IF(SUM('Distribution 2026-27:Jurisdictional 2026-27'!J11)=0,"",SUM('Distribution 2026-27:Jurisdictional 2026-27'!J11))</f>
        <v/>
      </c>
      <c r="K11" s="76">
        <f>IF(SUM('Distribution 2026-27:Jurisdictional 2026-27'!K11)=0,"",SUM('Distribution 2026-27:Jurisdictional 2026-27'!K11))</f>
        <v>26.955620835167398</v>
      </c>
      <c r="L11" s="76" t="str">
        <f>IF(SUM('Distribution 2026-27:Jurisdictional 2026-27'!L11)=0,"",SUM('Distribution 2026-27:Jurisdictional 2026-27'!L11))</f>
        <v/>
      </c>
      <c r="M11" s="76" t="str">
        <f>IF(SUM('Distribution 2026-27:Jurisdictional 2026-27'!M11)=0,"",SUM('Distribution 2026-27:Jurisdictional 2026-27'!M11))</f>
        <v/>
      </c>
      <c r="N11" s="76" t="str">
        <f>IF(SUM('Distribution 2026-27:Jurisdictional 2026-27'!N11)=0,"",SUM('Distribution 2026-27:Jurisdictional 2026-27'!N11))</f>
        <v/>
      </c>
      <c r="O11" s="76" t="str">
        <f>IF(SUM('Distribution 2026-27:Jurisdictional 2026-27'!O11)=0,"",SUM('Distribution 2026-27:Jurisdictional 2026-27'!O11))</f>
        <v/>
      </c>
      <c r="P11" s="76">
        <f>IF(SUM('Distribution 2026-27:Jurisdictional 2026-27'!P11)=0,"",SUM('Distribution 2026-27:Jurisdictional 2026-27'!P11))</f>
        <v>5.3299438826158552</v>
      </c>
      <c r="Q11" s="76" t="str">
        <f>IF(SUM('Distribution 2026-27:Jurisdictional 2026-27'!Q11)=0,"",SUM('Distribution 2026-27:Jurisdictional 2026-27'!Q11))</f>
        <v/>
      </c>
      <c r="R11" s="76">
        <f>IF(SUM('Distribution 2026-27:Jurisdictional 2026-27'!R11)=0,"",SUM('Distribution 2026-27:Jurisdictional 2026-27'!R11))</f>
        <v>1</v>
      </c>
      <c r="S11" s="76" t="str">
        <f>IF(SUM('Distribution 2026-27:Jurisdictional 2026-27'!S11)=0,"",SUM('Distribution 2026-27:Jurisdictional 2026-27'!S11))</f>
        <v/>
      </c>
      <c r="T11" s="76" t="str">
        <f>IF(SUM('Distribution 2026-27:Jurisdictional 2026-27'!T11)=0,"",SUM('Distribution 2026-27:Jurisdictional 2026-27'!T11))</f>
        <v/>
      </c>
      <c r="U11" s="77" t="str">
        <f>IF(SUM('Distribution 2026-27:Jurisdictional 2026-27'!U11)=0,"",SUM('Distribution 2026-27:Jurisdictional 2026-27'!U11))</f>
        <v/>
      </c>
      <c r="V11" s="77" t="str">
        <f>IF(SUM('Distribution 2026-27:Jurisdictional 2026-27'!V11)=0,"",SUM('Distribution 2026-27:Jurisdictional 2026-27'!V11))</f>
        <v/>
      </c>
      <c r="W11" s="77" t="str">
        <f>IF(SUM('Distribution 2026-27:Jurisdictional 2026-27'!W11)=0,"",SUM('Distribution 2026-27:Jurisdictional 2026-27'!W11))</f>
        <v/>
      </c>
      <c r="X11" s="77" t="str">
        <f>IF(SUM('Distribution 2026-27:Jurisdictional 2026-27'!X11)=0,"",SUM('Distribution 2026-27:Jurisdictional 2026-27'!X11))</f>
        <v/>
      </c>
      <c r="AB11" s="86" t="s">
        <v>197</v>
      </c>
    </row>
    <row r="12" spans="2:28" ht="35.1" customHeight="1" x14ac:dyDescent="0.2">
      <c r="B12" s="88"/>
      <c r="C12" s="11" t="s">
        <v>41</v>
      </c>
      <c r="D12" s="12" t="s">
        <v>184</v>
      </c>
      <c r="E12" s="13" t="s">
        <v>42</v>
      </c>
      <c r="F12" s="15" t="s">
        <v>33</v>
      </c>
      <c r="G12" s="77">
        <f>IF(SUM('Distribution 2026-27:Jurisdictional 2026-27'!G12)=0,"",SUM('Distribution 2026-27:Jurisdictional 2026-27'!G12))</f>
        <v>145.30522170722094</v>
      </c>
      <c r="H12" s="77" t="str">
        <f>IF(SUM('Distribution 2026-27:Jurisdictional 2026-27'!H12)=0,"",SUM('Distribution 2026-27:Jurisdictional 2026-27'!H12))</f>
        <v/>
      </c>
      <c r="I12" s="76" t="str">
        <f>IF(SUM('Distribution 2026-27:Jurisdictional 2026-27'!I12)=0,"",SUM('Distribution 2026-27:Jurisdictional 2026-27'!I12))</f>
        <v/>
      </c>
      <c r="J12" s="76" t="str">
        <f>IF(SUM('Distribution 2026-27:Jurisdictional 2026-27'!J12)=0,"",SUM('Distribution 2026-27:Jurisdictional 2026-27'!J12))</f>
        <v/>
      </c>
      <c r="K12" s="76">
        <f>IF(SUM('Distribution 2026-27:Jurisdictional 2026-27'!K12)=0,"",SUM('Distribution 2026-27:Jurisdictional 2026-27'!K12))</f>
        <v>26.955620835167398</v>
      </c>
      <c r="L12" s="76" t="str">
        <f>IF(SUM('Distribution 2026-27:Jurisdictional 2026-27'!L12)=0,"",SUM('Distribution 2026-27:Jurisdictional 2026-27'!L12))</f>
        <v/>
      </c>
      <c r="M12" s="76" t="str">
        <f>IF(SUM('Distribution 2026-27:Jurisdictional 2026-27'!M12)=0,"",SUM('Distribution 2026-27:Jurisdictional 2026-27'!M12))</f>
        <v/>
      </c>
      <c r="N12" s="76" t="str">
        <f>IF(SUM('Distribution 2026-27:Jurisdictional 2026-27'!N12)=0,"",SUM('Distribution 2026-27:Jurisdictional 2026-27'!N12))</f>
        <v/>
      </c>
      <c r="O12" s="76" t="str">
        <f>IF(SUM('Distribution 2026-27:Jurisdictional 2026-27'!O12)=0,"",SUM('Distribution 2026-27:Jurisdictional 2026-27'!O12))</f>
        <v/>
      </c>
      <c r="P12" s="76">
        <f>IF(SUM('Distribution 2026-27:Jurisdictional 2026-27'!P12)=0,"",SUM('Distribution 2026-27:Jurisdictional 2026-27'!P12))</f>
        <v>5.3299438826158552</v>
      </c>
      <c r="Q12" s="76">
        <f>IF(SUM('Distribution 2026-27:Jurisdictional 2026-27'!Q12)=0,"",SUM('Distribution 2026-27:Jurisdictional 2026-27'!Q12))</f>
        <v>4.9004640702879465</v>
      </c>
      <c r="R12" s="76">
        <f>IF(SUM('Distribution 2026-27:Jurisdictional 2026-27'!R12)=0,"",SUM('Distribution 2026-27:Jurisdictional 2026-27'!R12))</f>
        <v>1</v>
      </c>
      <c r="S12" s="76" t="str">
        <f>IF(SUM('Distribution 2026-27:Jurisdictional 2026-27'!S12)=0,"",SUM('Distribution 2026-27:Jurisdictional 2026-27'!S12))</f>
        <v/>
      </c>
      <c r="T12" s="76" t="str">
        <f>IF(SUM('Distribution 2026-27:Jurisdictional 2026-27'!T12)=0,"",SUM('Distribution 2026-27:Jurisdictional 2026-27'!T12))</f>
        <v/>
      </c>
      <c r="U12" s="77" t="str">
        <f>IF(SUM('Distribution 2026-27:Jurisdictional 2026-27'!U12)=0,"",SUM('Distribution 2026-27:Jurisdictional 2026-27'!U12))</f>
        <v/>
      </c>
      <c r="V12" s="77" t="str">
        <f>IF(SUM('Distribution 2026-27:Jurisdictional 2026-27'!V12)=0,"",SUM('Distribution 2026-27:Jurisdictional 2026-27'!V12))</f>
        <v/>
      </c>
      <c r="W12" s="77" t="str">
        <f>IF(SUM('Distribution 2026-27:Jurisdictional 2026-27'!W12)=0,"",SUM('Distribution 2026-27:Jurisdictional 2026-27'!W12))</f>
        <v/>
      </c>
      <c r="X12" s="77" t="str">
        <f>IF(SUM('Distribution 2026-27:Jurisdictional 2026-27'!X12)=0,"",SUM('Distribution 2026-27:Jurisdictional 2026-27'!X12))</f>
        <v/>
      </c>
    </row>
    <row r="13" spans="2:28" ht="35.1" customHeight="1" x14ac:dyDescent="0.2">
      <c r="B13" s="88"/>
      <c r="C13" s="16" t="s">
        <v>43</v>
      </c>
      <c r="D13" s="15">
        <v>4</v>
      </c>
      <c r="E13" s="17" t="s">
        <v>44</v>
      </c>
      <c r="F13" s="12" t="s">
        <v>45</v>
      </c>
      <c r="G13" s="77">
        <f>IF(SUM('Distribution 2026-27:Jurisdictional 2026-27'!G13)=0,"",SUM('Distribution 2026-27:Jurisdictional 2026-27'!G13))</f>
        <v>145.30522170722094</v>
      </c>
      <c r="H13" s="77" t="str">
        <f>IF(SUM('Distribution 2026-27:Jurisdictional 2026-27'!H13)=0,"",SUM('Distribution 2026-27:Jurisdictional 2026-27'!H13))</f>
        <v/>
      </c>
      <c r="I13" s="76" t="str">
        <f>IF(SUM('Distribution 2026-27:Jurisdictional 2026-27'!I13)=0,"",SUM('Distribution 2026-27:Jurisdictional 2026-27'!I13))</f>
        <v/>
      </c>
      <c r="J13" s="76" t="str">
        <f>IF(SUM('Distribution 2026-27:Jurisdictional 2026-27'!J13)=0,"",SUM('Distribution 2026-27:Jurisdictional 2026-27'!J13))</f>
        <v/>
      </c>
      <c r="K13" s="76">
        <f>IF(SUM('Distribution 2026-27:Jurisdictional 2026-27'!K13)=0,"",SUM('Distribution 2026-27:Jurisdictional 2026-27'!K13))</f>
        <v>12.053443737035353</v>
      </c>
      <c r="L13" s="76" t="str">
        <f>IF(SUM('Distribution 2026-27:Jurisdictional 2026-27'!L13)=0,"",SUM('Distribution 2026-27:Jurisdictional 2026-27'!L13))</f>
        <v/>
      </c>
      <c r="M13" s="76" t="str">
        <f>IF(SUM('Distribution 2026-27:Jurisdictional 2026-27'!M13)=0,"",SUM('Distribution 2026-27:Jurisdictional 2026-27'!M13))</f>
        <v/>
      </c>
      <c r="N13" s="76" t="str">
        <f>IF(SUM('Distribution 2026-27:Jurisdictional 2026-27'!N13)=0,"",SUM('Distribution 2026-27:Jurisdictional 2026-27'!N13))</f>
        <v/>
      </c>
      <c r="O13" s="76" t="str">
        <f>IF(SUM('Distribution 2026-27:Jurisdictional 2026-27'!O13)=0,"",SUM('Distribution 2026-27:Jurisdictional 2026-27'!O13))</f>
        <v/>
      </c>
      <c r="P13" s="76">
        <f>IF(SUM('Distribution 2026-27:Jurisdictional 2026-27'!P13)=0,"",SUM('Distribution 2026-27:Jurisdictional 2026-27'!P13))</f>
        <v>4.6813070175701048</v>
      </c>
      <c r="Q13" s="76" t="str">
        <f>IF(SUM('Distribution 2026-27:Jurisdictional 2026-27'!Q13)=0,"",SUM('Distribution 2026-27:Jurisdictional 2026-27'!Q13))</f>
        <v/>
      </c>
      <c r="R13" s="76" t="str">
        <f>IF(SUM('Distribution 2026-27:Jurisdictional 2026-27'!R13)=0,"",SUM('Distribution 2026-27:Jurisdictional 2026-27'!R13))</f>
        <v/>
      </c>
      <c r="S13" s="76" t="str">
        <f>IF(SUM('Distribution 2026-27:Jurisdictional 2026-27'!S13)=0,"",SUM('Distribution 2026-27:Jurisdictional 2026-27'!S13))</f>
        <v/>
      </c>
      <c r="T13" s="76" t="str">
        <f>IF(SUM('Distribution 2026-27:Jurisdictional 2026-27'!T13)=0,"",SUM('Distribution 2026-27:Jurisdictional 2026-27'!T13))</f>
        <v/>
      </c>
      <c r="U13" s="77" t="str">
        <f>IF(SUM('Distribution 2026-27:Jurisdictional 2026-27'!U13)=0,"",SUM('Distribution 2026-27:Jurisdictional 2026-27'!U13))</f>
        <v/>
      </c>
      <c r="V13" s="77" t="str">
        <f>IF(SUM('Distribution 2026-27:Jurisdictional 2026-27'!V13)=0,"",SUM('Distribution 2026-27:Jurisdictional 2026-27'!V13))</f>
        <v/>
      </c>
      <c r="W13" s="77" t="str">
        <f>IF(SUM('Distribution 2026-27:Jurisdictional 2026-27'!W13)=0,"",SUM('Distribution 2026-27:Jurisdictional 2026-27'!W13))</f>
        <v/>
      </c>
      <c r="X13" s="77" t="str">
        <f>IF(SUM('Distribution 2026-27:Jurisdictional 2026-27'!X13)=0,"",SUM('Distribution 2026-27:Jurisdictional 2026-27'!X13))</f>
        <v/>
      </c>
    </row>
    <row r="14" spans="2:28" ht="35.1" customHeight="1" x14ac:dyDescent="0.2">
      <c r="B14" s="88"/>
      <c r="C14" s="16" t="s">
        <v>46</v>
      </c>
      <c r="D14" s="15">
        <v>7</v>
      </c>
      <c r="E14" s="17" t="s">
        <v>47</v>
      </c>
      <c r="F14" s="12" t="s">
        <v>45</v>
      </c>
      <c r="G14" s="77">
        <f>IF(SUM('Distribution 2026-27:Jurisdictional 2026-27'!G14)=0,"",SUM('Distribution 2026-27:Jurisdictional 2026-27'!G14))</f>
        <v>145.30522170722094</v>
      </c>
      <c r="H14" s="77" t="str">
        <f>IF(SUM('Distribution 2026-27:Jurisdictional 2026-27'!H14)=0,"",SUM('Distribution 2026-27:Jurisdictional 2026-27'!H14))</f>
        <v/>
      </c>
      <c r="I14" s="76" t="str">
        <f>IF(SUM('Distribution 2026-27:Jurisdictional 2026-27'!I14)=0,"",SUM('Distribution 2026-27:Jurisdictional 2026-27'!I14))</f>
        <v/>
      </c>
      <c r="J14" s="76" t="str">
        <f>IF(SUM('Distribution 2026-27:Jurisdictional 2026-27'!J14)=0,"",SUM('Distribution 2026-27:Jurisdictional 2026-27'!J14))</f>
        <v/>
      </c>
      <c r="K14" s="76" t="str">
        <f>IF(SUM('Distribution 2026-27:Jurisdictional 2026-27'!K14)=0,"",SUM('Distribution 2026-27:Jurisdictional 2026-27'!K14))</f>
        <v/>
      </c>
      <c r="L14" s="76" t="str">
        <f>IF(SUM('Distribution 2026-27:Jurisdictional 2026-27'!L14)=0,"",SUM('Distribution 2026-27:Jurisdictional 2026-27'!L14))</f>
        <v/>
      </c>
      <c r="M14" s="76">
        <f>IF(SUM('Distribution 2026-27:Jurisdictional 2026-27'!M14)=0,"",SUM('Distribution 2026-27:Jurisdictional 2026-27'!M14))</f>
        <v>47.802974465287363</v>
      </c>
      <c r="N14" s="76">
        <f>IF(SUM('Distribution 2026-27:Jurisdictional 2026-27'!N14)=0,"",SUM('Distribution 2026-27:Jurisdictional 2026-27'!N14))</f>
        <v>42.259581320329886</v>
      </c>
      <c r="O14" s="76">
        <f>IF(SUM('Distribution 2026-27:Jurisdictional 2026-27'!O14)=0,"",SUM('Distribution 2026-27:Jurisdictional 2026-27'!O14))</f>
        <v>37.414856634409212</v>
      </c>
      <c r="P14" s="76">
        <f>IF(SUM('Distribution 2026-27:Jurisdictional 2026-27'!P14)=0,"",SUM('Distribution 2026-27:Jurisdictional 2026-27'!P14))</f>
        <v>4.8383594355325599</v>
      </c>
      <c r="Q14" s="76" t="str">
        <f>IF(SUM('Distribution 2026-27:Jurisdictional 2026-27'!Q14)=0,"",SUM('Distribution 2026-27:Jurisdictional 2026-27'!Q14))</f>
        <v/>
      </c>
      <c r="R14" s="76" t="str">
        <f>IF(SUM('Distribution 2026-27:Jurisdictional 2026-27'!R14)=0,"",SUM('Distribution 2026-27:Jurisdictional 2026-27'!R14))</f>
        <v/>
      </c>
      <c r="S14" s="76" t="str">
        <f>IF(SUM('Distribution 2026-27:Jurisdictional 2026-27'!S14)=0,"",SUM('Distribution 2026-27:Jurisdictional 2026-27'!S14))</f>
        <v/>
      </c>
      <c r="T14" s="76" t="str">
        <f>IF(SUM('Distribution 2026-27:Jurisdictional 2026-27'!T14)=0,"",SUM('Distribution 2026-27:Jurisdictional 2026-27'!T14))</f>
        <v/>
      </c>
      <c r="U14" s="77" t="str">
        <f>IF(SUM('Distribution 2026-27:Jurisdictional 2026-27'!U14)=0,"",SUM('Distribution 2026-27:Jurisdictional 2026-27'!U14))</f>
        <v/>
      </c>
      <c r="V14" s="77" t="str">
        <f>IF(SUM('Distribution 2026-27:Jurisdictional 2026-27'!V14)=0,"",SUM('Distribution 2026-27:Jurisdictional 2026-27'!V14))</f>
        <v/>
      </c>
      <c r="W14" s="77" t="str">
        <f>IF(SUM('Distribution 2026-27:Jurisdictional 2026-27'!W14)=0,"",SUM('Distribution 2026-27:Jurisdictional 2026-27'!W14))</f>
        <v/>
      </c>
      <c r="X14" s="77" t="str">
        <f>IF(SUM('Distribution 2026-27:Jurisdictional 2026-27'!X14)=0,"",SUM('Distribution 2026-27:Jurisdictional 2026-27'!X14))</f>
        <v/>
      </c>
    </row>
    <row r="15" spans="2:28" ht="35.1" customHeight="1" x14ac:dyDescent="0.2">
      <c r="B15" s="88"/>
      <c r="C15" s="16" t="s">
        <v>48</v>
      </c>
      <c r="D15" s="15">
        <v>7</v>
      </c>
      <c r="E15" s="17" t="s">
        <v>49</v>
      </c>
      <c r="F15" s="12" t="s">
        <v>45</v>
      </c>
      <c r="G15" s="77">
        <f>IF(SUM('Distribution 2026-27:Jurisdictional 2026-27'!G15)=0,"",SUM('Distribution 2026-27:Jurisdictional 2026-27'!G15))</f>
        <v>145.30522170722094</v>
      </c>
      <c r="H15" s="77" t="str">
        <f>IF(SUM('Distribution 2026-27:Jurisdictional 2026-27'!H15)=0,"",SUM('Distribution 2026-27:Jurisdictional 2026-27'!H15))</f>
        <v/>
      </c>
      <c r="I15" s="76" t="str">
        <f>IF(SUM('Distribution 2026-27:Jurisdictional 2026-27'!I15)=0,"",SUM('Distribution 2026-27:Jurisdictional 2026-27'!I15))</f>
        <v/>
      </c>
      <c r="J15" s="76" t="str">
        <f>IF(SUM('Distribution 2026-27:Jurisdictional 2026-27'!J15)=0,"",SUM('Distribution 2026-27:Jurisdictional 2026-27'!J15))</f>
        <v/>
      </c>
      <c r="K15" s="76" t="str">
        <f>IF(SUM('Distribution 2026-27:Jurisdictional 2026-27'!K15)=0,"",SUM('Distribution 2026-27:Jurisdictional 2026-27'!K15))</f>
        <v/>
      </c>
      <c r="L15" s="76" t="str">
        <f>IF(SUM('Distribution 2026-27:Jurisdictional 2026-27'!L15)=0,"",SUM('Distribution 2026-27:Jurisdictional 2026-27'!L15))</f>
        <v/>
      </c>
      <c r="M15" s="76">
        <f>IF(SUM('Distribution 2026-27:Jurisdictional 2026-27'!M15)=0,"",SUM('Distribution 2026-27:Jurisdictional 2026-27'!M15))</f>
        <v>47.802974465287363</v>
      </c>
      <c r="N15" s="76">
        <f>IF(SUM('Distribution 2026-27:Jurisdictional 2026-27'!N15)=0,"",SUM('Distribution 2026-27:Jurisdictional 2026-27'!N15))</f>
        <v>42.259581320329886</v>
      </c>
      <c r="O15" s="76">
        <f>IF(SUM('Distribution 2026-27:Jurisdictional 2026-27'!O15)=0,"",SUM('Distribution 2026-27:Jurisdictional 2026-27'!O15))</f>
        <v>37.414856634409212</v>
      </c>
      <c r="P15" s="76">
        <f>IF(SUM('Distribution 2026-27:Jurisdictional 2026-27'!P15)=0,"",SUM('Distribution 2026-27:Jurisdictional 2026-27'!P15))</f>
        <v>4.8383594355325599</v>
      </c>
      <c r="Q15" s="76" t="str">
        <f>IF(SUM('Distribution 2026-27:Jurisdictional 2026-27'!Q15)=0,"",SUM('Distribution 2026-27:Jurisdictional 2026-27'!Q15))</f>
        <v/>
      </c>
      <c r="R15" s="76" t="str">
        <f>IF(SUM('Distribution 2026-27:Jurisdictional 2026-27'!R15)=0,"",SUM('Distribution 2026-27:Jurisdictional 2026-27'!R15))</f>
        <v/>
      </c>
      <c r="S15" s="76" t="str">
        <f>IF(SUM('Distribution 2026-27:Jurisdictional 2026-27'!S15)=0,"",SUM('Distribution 2026-27:Jurisdictional 2026-27'!S15))</f>
        <v/>
      </c>
      <c r="T15" s="76" t="str">
        <f>IF(SUM('Distribution 2026-27:Jurisdictional 2026-27'!T15)=0,"",SUM('Distribution 2026-27:Jurisdictional 2026-27'!T15))</f>
        <v/>
      </c>
      <c r="U15" s="77" t="str">
        <f>IF(SUM('Distribution 2026-27:Jurisdictional 2026-27'!U15)=0,"",SUM('Distribution 2026-27:Jurisdictional 2026-27'!U15))</f>
        <v/>
      </c>
      <c r="V15" s="77" t="str">
        <f>IF(SUM('Distribution 2026-27:Jurisdictional 2026-27'!V15)=0,"",SUM('Distribution 2026-27:Jurisdictional 2026-27'!V15))</f>
        <v/>
      </c>
      <c r="W15" s="77" t="str">
        <f>IF(SUM('Distribution 2026-27:Jurisdictional 2026-27'!W15)=0,"",SUM('Distribution 2026-27:Jurisdictional 2026-27'!W15))</f>
        <v/>
      </c>
      <c r="X15" s="77" t="str">
        <f>IF(SUM('Distribution 2026-27:Jurisdictional 2026-27'!X15)=0,"",SUM('Distribution 2026-27:Jurisdictional 2026-27'!X15))</f>
        <v/>
      </c>
    </row>
    <row r="16" spans="2:28" ht="35.1" customHeight="1" x14ac:dyDescent="0.2">
      <c r="B16" s="88"/>
      <c r="C16" s="11" t="s">
        <v>50</v>
      </c>
      <c r="D16" s="12">
        <v>9</v>
      </c>
      <c r="E16" s="13" t="s">
        <v>51</v>
      </c>
      <c r="F16" s="12" t="s">
        <v>45</v>
      </c>
      <c r="G16" s="77" t="str">
        <f>IF(SUM('Distribution 2026-27:Jurisdictional 2026-27'!G16)=0,"",SUM('Distribution 2026-27:Jurisdictional 2026-27'!G16))</f>
        <v/>
      </c>
      <c r="H16" s="77" t="str">
        <f>IF(SUM('Distribution 2026-27:Jurisdictional 2026-27'!H16)=0,"",SUM('Distribution 2026-27:Jurisdictional 2026-27'!H16))</f>
        <v/>
      </c>
      <c r="I16" s="76" t="str">
        <f>IF(SUM('Distribution 2026-27:Jurisdictional 2026-27'!I16)=0,"",SUM('Distribution 2026-27:Jurisdictional 2026-27'!I16))</f>
        <v/>
      </c>
      <c r="J16" s="76" t="str">
        <f>IF(SUM('Distribution 2026-27:Jurisdictional 2026-27'!J16)=0,"",SUM('Distribution 2026-27:Jurisdictional 2026-27'!J16))</f>
        <v/>
      </c>
      <c r="K16" s="76" t="str">
        <f>IF(SUM('Distribution 2026-27:Jurisdictional 2026-27'!K16)=0,"",SUM('Distribution 2026-27:Jurisdictional 2026-27'!K16))</f>
        <v/>
      </c>
      <c r="L16" s="76" t="str">
        <f>IF(SUM('Distribution 2026-27:Jurisdictional 2026-27'!L16)=0,"",SUM('Distribution 2026-27:Jurisdictional 2026-27'!L16))</f>
        <v/>
      </c>
      <c r="M16" s="76" t="str">
        <f>IF(SUM('Distribution 2026-27:Jurisdictional 2026-27'!M16)=0,"",SUM('Distribution 2026-27:Jurisdictional 2026-27'!M16))</f>
        <v/>
      </c>
      <c r="N16" s="76" t="str">
        <f>IF(SUM('Distribution 2026-27:Jurisdictional 2026-27'!N16)=0,"",SUM('Distribution 2026-27:Jurisdictional 2026-27'!N16))</f>
        <v/>
      </c>
      <c r="O16" s="76" t="str">
        <f>IF(SUM('Distribution 2026-27:Jurisdictional 2026-27'!O16)=0,"",SUM('Distribution 2026-27:Jurisdictional 2026-27'!O16))</f>
        <v/>
      </c>
      <c r="P16" s="76" t="str">
        <f>IF(SUM('Distribution 2026-27:Jurisdictional 2026-27'!P16)=0,"",SUM('Distribution 2026-27:Jurisdictional 2026-27'!P16))</f>
        <v/>
      </c>
      <c r="Q16" s="76">
        <f>IF(SUM('Distribution 2026-27:Jurisdictional 2026-27'!Q16)=0,"",SUM('Distribution 2026-27:Jurisdictional 2026-27'!Q16))</f>
        <v>4.9004640702879465</v>
      </c>
      <c r="R16" s="76" t="str">
        <f>IF(SUM('Distribution 2026-27:Jurisdictional 2026-27'!R16)=0,"",SUM('Distribution 2026-27:Jurisdictional 2026-27'!R16))</f>
        <v/>
      </c>
      <c r="S16" s="76" t="str">
        <f>IF(SUM('Distribution 2026-27:Jurisdictional 2026-27'!S16)=0,"",SUM('Distribution 2026-27:Jurisdictional 2026-27'!S16))</f>
        <v/>
      </c>
      <c r="T16" s="76" t="str">
        <f>IF(SUM('Distribution 2026-27:Jurisdictional 2026-27'!T16)=0,"",SUM('Distribution 2026-27:Jurisdictional 2026-27'!T16))</f>
        <v/>
      </c>
      <c r="U16" s="77" t="str">
        <f>IF(SUM('Distribution 2026-27:Jurisdictional 2026-27'!U16)=0,"",SUM('Distribution 2026-27:Jurisdictional 2026-27'!U16))</f>
        <v/>
      </c>
      <c r="V16" s="77" t="str">
        <f>IF(SUM('Distribution 2026-27:Jurisdictional 2026-27'!V16)=0,"",SUM('Distribution 2026-27:Jurisdictional 2026-27'!V16))</f>
        <v/>
      </c>
      <c r="W16" s="77" t="str">
        <f>IF(SUM('Distribution 2026-27:Jurisdictional 2026-27'!W16)=0,"",SUM('Distribution 2026-27:Jurisdictional 2026-27'!W16))</f>
        <v/>
      </c>
      <c r="X16" s="77" t="str">
        <f>IF(SUM('Distribution 2026-27:Jurisdictional 2026-27'!X16)=0,"",SUM('Distribution 2026-27:Jurisdictional 2026-27'!X16))</f>
        <v/>
      </c>
    </row>
    <row r="17" spans="2:24" ht="35.1" customHeight="1" x14ac:dyDescent="0.2">
      <c r="B17" s="88"/>
      <c r="C17" s="11" t="s">
        <v>52</v>
      </c>
      <c r="D17" s="12">
        <v>10</v>
      </c>
      <c r="E17" s="13" t="s">
        <v>53</v>
      </c>
      <c r="F17" s="12" t="s">
        <v>45</v>
      </c>
      <c r="G17" s="77" t="str">
        <f>IF(SUM('Distribution 2026-27:Jurisdictional 2026-27'!G17)=0,"",SUM('Distribution 2026-27:Jurisdictional 2026-27'!G17))</f>
        <v/>
      </c>
      <c r="H17" s="77" t="str">
        <f>IF(SUM('Distribution 2026-27:Jurisdictional 2026-27'!H17)=0,"",SUM('Distribution 2026-27:Jurisdictional 2026-27'!H17))</f>
        <v/>
      </c>
      <c r="I17" s="76" t="str">
        <f>IF(SUM('Distribution 2026-27:Jurisdictional 2026-27'!I17)=0,"",SUM('Distribution 2026-27:Jurisdictional 2026-27'!I17))</f>
        <v/>
      </c>
      <c r="J17" s="76" t="str">
        <f>IF(SUM('Distribution 2026-27:Jurisdictional 2026-27'!J17)=0,"",SUM('Distribution 2026-27:Jurisdictional 2026-27'!J17))</f>
        <v/>
      </c>
      <c r="K17" s="76" t="str">
        <f>IF(SUM('Distribution 2026-27:Jurisdictional 2026-27'!K17)=0,"",SUM('Distribution 2026-27:Jurisdictional 2026-27'!K17))</f>
        <v/>
      </c>
      <c r="L17" s="76" t="str">
        <f>IF(SUM('Distribution 2026-27:Jurisdictional 2026-27'!L17)=0,"",SUM('Distribution 2026-27:Jurisdictional 2026-27'!L17))</f>
        <v/>
      </c>
      <c r="M17" s="76" t="str">
        <f>IF(SUM('Distribution 2026-27:Jurisdictional 2026-27'!M17)=0,"",SUM('Distribution 2026-27:Jurisdictional 2026-27'!M17))</f>
        <v/>
      </c>
      <c r="N17" s="76" t="str">
        <f>IF(SUM('Distribution 2026-27:Jurisdictional 2026-27'!N17)=0,"",SUM('Distribution 2026-27:Jurisdictional 2026-27'!N17))</f>
        <v/>
      </c>
      <c r="O17" s="76" t="str">
        <f>IF(SUM('Distribution 2026-27:Jurisdictional 2026-27'!O17)=0,"",SUM('Distribution 2026-27:Jurisdictional 2026-27'!O17))</f>
        <v/>
      </c>
      <c r="P17" s="76" t="str">
        <f>IF(SUM('Distribution 2026-27:Jurisdictional 2026-27'!P17)=0,"",SUM('Distribution 2026-27:Jurisdictional 2026-27'!P17))</f>
        <v/>
      </c>
      <c r="Q17" s="76">
        <f>IF(SUM('Distribution 2026-27:Jurisdictional 2026-27'!Q17)=0,"",SUM('Distribution 2026-27:Jurisdictional 2026-27'!Q17))</f>
        <v>4.9004640702879465</v>
      </c>
      <c r="R17" s="76" t="str">
        <f>IF(SUM('Distribution 2026-27:Jurisdictional 2026-27'!R17)=0,"",SUM('Distribution 2026-27:Jurisdictional 2026-27'!R17))</f>
        <v/>
      </c>
      <c r="S17" s="76" t="str">
        <f>IF(SUM('Distribution 2026-27:Jurisdictional 2026-27'!S17)=0,"",SUM('Distribution 2026-27:Jurisdictional 2026-27'!S17))</f>
        <v/>
      </c>
      <c r="T17" s="76" t="str">
        <f>IF(SUM('Distribution 2026-27:Jurisdictional 2026-27'!T17)=0,"",SUM('Distribution 2026-27:Jurisdictional 2026-27'!T17))</f>
        <v/>
      </c>
      <c r="U17" s="77" t="str">
        <f>IF(SUM('Distribution 2026-27:Jurisdictional 2026-27'!U17)=0,"",SUM('Distribution 2026-27:Jurisdictional 2026-27'!U17))</f>
        <v/>
      </c>
      <c r="V17" s="77" t="str">
        <f>IF(SUM('Distribution 2026-27:Jurisdictional 2026-27'!V17)=0,"",SUM('Distribution 2026-27:Jurisdictional 2026-27'!V17))</f>
        <v/>
      </c>
      <c r="W17" s="77" t="str">
        <f>IF(SUM('Distribution 2026-27:Jurisdictional 2026-27'!W17)=0,"",SUM('Distribution 2026-27:Jurisdictional 2026-27'!W17))</f>
        <v/>
      </c>
      <c r="X17" s="77" t="str">
        <f>IF(SUM('Distribution 2026-27:Jurisdictional 2026-27'!X17)=0,"",SUM('Distribution 2026-27:Jurisdictional 2026-27'!X17))</f>
        <v/>
      </c>
    </row>
    <row r="18" spans="2:24" ht="35.1" customHeight="1" x14ac:dyDescent="0.2">
      <c r="B18" s="88"/>
      <c r="C18" s="11" t="s">
        <v>54</v>
      </c>
      <c r="D18" s="12">
        <v>11</v>
      </c>
      <c r="E18" s="13" t="s">
        <v>55</v>
      </c>
      <c r="F18" s="12" t="s">
        <v>45</v>
      </c>
      <c r="G18" s="77" t="str">
        <f>IF(SUM('Distribution 2026-27:Jurisdictional 2026-27'!G18)=0,"",SUM('Distribution 2026-27:Jurisdictional 2026-27'!G18))</f>
        <v/>
      </c>
      <c r="H18" s="77" t="str">
        <f>IF(SUM('Distribution 2026-27:Jurisdictional 2026-27'!H18)=0,"",SUM('Distribution 2026-27:Jurisdictional 2026-27'!H18))</f>
        <v/>
      </c>
      <c r="I18" s="76" t="str">
        <f>IF(SUM('Distribution 2026-27:Jurisdictional 2026-27'!I18)=0,"",SUM('Distribution 2026-27:Jurisdictional 2026-27'!I18))</f>
        <v/>
      </c>
      <c r="J18" s="76" t="str">
        <f>IF(SUM('Distribution 2026-27:Jurisdictional 2026-27'!J18)=0,"",SUM('Distribution 2026-27:Jurisdictional 2026-27'!J18))</f>
        <v/>
      </c>
      <c r="K18" s="76" t="str">
        <f>IF(SUM('Distribution 2026-27:Jurisdictional 2026-27'!K18)=0,"",SUM('Distribution 2026-27:Jurisdictional 2026-27'!K18))</f>
        <v/>
      </c>
      <c r="L18" s="76" t="str">
        <f>IF(SUM('Distribution 2026-27:Jurisdictional 2026-27'!L18)=0,"",SUM('Distribution 2026-27:Jurisdictional 2026-27'!L18))</f>
        <v/>
      </c>
      <c r="M18" s="76" t="str">
        <f>IF(SUM('Distribution 2026-27:Jurisdictional 2026-27'!M18)=0,"",SUM('Distribution 2026-27:Jurisdictional 2026-27'!M18))</f>
        <v/>
      </c>
      <c r="N18" s="76" t="str">
        <f>IF(SUM('Distribution 2026-27:Jurisdictional 2026-27'!N18)=0,"",SUM('Distribution 2026-27:Jurisdictional 2026-27'!N18))</f>
        <v/>
      </c>
      <c r="O18" s="76" t="str">
        <f>IF(SUM('Distribution 2026-27:Jurisdictional 2026-27'!O18)=0,"",SUM('Distribution 2026-27:Jurisdictional 2026-27'!O18))</f>
        <v/>
      </c>
      <c r="P18" s="76" t="str">
        <f>IF(SUM('Distribution 2026-27:Jurisdictional 2026-27'!P18)=0,"",SUM('Distribution 2026-27:Jurisdictional 2026-27'!P18))</f>
        <v/>
      </c>
      <c r="Q18" s="76">
        <f>IF(SUM('Distribution 2026-27:Jurisdictional 2026-27'!Q18)=0,"",SUM('Distribution 2026-27:Jurisdictional 2026-27'!Q18))</f>
        <v>4.9004640702879465</v>
      </c>
      <c r="R18" s="76" t="str">
        <f>IF(SUM('Distribution 2026-27:Jurisdictional 2026-27'!R18)=0,"",SUM('Distribution 2026-27:Jurisdictional 2026-27'!R18))</f>
        <v/>
      </c>
      <c r="S18" s="76" t="str">
        <f>IF(SUM('Distribution 2026-27:Jurisdictional 2026-27'!S18)=0,"",SUM('Distribution 2026-27:Jurisdictional 2026-27'!S18))</f>
        <v/>
      </c>
      <c r="T18" s="76" t="str">
        <f>IF(SUM('Distribution 2026-27:Jurisdictional 2026-27'!T18)=0,"",SUM('Distribution 2026-27:Jurisdictional 2026-27'!T18))</f>
        <v/>
      </c>
      <c r="U18" s="77" t="str">
        <f>IF(SUM('Distribution 2026-27:Jurisdictional 2026-27'!U18)=0,"",SUM('Distribution 2026-27:Jurisdictional 2026-27'!U18))</f>
        <v/>
      </c>
      <c r="V18" s="77" t="str">
        <f>IF(SUM('Distribution 2026-27:Jurisdictional 2026-27'!V18)=0,"",SUM('Distribution 2026-27:Jurisdictional 2026-27'!V18))</f>
        <v/>
      </c>
      <c r="W18" s="77" t="str">
        <f>IF(SUM('Distribution 2026-27:Jurisdictional 2026-27'!W18)=0,"",SUM('Distribution 2026-27:Jurisdictional 2026-27'!W18))</f>
        <v/>
      </c>
      <c r="X18" s="77" t="str">
        <f>IF(SUM('Distribution 2026-27:Jurisdictional 2026-27'!X18)=0,"",SUM('Distribution 2026-27:Jurisdictional 2026-27'!X18))</f>
        <v/>
      </c>
    </row>
    <row r="19" spans="2:24" ht="35.1" customHeight="1" x14ac:dyDescent="0.2">
      <c r="B19" s="88"/>
      <c r="C19" s="11" t="s">
        <v>56</v>
      </c>
      <c r="D19" s="12">
        <v>19</v>
      </c>
      <c r="E19" s="13" t="s">
        <v>57</v>
      </c>
      <c r="F19" s="12" t="s">
        <v>45</v>
      </c>
      <c r="G19" s="77" t="str">
        <f>IF(SUM('Distribution 2026-27:Jurisdictional 2026-27'!G19)=0,"",SUM('Distribution 2026-27:Jurisdictional 2026-27'!G19))</f>
        <v/>
      </c>
      <c r="H19" s="77" t="str">
        <f>IF(SUM('Distribution 2026-27:Jurisdictional 2026-27'!H19)=0,"",SUM('Distribution 2026-27:Jurisdictional 2026-27'!H19))</f>
        <v/>
      </c>
      <c r="I19" s="76" t="str">
        <f>IF(SUM('Distribution 2026-27:Jurisdictional 2026-27'!I19)=0,"",SUM('Distribution 2026-27:Jurisdictional 2026-27'!I19))</f>
        <v/>
      </c>
      <c r="J19" s="76" t="str">
        <f>IF(SUM('Distribution 2026-27:Jurisdictional 2026-27'!J19)=0,"",SUM('Distribution 2026-27:Jurisdictional 2026-27'!J19))</f>
        <v/>
      </c>
      <c r="K19" s="76" t="str">
        <f>IF(SUM('Distribution 2026-27:Jurisdictional 2026-27'!K19)=0,"",SUM('Distribution 2026-27:Jurisdictional 2026-27'!K19))</f>
        <v/>
      </c>
      <c r="L19" s="76" t="str">
        <f>IF(SUM('Distribution 2026-27:Jurisdictional 2026-27'!L19)=0,"",SUM('Distribution 2026-27:Jurisdictional 2026-27'!L19))</f>
        <v/>
      </c>
      <c r="M19" s="76" t="str">
        <f>IF(SUM('Distribution 2026-27:Jurisdictional 2026-27'!M19)=0,"",SUM('Distribution 2026-27:Jurisdictional 2026-27'!M19))</f>
        <v/>
      </c>
      <c r="N19" s="76" t="str">
        <f>IF(SUM('Distribution 2026-27:Jurisdictional 2026-27'!N19)=0,"",SUM('Distribution 2026-27:Jurisdictional 2026-27'!N19))</f>
        <v/>
      </c>
      <c r="O19" s="76" t="str">
        <f>IF(SUM('Distribution 2026-27:Jurisdictional 2026-27'!O19)=0,"",SUM('Distribution 2026-27:Jurisdictional 2026-27'!O19))</f>
        <v/>
      </c>
      <c r="P19" s="76" t="str">
        <f>IF(SUM('Distribution 2026-27:Jurisdictional 2026-27'!P19)=0,"",SUM('Distribution 2026-27:Jurisdictional 2026-27'!P19))</f>
        <v/>
      </c>
      <c r="Q19" s="76">
        <f>IF(SUM('Distribution 2026-27:Jurisdictional 2026-27'!Q19)=0,"",SUM('Distribution 2026-27:Jurisdictional 2026-27'!Q19))</f>
        <v>4.9004640702879465</v>
      </c>
      <c r="R19" s="76" t="str">
        <f>IF(SUM('Distribution 2026-27:Jurisdictional 2026-27'!R19)=0,"",SUM('Distribution 2026-27:Jurisdictional 2026-27'!R19))</f>
        <v/>
      </c>
      <c r="S19" s="76" t="str">
        <f>IF(SUM('Distribution 2026-27:Jurisdictional 2026-27'!S19)=0,"",SUM('Distribution 2026-27:Jurisdictional 2026-27'!S19))</f>
        <v/>
      </c>
      <c r="T19" s="76" t="str">
        <f>IF(SUM('Distribution 2026-27:Jurisdictional 2026-27'!T19)=0,"",SUM('Distribution 2026-27:Jurisdictional 2026-27'!T19))</f>
        <v/>
      </c>
      <c r="U19" s="77" t="str">
        <f>IF(SUM('Distribution 2026-27:Jurisdictional 2026-27'!U19)=0,"",SUM('Distribution 2026-27:Jurisdictional 2026-27'!U19))</f>
        <v/>
      </c>
      <c r="V19" s="77" t="str">
        <f>IF(SUM('Distribution 2026-27:Jurisdictional 2026-27'!V19)=0,"",SUM('Distribution 2026-27:Jurisdictional 2026-27'!V19))</f>
        <v/>
      </c>
      <c r="W19" s="77" t="str">
        <f>IF(SUM('Distribution 2026-27:Jurisdictional 2026-27'!W19)=0,"",SUM('Distribution 2026-27:Jurisdictional 2026-27'!W19))</f>
        <v/>
      </c>
      <c r="X19" s="77" t="str">
        <f>IF(SUM('Distribution 2026-27:Jurisdictional 2026-27'!X19)=0,"",SUM('Distribution 2026-27:Jurisdictional 2026-27'!X19))</f>
        <v/>
      </c>
    </row>
    <row r="20" spans="2:24" ht="35.1" customHeight="1" x14ac:dyDescent="0.2">
      <c r="B20" s="88"/>
      <c r="C20" s="11" t="s">
        <v>58</v>
      </c>
      <c r="D20" s="12">
        <v>20</v>
      </c>
      <c r="E20" s="13" t="s">
        <v>59</v>
      </c>
      <c r="F20" s="12" t="s">
        <v>33</v>
      </c>
      <c r="G20" s="77">
        <f>IF(SUM('Distribution 2026-27:Jurisdictional 2026-27'!G20)=0,"",SUM('Distribution 2026-27:Jurisdictional 2026-27'!G20))</f>
        <v>145.30522170722094</v>
      </c>
      <c r="H20" s="77" t="str">
        <f>IF(SUM('Distribution 2026-27:Jurisdictional 2026-27'!H20)=0,"",SUM('Distribution 2026-27:Jurisdictional 2026-27'!H20))</f>
        <v/>
      </c>
      <c r="I20" s="76" t="str">
        <f>IF(SUM('Distribution 2026-27:Jurisdictional 2026-27'!I20)=0,"",SUM('Distribution 2026-27:Jurisdictional 2026-27'!I20))</f>
        <v/>
      </c>
      <c r="J20" s="76" t="str">
        <f>IF(SUM('Distribution 2026-27:Jurisdictional 2026-27'!J20)=0,"",SUM('Distribution 2026-27:Jurisdictional 2026-27'!J20))</f>
        <v/>
      </c>
      <c r="K20" s="76">
        <f>IF(SUM('Distribution 2026-27:Jurisdictional 2026-27'!K20)=0,"",SUM('Distribution 2026-27:Jurisdictional 2026-27'!K20))</f>
        <v>26.955620835167398</v>
      </c>
      <c r="L20" s="76" t="str">
        <f>IF(SUM('Distribution 2026-27:Jurisdictional 2026-27'!L20)=0,"",SUM('Distribution 2026-27:Jurisdictional 2026-27'!L20))</f>
        <v/>
      </c>
      <c r="M20" s="76" t="str">
        <f>IF(SUM('Distribution 2026-27:Jurisdictional 2026-27'!M20)=0,"",SUM('Distribution 2026-27:Jurisdictional 2026-27'!M20))</f>
        <v/>
      </c>
      <c r="N20" s="76" t="str">
        <f>IF(SUM('Distribution 2026-27:Jurisdictional 2026-27'!N20)=0,"",SUM('Distribution 2026-27:Jurisdictional 2026-27'!N20))</f>
        <v/>
      </c>
      <c r="O20" s="76" t="str">
        <f>IF(SUM('Distribution 2026-27:Jurisdictional 2026-27'!O20)=0,"",SUM('Distribution 2026-27:Jurisdictional 2026-27'!O20))</f>
        <v/>
      </c>
      <c r="P20" s="76">
        <f>IF(SUM('Distribution 2026-27:Jurisdictional 2026-27'!P20)=0,"",SUM('Distribution 2026-27:Jurisdictional 2026-27'!P20))</f>
        <v>5.3299438826158552</v>
      </c>
      <c r="Q20" s="76" t="str">
        <f>IF(SUM('Distribution 2026-27:Jurisdictional 2026-27'!Q20)=0,"",SUM('Distribution 2026-27:Jurisdictional 2026-27'!Q20))</f>
        <v/>
      </c>
      <c r="R20" s="76">
        <f>IF(SUM('Distribution 2026-27:Jurisdictional 2026-27'!R20)=0,"",SUM('Distribution 2026-27:Jurisdictional 2026-27'!R20))</f>
        <v>1</v>
      </c>
      <c r="S20" s="76">
        <f>IF(SUM('Distribution 2026-27:Jurisdictional 2026-27'!S20)=0,"",SUM('Distribution 2026-27:Jurisdictional 2026-27'!S20))</f>
        <v>1</v>
      </c>
      <c r="T20" s="92">
        <f>IF(SUM('Distribution 2026-27:Jurisdictional 2026-27'!T20)=0,"",SUM('Distribution 2026-27:Jurisdictional 2026-27'!T20))</f>
        <v>-10</v>
      </c>
      <c r="U20" s="77" t="str">
        <f>IF(SUM('Distribution 2026-27:Jurisdictional 2026-27'!U20)=0,"",SUM('Distribution 2026-27:Jurisdictional 2026-27'!U20))</f>
        <v/>
      </c>
      <c r="V20" s="77" t="str">
        <f>IF(SUM('Distribution 2026-27:Jurisdictional 2026-27'!V20)=0,"",SUM('Distribution 2026-27:Jurisdictional 2026-27'!V20))</f>
        <v/>
      </c>
      <c r="W20" s="77" t="str">
        <f>IF(SUM('Distribution 2026-27:Jurisdictional 2026-27'!W20)=0,"",SUM('Distribution 2026-27:Jurisdictional 2026-27'!W20))</f>
        <v/>
      </c>
      <c r="X20" s="77" t="str">
        <f>IF(SUM('Distribution 2026-27:Jurisdictional 2026-27'!X20)=0,"",SUM('Distribution 2026-27:Jurisdictional 2026-27'!X20))</f>
        <v/>
      </c>
    </row>
    <row r="21" spans="2:24" ht="4.5" customHeight="1" x14ac:dyDescent="0.3">
      <c r="B21" s="18"/>
      <c r="C21" s="18"/>
      <c r="D21" s="19"/>
      <c r="E21" s="18"/>
      <c r="F21" s="19"/>
      <c r="G21" s="20"/>
      <c r="H21" s="20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0"/>
      <c r="X21" s="20"/>
    </row>
    <row r="22" spans="2:24" ht="16.5" customHeight="1" x14ac:dyDescent="0.3">
      <c r="B22" s="22" t="s">
        <v>60</v>
      </c>
      <c r="C22" s="18"/>
      <c r="D22" s="19"/>
      <c r="E22" s="18"/>
      <c r="F22" s="19"/>
      <c r="G22" s="20"/>
      <c r="H22" s="2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0"/>
      <c r="X22" s="20"/>
    </row>
    <row r="23" spans="2:24" ht="13.5" x14ac:dyDescent="0.25">
      <c r="B23" s="22" t="s">
        <v>61</v>
      </c>
      <c r="C23" s="22"/>
      <c r="D23" s="22"/>
      <c r="E23" s="22"/>
      <c r="F23" s="22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6"/>
      <c r="S23" s="26"/>
      <c r="T23" s="26"/>
      <c r="U23" s="23"/>
      <c r="V23" s="23"/>
      <c r="W23" s="23"/>
      <c r="X23" s="23"/>
    </row>
    <row r="24" spans="2:24" ht="5.0999999999999996" customHeight="1" x14ac:dyDescent="0.25">
      <c r="B24" s="22"/>
      <c r="C24" s="22"/>
      <c r="D24" s="22"/>
      <c r="E24" s="22"/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6"/>
      <c r="S24" s="26"/>
      <c r="T24" s="26"/>
      <c r="U24" s="23"/>
      <c r="V24" s="23"/>
      <c r="W24" s="23"/>
      <c r="X24" s="23"/>
    </row>
    <row r="25" spans="2:24" ht="62.1" customHeight="1" x14ac:dyDescent="0.2">
      <c r="B25" s="5" t="s">
        <v>14</v>
      </c>
      <c r="C25" s="6" t="s">
        <v>15</v>
      </c>
      <c r="D25" s="7" t="s">
        <v>16</v>
      </c>
      <c r="E25" s="6" t="s">
        <v>17</v>
      </c>
      <c r="F25" s="5" t="s">
        <v>18</v>
      </c>
      <c r="G25" s="5" t="s">
        <v>0</v>
      </c>
      <c r="H25" s="5" t="s">
        <v>1</v>
      </c>
      <c r="I25" s="5" t="s">
        <v>2</v>
      </c>
      <c r="J25" s="5" t="s">
        <v>3</v>
      </c>
      <c r="K25" s="5" t="s">
        <v>4</v>
      </c>
      <c r="L25" s="5" t="s">
        <v>19</v>
      </c>
      <c r="M25" s="5" t="s">
        <v>6</v>
      </c>
      <c r="N25" s="5" t="s">
        <v>7</v>
      </c>
      <c r="O25" s="5" t="s">
        <v>8</v>
      </c>
      <c r="P25" s="5" t="s">
        <v>20</v>
      </c>
      <c r="Q25" s="5" t="s">
        <v>10</v>
      </c>
      <c r="R25" s="5" t="s">
        <v>11</v>
      </c>
      <c r="S25" s="5" t="s">
        <v>12</v>
      </c>
      <c r="T25" s="5" t="s">
        <v>13</v>
      </c>
      <c r="U25" s="5" t="s">
        <v>22</v>
      </c>
      <c r="V25" s="5" t="s">
        <v>23</v>
      </c>
      <c r="W25" s="5" t="s">
        <v>24</v>
      </c>
      <c r="X25" s="5" t="s">
        <v>25</v>
      </c>
    </row>
    <row r="26" spans="2:24" ht="18" customHeight="1" x14ac:dyDescent="0.2">
      <c r="B26" s="8"/>
      <c r="C26" s="8"/>
      <c r="D26" s="9"/>
      <c r="E26" s="8"/>
      <c r="F26" s="9"/>
      <c r="G26" s="9" t="s">
        <v>26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27</v>
      </c>
      <c r="N26" s="9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28</v>
      </c>
      <c r="V26" s="9" t="s">
        <v>28</v>
      </c>
      <c r="W26" s="9" t="s">
        <v>29</v>
      </c>
      <c r="X26" s="9" t="s">
        <v>29</v>
      </c>
    </row>
    <row r="27" spans="2:24" ht="35.1" customHeight="1" x14ac:dyDescent="0.2">
      <c r="B27" s="87" t="s">
        <v>62</v>
      </c>
      <c r="C27" s="27" t="s">
        <v>63</v>
      </c>
      <c r="D27" s="10">
        <v>1</v>
      </c>
      <c r="E27" s="28" t="s">
        <v>32</v>
      </c>
      <c r="F27" s="10" t="s">
        <v>33</v>
      </c>
      <c r="G27" s="77">
        <f>IF(SUM('Distribution 2026-27:Jurisdictional 2026-27'!G27)=0,"",SUM('Distribution 2026-27:Jurisdictional 2026-27'!G27))</f>
        <v>148.93785224990143</v>
      </c>
      <c r="H27" s="77" t="str">
        <f>IF(SUM('Distribution 2026-27:Jurisdictional 2026-27'!H27)=0,"",SUM('Distribution 2026-27:Jurisdictional 2026-27'!H27))</f>
        <v/>
      </c>
      <c r="I27" s="76">
        <f>IF(SUM('Distribution 2026-27:Jurisdictional 2026-27'!I27)=0,"",SUM('Distribution 2026-27:Jurisdictional 2026-27'!I27))</f>
        <v>17.607283871888157</v>
      </c>
      <c r="J27" s="76">
        <f>IF(SUM('Distribution 2026-27:Jurisdictional 2026-27'!J27)=0,"",SUM('Distribution 2026-27:Jurisdictional 2026-27'!J27))</f>
        <v>17.607283871888157</v>
      </c>
      <c r="K27" s="76" t="str">
        <f>IF(SUM('Distribution 2026-27:Jurisdictional 2026-27'!K27)=0,"",SUM('Distribution 2026-27:Jurisdictional 2026-27'!K27))</f>
        <v/>
      </c>
      <c r="L27" s="76" t="str">
        <f>IF(SUM('Distribution 2026-27:Jurisdictional 2026-27'!L27)=0,"",SUM('Distribution 2026-27:Jurisdictional 2026-27'!L27))</f>
        <v/>
      </c>
      <c r="M27" s="76" t="str">
        <f>IF(SUM('Distribution 2026-27:Jurisdictional 2026-27'!M27)=0,"",SUM('Distribution 2026-27:Jurisdictional 2026-27'!M27))</f>
        <v/>
      </c>
      <c r="N27" s="76" t="str">
        <f>IF(SUM('Distribution 2026-27:Jurisdictional 2026-27'!N27)=0,"",SUM('Distribution 2026-27:Jurisdictional 2026-27'!N27))</f>
        <v/>
      </c>
      <c r="O27" s="76" t="str">
        <f>IF(SUM('Distribution 2026-27:Jurisdictional 2026-27'!O27)=0,"",SUM('Distribution 2026-27:Jurisdictional 2026-27'!O27))</f>
        <v/>
      </c>
      <c r="P27" s="76" t="str">
        <f>IF(SUM('Distribution 2026-27:Jurisdictional 2026-27'!P27)=0,"",SUM('Distribution 2026-27:Jurisdictional 2026-27'!P27))</f>
        <v/>
      </c>
      <c r="Q27" s="76" t="str">
        <f>IF(SUM('Distribution 2026-27:Jurisdictional 2026-27'!Q27)=0,"",SUM('Distribution 2026-27:Jurisdictional 2026-27'!Q27))</f>
        <v/>
      </c>
      <c r="R27" s="77" t="str">
        <f>IF(SUM('Distribution 2026-27:Jurisdictional 2026-27'!R27)=0,"",SUM('Distribution 2026-27:Jurisdictional 2026-27'!R27))</f>
        <v/>
      </c>
      <c r="S27" s="77" t="str">
        <f>IF(SUM('Distribution 2026-27:Jurisdictional 2026-27'!S27)=0,"",SUM('Distribution 2026-27:Jurisdictional 2026-27'!S27))</f>
        <v/>
      </c>
      <c r="T27" s="77" t="str">
        <f>IF(SUM('Distribution 2026-27:Jurisdictional 2026-27'!T27)=0,"",SUM('Distribution 2026-27:Jurisdictional 2026-27'!T27))</f>
        <v/>
      </c>
      <c r="U27" s="77" t="str">
        <f>IF(SUM('Distribution 2026-27:Jurisdictional 2026-27'!U27)=0,"",SUM('Distribution 2026-27:Jurisdictional 2026-27'!U27))</f>
        <v/>
      </c>
      <c r="V27" s="77" t="str">
        <f>IF(SUM('Distribution 2026-27:Jurisdictional 2026-27'!V27)=0,"",SUM('Distribution 2026-27:Jurisdictional 2026-27'!V27))</f>
        <v/>
      </c>
      <c r="W27" s="77" t="str">
        <f>IF(SUM('Distribution 2026-27:Jurisdictional 2026-27'!W27)=0,"",SUM('Distribution 2026-27:Jurisdictional 2026-27'!W27))</f>
        <v/>
      </c>
      <c r="X27" s="77" t="str">
        <f>IF(SUM('Distribution 2026-27:Jurisdictional 2026-27'!X27)=0,"",SUM('Distribution 2026-27:Jurisdictional 2026-27'!X27))</f>
        <v/>
      </c>
    </row>
    <row r="28" spans="2:24" ht="35.1" customHeight="1" x14ac:dyDescent="0.2">
      <c r="B28" s="87"/>
      <c r="C28" s="27" t="s">
        <v>64</v>
      </c>
      <c r="D28" s="10">
        <v>1</v>
      </c>
      <c r="E28" s="28" t="s">
        <v>35</v>
      </c>
      <c r="F28" s="10" t="s">
        <v>33</v>
      </c>
      <c r="G28" s="77">
        <f>IF(SUM('Distribution 2026-27:Jurisdictional 2026-27'!G28)=0,"",SUM('Distribution 2026-27:Jurisdictional 2026-27'!G28))</f>
        <v>148.93785224990143</v>
      </c>
      <c r="H28" s="77" t="str">
        <f>IF(SUM('Distribution 2026-27:Jurisdictional 2026-27'!H28)=0,"",SUM('Distribution 2026-27:Jurisdictional 2026-27'!H28))</f>
        <v/>
      </c>
      <c r="I28" s="76">
        <f>IF(SUM('Distribution 2026-27:Jurisdictional 2026-27'!I28)=0,"",SUM('Distribution 2026-27:Jurisdictional 2026-27'!I28))</f>
        <v>17.607283871888157</v>
      </c>
      <c r="J28" s="76">
        <f>IF(SUM('Distribution 2026-27:Jurisdictional 2026-27'!J28)=0,"",SUM('Distribution 2026-27:Jurisdictional 2026-27'!J28))</f>
        <v>17.607283871888157</v>
      </c>
      <c r="K28" s="76" t="str">
        <f>IF(SUM('Distribution 2026-27:Jurisdictional 2026-27'!K28)=0,"",SUM('Distribution 2026-27:Jurisdictional 2026-27'!K28))</f>
        <v/>
      </c>
      <c r="L28" s="76" t="str">
        <f>IF(SUM('Distribution 2026-27:Jurisdictional 2026-27'!L28)=0,"",SUM('Distribution 2026-27:Jurisdictional 2026-27'!L28))</f>
        <v/>
      </c>
      <c r="M28" s="76" t="str">
        <f>IF(SUM('Distribution 2026-27:Jurisdictional 2026-27'!M28)=0,"",SUM('Distribution 2026-27:Jurisdictional 2026-27'!M28))</f>
        <v/>
      </c>
      <c r="N28" s="76" t="str">
        <f>IF(SUM('Distribution 2026-27:Jurisdictional 2026-27'!N28)=0,"",SUM('Distribution 2026-27:Jurisdictional 2026-27'!N28))</f>
        <v/>
      </c>
      <c r="O28" s="76" t="str">
        <f>IF(SUM('Distribution 2026-27:Jurisdictional 2026-27'!O28)=0,"",SUM('Distribution 2026-27:Jurisdictional 2026-27'!O28))</f>
        <v/>
      </c>
      <c r="P28" s="76" t="str">
        <f>IF(SUM('Distribution 2026-27:Jurisdictional 2026-27'!P28)=0,"",SUM('Distribution 2026-27:Jurisdictional 2026-27'!P28))</f>
        <v/>
      </c>
      <c r="Q28" s="76" t="str">
        <f>IF(SUM('Distribution 2026-27:Jurisdictional 2026-27'!Q28)=0,"",SUM('Distribution 2026-27:Jurisdictional 2026-27'!Q28))</f>
        <v/>
      </c>
      <c r="R28" s="77" t="str">
        <f>IF(SUM('Distribution 2026-27:Jurisdictional 2026-27'!R28)=0,"",SUM('Distribution 2026-27:Jurisdictional 2026-27'!R28))</f>
        <v/>
      </c>
      <c r="S28" s="77" t="str">
        <f>IF(SUM('Distribution 2026-27:Jurisdictional 2026-27'!S28)=0,"",SUM('Distribution 2026-27:Jurisdictional 2026-27'!S28))</f>
        <v/>
      </c>
      <c r="T28" s="77" t="str">
        <f>IF(SUM('Distribution 2026-27:Jurisdictional 2026-27'!T28)=0,"",SUM('Distribution 2026-27:Jurisdictional 2026-27'!T28))</f>
        <v/>
      </c>
      <c r="U28" s="77" t="str">
        <f>IF(SUM('Distribution 2026-27:Jurisdictional 2026-27'!U28)=0,"",SUM('Distribution 2026-27:Jurisdictional 2026-27'!U28))</f>
        <v/>
      </c>
      <c r="V28" s="77" t="str">
        <f>IF(SUM('Distribution 2026-27:Jurisdictional 2026-27'!V28)=0,"",SUM('Distribution 2026-27:Jurisdictional 2026-27'!V28))</f>
        <v/>
      </c>
      <c r="W28" s="77" t="str">
        <f>IF(SUM('Distribution 2026-27:Jurisdictional 2026-27'!W28)=0,"",SUM('Distribution 2026-27:Jurisdictional 2026-27'!W28))</f>
        <v/>
      </c>
      <c r="X28" s="77" t="str">
        <f>IF(SUM('Distribution 2026-27:Jurisdictional 2026-27'!X28)=0,"",SUM('Distribution 2026-27:Jurisdictional 2026-27'!X28))</f>
        <v/>
      </c>
    </row>
    <row r="29" spans="2:24" ht="35.1" customHeight="1" x14ac:dyDescent="0.2">
      <c r="B29" s="87"/>
      <c r="C29" s="27" t="s">
        <v>65</v>
      </c>
      <c r="D29" s="10" t="s">
        <v>66</v>
      </c>
      <c r="E29" s="28" t="s">
        <v>67</v>
      </c>
      <c r="F29" s="10" t="s">
        <v>45</v>
      </c>
      <c r="G29" s="77">
        <f>IF(SUM('Distribution 2026-27:Jurisdictional 2026-27'!G29)=0,"",SUM('Distribution 2026-27:Jurisdictional 2026-27'!G29))</f>
        <v>148.93785224990143</v>
      </c>
      <c r="H29" s="77" t="str">
        <f>IF(SUM('Distribution 2026-27:Jurisdictional 2026-27'!H29)=0,"",SUM('Distribution 2026-27:Jurisdictional 2026-27'!H29))</f>
        <v/>
      </c>
      <c r="I29" s="76">
        <f>IF(SUM('Distribution 2026-27:Jurisdictional 2026-27'!I29)=0,"",SUM('Distribution 2026-27:Jurisdictional 2026-27'!I29))</f>
        <v>17.607283871888157</v>
      </c>
      <c r="J29" s="76">
        <f>IF(SUM('Distribution 2026-27:Jurisdictional 2026-27'!J29)=0,"",SUM('Distribution 2026-27:Jurisdictional 2026-27'!J29))</f>
        <v>17.607283871888157</v>
      </c>
      <c r="K29" s="76" t="str">
        <f>IF(SUM('Distribution 2026-27:Jurisdictional 2026-27'!K29)=0,"",SUM('Distribution 2026-27:Jurisdictional 2026-27'!K29))</f>
        <v/>
      </c>
      <c r="L29" s="76" t="str">
        <f>IF(SUM('Distribution 2026-27:Jurisdictional 2026-27'!L29)=0,"",SUM('Distribution 2026-27:Jurisdictional 2026-27'!L29))</f>
        <v/>
      </c>
      <c r="M29" s="76" t="str">
        <f>IF(SUM('Distribution 2026-27:Jurisdictional 2026-27'!M29)=0,"",SUM('Distribution 2026-27:Jurisdictional 2026-27'!M29))</f>
        <v/>
      </c>
      <c r="N29" s="76" t="str">
        <f>IF(SUM('Distribution 2026-27:Jurisdictional 2026-27'!N29)=0,"",SUM('Distribution 2026-27:Jurisdictional 2026-27'!N29))</f>
        <v/>
      </c>
      <c r="O29" s="76" t="str">
        <f>IF(SUM('Distribution 2026-27:Jurisdictional 2026-27'!O29)=0,"",SUM('Distribution 2026-27:Jurisdictional 2026-27'!O29))</f>
        <v/>
      </c>
      <c r="P29" s="76" t="str">
        <f>IF(SUM('Distribution 2026-27:Jurisdictional 2026-27'!P29)=0,"",SUM('Distribution 2026-27:Jurisdictional 2026-27'!P29))</f>
        <v/>
      </c>
      <c r="Q29" s="76">
        <f>IF(SUM('Distribution 2026-27:Jurisdictional 2026-27'!Q29)=0,"",SUM('Distribution 2026-27:Jurisdictional 2026-27'!Q29))</f>
        <v>4.8892218977598558</v>
      </c>
      <c r="R29" s="77" t="str">
        <f>IF(SUM('Distribution 2026-27:Jurisdictional 2026-27'!R29)=0,"",SUM('Distribution 2026-27:Jurisdictional 2026-27'!R29))</f>
        <v/>
      </c>
      <c r="S29" s="77" t="str">
        <f>IF(SUM('Distribution 2026-27:Jurisdictional 2026-27'!S29)=0,"",SUM('Distribution 2026-27:Jurisdictional 2026-27'!S29))</f>
        <v/>
      </c>
      <c r="T29" s="77" t="str">
        <f>IF(SUM('Distribution 2026-27:Jurisdictional 2026-27'!T29)=0,"",SUM('Distribution 2026-27:Jurisdictional 2026-27'!T29))</f>
        <v/>
      </c>
      <c r="U29" s="77" t="str">
        <f>IF(SUM('Distribution 2026-27:Jurisdictional 2026-27'!U29)=0,"",SUM('Distribution 2026-27:Jurisdictional 2026-27'!U29))</f>
        <v/>
      </c>
      <c r="V29" s="77" t="str">
        <f>IF(SUM('Distribution 2026-27:Jurisdictional 2026-27'!V29)=0,"",SUM('Distribution 2026-27:Jurisdictional 2026-27'!V29))</f>
        <v/>
      </c>
      <c r="W29" s="77" t="str">
        <f>IF(SUM('Distribution 2026-27:Jurisdictional 2026-27'!W29)=0,"",SUM('Distribution 2026-27:Jurisdictional 2026-27'!W29))</f>
        <v/>
      </c>
      <c r="X29" s="77" t="str">
        <f>IF(SUM('Distribution 2026-27:Jurisdictional 2026-27'!X29)=0,"",SUM('Distribution 2026-27:Jurisdictional 2026-27'!X29))</f>
        <v/>
      </c>
    </row>
    <row r="30" spans="2:24" ht="35.1" customHeight="1" x14ac:dyDescent="0.2">
      <c r="B30" s="87"/>
      <c r="C30" s="27" t="s">
        <v>68</v>
      </c>
      <c r="D30" s="10" t="s">
        <v>69</v>
      </c>
      <c r="E30" s="28" t="s">
        <v>70</v>
      </c>
      <c r="F30" s="10" t="s">
        <v>45</v>
      </c>
      <c r="G30" s="77">
        <f>IF(SUM('Distribution 2026-27:Jurisdictional 2026-27'!G30)=0,"",SUM('Distribution 2026-27:Jurisdictional 2026-27'!G30))</f>
        <v>148.93785224990143</v>
      </c>
      <c r="H30" s="77" t="str">
        <f>IF(SUM('Distribution 2026-27:Jurisdictional 2026-27'!H30)=0,"",SUM('Distribution 2026-27:Jurisdictional 2026-27'!H30))</f>
        <v/>
      </c>
      <c r="I30" s="76">
        <f>IF(SUM('Distribution 2026-27:Jurisdictional 2026-27'!I30)=0,"",SUM('Distribution 2026-27:Jurisdictional 2026-27'!I30))</f>
        <v>17.607283871888157</v>
      </c>
      <c r="J30" s="76">
        <f>IF(SUM('Distribution 2026-27:Jurisdictional 2026-27'!J30)=0,"",SUM('Distribution 2026-27:Jurisdictional 2026-27'!J30))</f>
        <v>17.607283871888157</v>
      </c>
      <c r="K30" s="76" t="str">
        <f>IF(SUM('Distribution 2026-27:Jurisdictional 2026-27'!K30)=0,"",SUM('Distribution 2026-27:Jurisdictional 2026-27'!K30))</f>
        <v/>
      </c>
      <c r="L30" s="76" t="str">
        <f>IF(SUM('Distribution 2026-27:Jurisdictional 2026-27'!L30)=0,"",SUM('Distribution 2026-27:Jurisdictional 2026-27'!L30))</f>
        <v/>
      </c>
      <c r="M30" s="76" t="str">
        <f>IF(SUM('Distribution 2026-27:Jurisdictional 2026-27'!M30)=0,"",SUM('Distribution 2026-27:Jurisdictional 2026-27'!M30))</f>
        <v/>
      </c>
      <c r="N30" s="76" t="str">
        <f>IF(SUM('Distribution 2026-27:Jurisdictional 2026-27'!N30)=0,"",SUM('Distribution 2026-27:Jurisdictional 2026-27'!N30))</f>
        <v/>
      </c>
      <c r="O30" s="76" t="str">
        <f>IF(SUM('Distribution 2026-27:Jurisdictional 2026-27'!O30)=0,"",SUM('Distribution 2026-27:Jurisdictional 2026-27'!O30))</f>
        <v/>
      </c>
      <c r="P30" s="76" t="str">
        <f>IF(SUM('Distribution 2026-27:Jurisdictional 2026-27'!P30)=0,"",SUM('Distribution 2026-27:Jurisdictional 2026-27'!P30))</f>
        <v/>
      </c>
      <c r="Q30" s="76">
        <f>IF(SUM('Distribution 2026-27:Jurisdictional 2026-27'!Q30)=0,"",SUM('Distribution 2026-27:Jurisdictional 2026-27'!Q30))</f>
        <v>4.8892218977598558</v>
      </c>
      <c r="R30" s="77" t="str">
        <f>IF(SUM('Distribution 2026-27:Jurisdictional 2026-27'!R30)=0,"",SUM('Distribution 2026-27:Jurisdictional 2026-27'!R30))</f>
        <v/>
      </c>
      <c r="S30" s="77" t="str">
        <f>IF(SUM('Distribution 2026-27:Jurisdictional 2026-27'!S30)=0,"",SUM('Distribution 2026-27:Jurisdictional 2026-27'!S30))</f>
        <v/>
      </c>
      <c r="T30" s="77" t="str">
        <f>IF(SUM('Distribution 2026-27:Jurisdictional 2026-27'!T30)=0,"",SUM('Distribution 2026-27:Jurisdictional 2026-27'!T30))</f>
        <v/>
      </c>
      <c r="U30" s="77" t="str">
        <f>IF(SUM('Distribution 2026-27:Jurisdictional 2026-27'!U30)=0,"",SUM('Distribution 2026-27:Jurisdictional 2026-27'!U30))</f>
        <v/>
      </c>
      <c r="V30" s="77" t="str">
        <f>IF(SUM('Distribution 2026-27:Jurisdictional 2026-27'!V30)=0,"",SUM('Distribution 2026-27:Jurisdictional 2026-27'!V30))</f>
        <v/>
      </c>
      <c r="W30" s="77" t="str">
        <f>IF(SUM('Distribution 2026-27:Jurisdictional 2026-27'!W30)=0,"",SUM('Distribution 2026-27:Jurisdictional 2026-27'!W30))</f>
        <v/>
      </c>
      <c r="X30" s="77" t="str">
        <f>IF(SUM('Distribution 2026-27:Jurisdictional 2026-27'!X30)=0,"",SUM('Distribution 2026-27:Jurisdictional 2026-27'!X30))</f>
        <v/>
      </c>
    </row>
    <row r="31" spans="2:24" ht="35.1" customHeight="1" x14ac:dyDescent="0.2">
      <c r="B31" s="87"/>
      <c r="C31" s="27" t="s">
        <v>71</v>
      </c>
      <c r="D31" s="10" t="s">
        <v>72</v>
      </c>
      <c r="E31" s="28" t="s">
        <v>73</v>
      </c>
      <c r="F31" s="10" t="s">
        <v>45</v>
      </c>
      <c r="G31" s="77">
        <f>IF(SUM('Distribution 2026-27:Jurisdictional 2026-27'!G31)=0,"",SUM('Distribution 2026-27:Jurisdictional 2026-27'!G31))</f>
        <v>148.93785224990143</v>
      </c>
      <c r="H31" s="77" t="str">
        <f>IF(SUM('Distribution 2026-27:Jurisdictional 2026-27'!H31)=0,"",SUM('Distribution 2026-27:Jurisdictional 2026-27'!H31))</f>
        <v/>
      </c>
      <c r="I31" s="76">
        <f>IF(SUM('Distribution 2026-27:Jurisdictional 2026-27'!I31)=0,"",SUM('Distribution 2026-27:Jurisdictional 2026-27'!I31))</f>
        <v>17.607283871888157</v>
      </c>
      <c r="J31" s="76">
        <f>IF(SUM('Distribution 2026-27:Jurisdictional 2026-27'!J31)=0,"",SUM('Distribution 2026-27:Jurisdictional 2026-27'!J31))</f>
        <v>17.607283871888157</v>
      </c>
      <c r="K31" s="76" t="str">
        <f>IF(SUM('Distribution 2026-27:Jurisdictional 2026-27'!K31)=0,"",SUM('Distribution 2026-27:Jurisdictional 2026-27'!K31))</f>
        <v/>
      </c>
      <c r="L31" s="76" t="str">
        <f>IF(SUM('Distribution 2026-27:Jurisdictional 2026-27'!L31)=0,"",SUM('Distribution 2026-27:Jurisdictional 2026-27'!L31))</f>
        <v/>
      </c>
      <c r="M31" s="76" t="str">
        <f>IF(SUM('Distribution 2026-27:Jurisdictional 2026-27'!M31)=0,"",SUM('Distribution 2026-27:Jurisdictional 2026-27'!M31))</f>
        <v/>
      </c>
      <c r="N31" s="76" t="str">
        <f>IF(SUM('Distribution 2026-27:Jurisdictional 2026-27'!N31)=0,"",SUM('Distribution 2026-27:Jurisdictional 2026-27'!N31))</f>
        <v/>
      </c>
      <c r="O31" s="76" t="str">
        <f>IF(SUM('Distribution 2026-27:Jurisdictional 2026-27'!O31)=0,"",SUM('Distribution 2026-27:Jurisdictional 2026-27'!O31))</f>
        <v/>
      </c>
      <c r="P31" s="76" t="str">
        <f>IF(SUM('Distribution 2026-27:Jurisdictional 2026-27'!P31)=0,"",SUM('Distribution 2026-27:Jurisdictional 2026-27'!P31))</f>
        <v/>
      </c>
      <c r="Q31" s="76">
        <f>IF(SUM('Distribution 2026-27:Jurisdictional 2026-27'!Q31)=0,"",SUM('Distribution 2026-27:Jurisdictional 2026-27'!Q31))</f>
        <v>4.8892218977598558</v>
      </c>
      <c r="R31" s="77" t="str">
        <f>IF(SUM('Distribution 2026-27:Jurisdictional 2026-27'!R31)=0,"",SUM('Distribution 2026-27:Jurisdictional 2026-27'!R31))</f>
        <v/>
      </c>
      <c r="S31" s="77" t="str">
        <f>IF(SUM('Distribution 2026-27:Jurisdictional 2026-27'!S31)=0,"",SUM('Distribution 2026-27:Jurisdictional 2026-27'!S31))</f>
        <v/>
      </c>
      <c r="T31" s="77" t="str">
        <f>IF(SUM('Distribution 2026-27:Jurisdictional 2026-27'!T31)=0,"",SUM('Distribution 2026-27:Jurisdictional 2026-27'!T31))</f>
        <v/>
      </c>
      <c r="U31" s="77" t="str">
        <f>IF(SUM('Distribution 2026-27:Jurisdictional 2026-27'!U31)=0,"",SUM('Distribution 2026-27:Jurisdictional 2026-27'!U31))</f>
        <v/>
      </c>
      <c r="V31" s="77" t="str">
        <f>IF(SUM('Distribution 2026-27:Jurisdictional 2026-27'!V31)=0,"",SUM('Distribution 2026-27:Jurisdictional 2026-27'!V31))</f>
        <v/>
      </c>
      <c r="W31" s="77" t="str">
        <f>IF(SUM('Distribution 2026-27:Jurisdictional 2026-27'!W31)=0,"",SUM('Distribution 2026-27:Jurisdictional 2026-27'!W31))</f>
        <v/>
      </c>
      <c r="X31" s="77" t="str">
        <f>IF(SUM('Distribution 2026-27:Jurisdictional 2026-27'!X31)=0,"",SUM('Distribution 2026-27:Jurisdictional 2026-27'!X31))</f>
        <v/>
      </c>
    </row>
    <row r="32" spans="2:24" ht="35.1" customHeight="1" x14ac:dyDescent="0.2">
      <c r="B32" s="87"/>
      <c r="C32" s="27" t="s">
        <v>74</v>
      </c>
      <c r="D32" s="10">
        <v>17</v>
      </c>
      <c r="E32" s="28" t="s">
        <v>75</v>
      </c>
      <c r="F32" s="29" t="s">
        <v>33</v>
      </c>
      <c r="G32" s="77">
        <f>IF(SUM('Distribution 2026-27:Jurisdictional 2026-27'!G32)=0,"",SUM('Distribution 2026-27:Jurisdictional 2026-27'!G32))</f>
        <v>148.93785224990143</v>
      </c>
      <c r="H32" s="77" t="str">
        <f>IF(SUM('Distribution 2026-27:Jurisdictional 2026-27'!H32)=0,"",SUM('Distribution 2026-27:Jurisdictional 2026-27'!H32))</f>
        <v/>
      </c>
      <c r="I32" s="76" t="str">
        <f>IF(SUM('Distribution 2026-27:Jurisdictional 2026-27'!I32)=0,"",SUM('Distribution 2026-27:Jurisdictional 2026-27'!I32))</f>
        <v/>
      </c>
      <c r="J32" s="76" t="str">
        <f>IF(SUM('Distribution 2026-27:Jurisdictional 2026-27'!J32)=0,"",SUM('Distribution 2026-27:Jurisdictional 2026-27'!J32))</f>
        <v/>
      </c>
      <c r="K32" s="76">
        <f>IF(SUM('Distribution 2026-27:Jurisdictional 2026-27'!K32)=0,"",SUM('Distribution 2026-27:Jurisdictional 2026-27'!K32))</f>
        <v>20.773123994777478</v>
      </c>
      <c r="L32" s="76" t="str">
        <f>IF(SUM('Distribution 2026-27:Jurisdictional 2026-27'!L32)=0,"",SUM('Distribution 2026-27:Jurisdictional 2026-27'!L32))</f>
        <v/>
      </c>
      <c r="M32" s="76" t="str">
        <f>IF(SUM('Distribution 2026-27:Jurisdictional 2026-27'!M32)=0,"",SUM('Distribution 2026-27:Jurisdictional 2026-27'!M32))</f>
        <v/>
      </c>
      <c r="N32" s="76" t="str">
        <f>IF(SUM('Distribution 2026-27:Jurisdictional 2026-27'!N32)=0,"",SUM('Distribution 2026-27:Jurisdictional 2026-27'!N32))</f>
        <v/>
      </c>
      <c r="O32" s="76" t="str">
        <f>IF(SUM('Distribution 2026-27:Jurisdictional 2026-27'!O32)=0,"",SUM('Distribution 2026-27:Jurisdictional 2026-27'!O32))</f>
        <v/>
      </c>
      <c r="P32" s="76">
        <f>IF(SUM('Distribution 2026-27:Jurisdictional 2026-27'!P32)=0,"",SUM('Distribution 2026-27:Jurisdictional 2026-27'!P32))</f>
        <v>4.8791301841762795</v>
      </c>
      <c r="Q32" s="76" t="str">
        <f>IF(SUM('Distribution 2026-27:Jurisdictional 2026-27'!Q32)=0,"",SUM('Distribution 2026-27:Jurisdictional 2026-27'!Q32))</f>
        <v/>
      </c>
      <c r="R32" s="77" t="str">
        <f>IF(SUM('Distribution 2026-27:Jurisdictional 2026-27'!R32)=0,"",SUM('Distribution 2026-27:Jurisdictional 2026-27'!R32))</f>
        <v/>
      </c>
      <c r="S32" s="77" t="str">
        <f>IF(SUM('Distribution 2026-27:Jurisdictional 2026-27'!S32)=0,"",SUM('Distribution 2026-27:Jurisdictional 2026-27'!S32))</f>
        <v/>
      </c>
      <c r="T32" s="77" t="str">
        <f>IF(SUM('Distribution 2026-27:Jurisdictional 2026-27'!T32)=0,"",SUM('Distribution 2026-27:Jurisdictional 2026-27'!T32))</f>
        <v/>
      </c>
      <c r="U32" s="77" t="str">
        <f>IF(SUM('Distribution 2026-27:Jurisdictional 2026-27'!U32)=0,"",SUM('Distribution 2026-27:Jurisdictional 2026-27'!U32))</f>
        <v/>
      </c>
      <c r="V32" s="77" t="str">
        <f>IF(SUM('Distribution 2026-27:Jurisdictional 2026-27'!V32)=0,"",SUM('Distribution 2026-27:Jurisdictional 2026-27'!V32))</f>
        <v/>
      </c>
      <c r="W32" s="77" t="str">
        <f>IF(SUM('Distribution 2026-27:Jurisdictional 2026-27'!W32)=0,"",SUM('Distribution 2026-27:Jurisdictional 2026-27'!W32))</f>
        <v/>
      </c>
      <c r="X32" s="77" t="str">
        <f>IF(SUM('Distribution 2026-27:Jurisdictional 2026-27'!X32)=0,"",SUM('Distribution 2026-27:Jurisdictional 2026-27'!X32))</f>
        <v/>
      </c>
    </row>
    <row r="33" spans="2:24" ht="35.1" customHeight="1" x14ac:dyDescent="0.2">
      <c r="B33" s="87"/>
      <c r="C33" s="27" t="s">
        <v>76</v>
      </c>
      <c r="D33" s="10">
        <v>17</v>
      </c>
      <c r="E33" s="28" t="s">
        <v>77</v>
      </c>
      <c r="F33" s="29" t="s">
        <v>33</v>
      </c>
      <c r="G33" s="77">
        <f>IF(SUM('Distribution 2026-27:Jurisdictional 2026-27'!G33)=0,"",SUM('Distribution 2026-27:Jurisdictional 2026-27'!G33))</f>
        <v>148.93785224990143</v>
      </c>
      <c r="H33" s="77" t="str">
        <f>IF(SUM('Distribution 2026-27:Jurisdictional 2026-27'!H33)=0,"",SUM('Distribution 2026-27:Jurisdictional 2026-27'!H33))</f>
        <v/>
      </c>
      <c r="I33" s="76" t="str">
        <f>IF(SUM('Distribution 2026-27:Jurisdictional 2026-27'!I33)=0,"",SUM('Distribution 2026-27:Jurisdictional 2026-27'!I33))</f>
        <v/>
      </c>
      <c r="J33" s="76" t="str">
        <f>IF(SUM('Distribution 2026-27:Jurisdictional 2026-27'!J33)=0,"",SUM('Distribution 2026-27:Jurisdictional 2026-27'!J33))</f>
        <v/>
      </c>
      <c r="K33" s="76">
        <f>IF(SUM('Distribution 2026-27:Jurisdictional 2026-27'!K33)=0,"",SUM('Distribution 2026-27:Jurisdictional 2026-27'!K33))</f>
        <v>20.773123994777478</v>
      </c>
      <c r="L33" s="76" t="str">
        <f>IF(SUM('Distribution 2026-27:Jurisdictional 2026-27'!L33)=0,"",SUM('Distribution 2026-27:Jurisdictional 2026-27'!L33))</f>
        <v/>
      </c>
      <c r="M33" s="76" t="str">
        <f>IF(SUM('Distribution 2026-27:Jurisdictional 2026-27'!M33)=0,"",SUM('Distribution 2026-27:Jurisdictional 2026-27'!M33))</f>
        <v/>
      </c>
      <c r="N33" s="76" t="str">
        <f>IF(SUM('Distribution 2026-27:Jurisdictional 2026-27'!N33)=0,"",SUM('Distribution 2026-27:Jurisdictional 2026-27'!N33))</f>
        <v/>
      </c>
      <c r="O33" s="76" t="str">
        <f>IF(SUM('Distribution 2026-27:Jurisdictional 2026-27'!O33)=0,"",SUM('Distribution 2026-27:Jurisdictional 2026-27'!O33))</f>
        <v/>
      </c>
      <c r="P33" s="76">
        <f>IF(SUM('Distribution 2026-27:Jurisdictional 2026-27'!P33)=0,"",SUM('Distribution 2026-27:Jurisdictional 2026-27'!P33))</f>
        <v>4.8791301841762795</v>
      </c>
      <c r="Q33" s="76" t="str">
        <f>IF(SUM('Distribution 2026-27:Jurisdictional 2026-27'!Q33)=0,"",SUM('Distribution 2026-27:Jurisdictional 2026-27'!Q33))</f>
        <v/>
      </c>
      <c r="R33" s="77" t="str">
        <f>IF(SUM('Distribution 2026-27:Jurisdictional 2026-27'!R33)=0,"",SUM('Distribution 2026-27:Jurisdictional 2026-27'!R33))</f>
        <v/>
      </c>
      <c r="S33" s="77" t="str">
        <f>IF(SUM('Distribution 2026-27:Jurisdictional 2026-27'!S33)=0,"",SUM('Distribution 2026-27:Jurisdictional 2026-27'!S33))</f>
        <v/>
      </c>
      <c r="T33" s="77" t="str">
        <f>IF(SUM('Distribution 2026-27:Jurisdictional 2026-27'!T33)=0,"",SUM('Distribution 2026-27:Jurisdictional 2026-27'!T33))</f>
        <v/>
      </c>
      <c r="U33" s="77" t="str">
        <f>IF(SUM('Distribution 2026-27:Jurisdictional 2026-27'!U33)=0,"",SUM('Distribution 2026-27:Jurisdictional 2026-27'!U33))</f>
        <v/>
      </c>
      <c r="V33" s="77" t="str">
        <f>IF(SUM('Distribution 2026-27:Jurisdictional 2026-27'!V33)=0,"",SUM('Distribution 2026-27:Jurisdictional 2026-27'!V33))</f>
        <v/>
      </c>
      <c r="W33" s="77" t="str">
        <f>IF(SUM('Distribution 2026-27:Jurisdictional 2026-27'!W33)=0,"",SUM('Distribution 2026-27:Jurisdictional 2026-27'!W33))</f>
        <v/>
      </c>
      <c r="X33" s="77" t="str">
        <f>IF(SUM('Distribution 2026-27:Jurisdictional 2026-27'!X33)=0,"",SUM('Distribution 2026-27:Jurisdictional 2026-27'!X33))</f>
        <v/>
      </c>
    </row>
    <row r="34" spans="2:24" ht="35.1" customHeight="1" x14ac:dyDescent="0.2">
      <c r="B34" s="87"/>
      <c r="C34" s="30" t="s">
        <v>78</v>
      </c>
      <c r="D34" s="29">
        <v>15</v>
      </c>
      <c r="E34" s="31" t="s">
        <v>79</v>
      </c>
      <c r="F34" s="29" t="s">
        <v>33</v>
      </c>
      <c r="G34" s="77">
        <f>IF(SUM('Distribution 2026-27:Jurisdictional 2026-27'!G34)=0,"",SUM('Distribution 2026-27:Jurisdictional 2026-27'!G34))</f>
        <v>148.93785224990143</v>
      </c>
      <c r="H34" s="77">
        <f>IF(SUM('Distribution 2026-27:Jurisdictional 2026-27'!H34)=0,"",SUM('Distribution 2026-27:Jurisdictional 2026-27'!H34))</f>
        <v>16.79588896612394</v>
      </c>
      <c r="I34" s="76" t="str">
        <f>IF(SUM('Distribution 2026-27:Jurisdictional 2026-27'!I34)=0,"",SUM('Distribution 2026-27:Jurisdictional 2026-27'!I34))</f>
        <v/>
      </c>
      <c r="J34" s="76" t="str">
        <f>IF(SUM('Distribution 2026-27:Jurisdictional 2026-27'!J34)=0,"",SUM('Distribution 2026-27:Jurisdictional 2026-27'!J34))</f>
        <v/>
      </c>
      <c r="K34" s="76" t="str">
        <f>IF(SUM('Distribution 2026-27:Jurisdictional 2026-27'!K34)=0,"",SUM('Distribution 2026-27:Jurisdictional 2026-27'!K34))</f>
        <v/>
      </c>
      <c r="L34" s="76" t="str">
        <f>IF(SUM('Distribution 2026-27:Jurisdictional 2026-27'!L34)=0,"",SUM('Distribution 2026-27:Jurisdictional 2026-27'!L34))</f>
        <v/>
      </c>
      <c r="M34" s="76" t="str">
        <f>IF(SUM('Distribution 2026-27:Jurisdictional 2026-27'!M34)=0,"",SUM('Distribution 2026-27:Jurisdictional 2026-27'!M34))</f>
        <v/>
      </c>
      <c r="N34" s="76" t="str">
        <f>IF(SUM('Distribution 2026-27:Jurisdictional 2026-27'!N34)=0,"",SUM('Distribution 2026-27:Jurisdictional 2026-27'!N34))</f>
        <v/>
      </c>
      <c r="O34" s="76" t="str">
        <f>IF(SUM('Distribution 2026-27:Jurisdictional 2026-27'!O34)=0,"",SUM('Distribution 2026-27:Jurisdictional 2026-27'!O34))</f>
        <v/>
      </c>
      <c r="P34" s="76" t="str">
        <f>IF(SUM('Distribution 2026-27:Jurisdictional 2026-27'!P34)=0,"",SUM('Distribution 2026-27:Jurisdictional 2026-27'!P34))</f>
        <v/>
      </c>
      <c r="Q34" s="76" t="str">
        <f>IF(SUM('Distribution 2026-27:Jurisdictional 2026-27'!Q34)=0,"",SUM('Distribution 2026-27:Jurisdictional 2026-27'!Q34))</f>
        <v/>
      </c>
      <c r="R34" s="77" t="str">
        <f>IF(SUM('Distribution 2026-27:Jurisdictional 2026-27'!R34)=0,"",SUM('Distribution 2026-27:Jurisdictional 2026-27'!R34))</f>
        <v/>
      </c>
      <c r="S34" s="77" t="str">
        <f>IF(SUM('Distribution 2026-27:Jurisdictional 2026-27'!S34)=0,"",SUM('Distribution 2026-27:Jurisdictional 2026-27'!S34))</f>
        <v/>
      </c>
      <c r="T34" s="77" t="str">
        <f>IF(SUM('Distribution 2026-27:Jurisdictional 2026-27'!T34)=0,"",SUM('Distribution 2026-27:Jurisdictional 2026-27'!T34))</f>
        <v/>
      </c>
      <c r="U34" s="77" t="str">
        <f>IF(SUM('Distribution 2026-27:Jurisdictional 2026-27'!U34)=0,"",SUM('Distribution 2026-27:Jurisdictional 2026-27'!U34))</f>
        <v/>
      </c>
      <c r="V34" s="77" t="str">
        <f>IF(SUM('Distribution 2026-27:Jurisdictional 2026-27'!V34)=0,"",SUM('Distribution 2026-27:Jurisdictional 2026-27'!V34))</f>
        <v/>
      </c>
      <c r="W34" s="77">
        <f>IF(SUM('Distribution 2026-27:Jurisdictional 2026-27'!W34)=0,"",SUM('Distribution 2026-27:Jurisdictional 2026-27'!W34))</f>
        <v>11.472531553639083</v>
      </c>
      <c r="X34" s="77">
        <f>IF(SUM('Distribution 2026-27:Jurisdictional 2026-27'!X34)=0,"",SUM('Distribution 2026-27:Jurisdictional 2026-27'!X34))</f>
        <v>2.8621947250797297</v>
      </c>
    </row>
    <row r="35" spans="2:24" ht="35.1" customHeight="1" x14ac:dyDescent="0.2">
      <c r="B35" s="87"/>
      <c r="C35" s="30" t="s">
        <v>80</v>
      </c>
      <c r="D35" s="29">
        <v>15</v>
      </c>
      <c r="E35" s="31" t="s">
        <v>81</v>
      </c>
      <c r="F35" s="29" t="s">
        <v>33</v>
      </c>
      <c r="G35" s="77">
        <f>IF(SUM('Distribution 2026-27:Jurisdictional 2026-27'!G35)=0,"",SUM('Distribution 2026-27:Jurisdictional 2026-27'!G35))</f>
        <v>148.93785224990143</v>
      </c>
      <c r="H35" s="77">
        <f>IF(SUM('Distribution 2026-27:Jurisdictional 2026-27'!H35)=0,"",SUM('Distribution 2026-27:Jurisdictional 2026-27'!H35))</f>
        <v>16.79588896612394</v>
      </c>
      <c r="I35" s="76" t="str">
        <f>IF(SUM('Distribution 2026-27:Jurisdictional 2026-27'!I35)=0,"",SUM('Distribution 2026-27:Jurisdictional 2026-27'!I35))</f>
        <v/>
      </c>
      <c r="J35" s="76" t="str">
        <f>IF(SUM('Distribution 2026-27:Jurisdictional 2026-27'!J35)=0,"",SUM('Distribution 2026-27:Jurisdictional 2026-27'!J35))</f>
        <v/>
      </c>
      <c r="K35" s="76" t="str">
        <f>IF(SUM('Distribution 2026-27:Jurisdictional 2026-27'!K35)=0,"",SUM('Distribution 2026-27:Jurisdictional 2026-27'!K35))</f>
        <v/>
      </c>
      <c r="L35" s="76" t="str">
        <f>IF(SUM('Distribution 2026-27:Jurisdictional 2026-27'!L35)=0,"",SUM('Distribution 2026-27:Jurisdictional 2026-27'!L35))</f>
        <v/>
      </c>
      <c r="M35" s="76" t="str">
        <f>IF(SUM('Distribution 2026-27:Jurisdictional 2026-27'!M35)=0,"",SUM('Distribution 2026-27:Jurisdictional 2026-27'!M35))</f>
        <v/>
      </c>
      <c r="N35" s="76" t="str">
        <f>IF(SUM('Distribution 2026-27:Jurisdictional 2026-27'!N35)=0,"",SUM('Distribution 2026-27:Jurisdictional 2026-27'!N35))</f>
        <v/>
      </c>
      <c r="O35" s="76" t="str">
        <f>IF(SUM('Distribution 2026-27:Jurisdictional 2026-27'!O35)=0,"",SUM('Distribution 2026-27:Jurisdictional 2026-27'!O35))</f>
        <v/>
      </c>
      <c r="P35" s="76" t="str">
        <f>IF(SUM('Distribution 2026-27:Jurisdictional 2026-27'!P35)=0,"",SUM('Distribution 2026-27:Jurisdictional 2026-27'!P35))</f>
        <v/>
      </c>
      <c r="Q35" s="76" t="str">
        <f>IF(SUM('Distribution 2026-27:Jurisdictional 2026-27'!Q35)=0,"",SUM('Distribution 2026-27:Jurisdictional 2026-27'!Q35))</f>
        <v/>
      </c>
      <c r="R35" s="77" t="str">
        <f>IF(SUM('Distribution 2026-27:Jurisdictional 2026-27'!R35)=0,"",SUM('Distribution 2026-27:Jurisdictional 2026-27'!R35))</f>
        <v/>
      </c>
      <c r="S35" s="77" t="str">
        <f>IF(SUM('Distribution 2026-27:Jurisdictional 2026-27'!S35)=0,"",SUM('Distribution 2026-27:Jurisdictional 2026-27'!S35))</f>
        <v/>
      </c>
      <c r="T35" s="77" t="str">
        <f>IF(SUM('Distribution 2026-27:Jurisdictional 2026-27'!T35)=0,"",SUM('Distribution 2026-27:Jurisdictional 2026-27'!T35))</f>
        <v/>
      </c>
      <c r="U35" s="77" t="str">
        <f>IF(SUM('Distribution 2026-27:Jurisdictional 2026-27'!U35)=0,"",SUM('Distribution 2026-27:Jurisdictional 2026-27'!U35))</f>
        <v/>
      </c>
      <c r="V35" s="77" t="str">
        <f>IF(SUM('Distribution 2026-27:Jurisdictional 2026-27'!V35)=0,"",SUM('Distribution 2026-27:Jurisdictional 2026-27'!V35))</f>
        <v/>
      </c>
      <c r="W35" s="77">
        <f>IF(SUM('Distribution 2026-27:Jurisdictional 2026-27'!W35)=0,"",SUM('Distribution 2026-27:Jurisdictional 2026-27'!W35))</f>
        <v>11.472531553639083</v>
      </c>
      <c r="X35" s="77">
        <f>IF(SUM('Distribution 2026-27:Jurisdictional 2026-27'!X35)=0,"",SUM('Distribution 2026-27:Jurisdictional 2026-27'!X35))</f>
        <v>2.8621947250797297</v>
      </c>
    </row>
    <row r="36" spans="2:24" ht="35.1" customHeight="1" x14ac:dyDescent="0.2">
      <c r="B36" s="87"/>
      <c r="C36" s="27" t="s">
        <v>82</v>
      </c>
      <c r="D36" s="29">
        <v>15</v>
      </c>
      <c r="E36" s="28" t="s">
        <v>83</v>
      </c>
      <c r="F36" s="10" t="s">
        <v>33</v>
      </c>
      <c r="G36" s="77">
        <f>IF(SUM('Distribution 2026-27:Jurisdictional 2026-27'!G36)=0,"",SUM('Distribution 2026-27:Jurisdictional 2026-27'!G36))</f>
        <v>156.20311333526249</v>
      </c>
      <c r="H36" s="77">
        <f>IF(SUM('Distribution 2026-27:Jurisdictional 2026-27'!H36)=0,"",SUM('Distribution 2026-27:Jurisdictional 2026-27'!H36))</f>
        <v>19.406067976632134</v>
      </c>
      <c r="I36" s="76" t="str">
        <f>IF(SUM('Distribution 2026-27:Jurisdictional 2026-27'!I36)=0,"",SUM('Distribution 2026-27:Jurisdictional 2026-27'!I36))</f>
        <v/>
      </c>
      <c r="J36" s="76" t="str">
        <f>IF(SUM('Distribution 2026-27:Jurisdictional 2026-27'!J36)=0,"",SUM('Distribution 2026-27:Jurisdictional 2026-27'!J36))</f>
        <v/>
      </c>
      <c r="K36" s="76" t="str">
        <f>IF(SUM('Distribution 2026-27:Jurisdictional 2026-27'!K36)=0,"",SUM('Distribution 2026-27:Jurisdictional 2026-27'!K36))</f>
        <v/>
      </c>
      <c r="L36" s="76" t="str">
        <f>IF(SUM('Distribution 2026-27:Jurisdictional 2026-27'!L36)=0,"",SUM('Distribution 2026-27:Jurisdictional 2026-27'!L36))</f>
        <v/>
      </c>
      <c r="M36" s="76" t="str">
        <f>IF(SUM('Distribution 2026-27:Jurisdictional 2026-27'!M36)=0,"",SUM('Distribution 2026-27:Jurisdictional 2026-27'!M36))</f>
        <v/>
      </c>
      <c r="N36" s="76" t="str">
        <f>IF(SUM('Distribution 2026-27:Jurisdictional 2026-27'!N36)=0,"",SUM('Distribution 2026-27:Jurisdictional 2026-27'!N36))</f>
        <v/>
      </c>
      <c r="O36" s="76" t="str">
        <f>IF(SUM('Distribution 2026-27:Jurisdictional 2026-27'!O36)=0,"",SUM('Distribution 2026-27:Jurisdictional 2026-27'!O36))</f>
        <v/>
      </c>
      <c r="P36" s="76" t="str">
        <f>IF(SUM('Distribution 2026-27:Jurisdictional 2026-27'!P36)=0,"",SUM('Distribution 2026-27:Jurisdictional 2026-27'!P36))</f>
        <v/>
      </c>
      <c r="Q36" s="76" t="str">
        <f>IF(SUM('Distribution 2026-27:Jurisdictional 2026-27'!Q36)=0,"",SUM('Distribution 2026-27:Jurisdictional 2026-27'!Q36))</f>
        <v/>
      </c>
      <c r="R36" s="77" t="str">
        <f>IF(SUM('Distribution 2026-27:Jurisdictional 2026-27'!R36)=0,"",SUM('Distribution 2026-27:Jurisdictional 2026-27'!R36))</f>
        <v/>
      </c>
      <c r="S36" s="77" t="str">
        <f>IF(SUM('Distribution 2026-27:Jurisdictional 2026-27'!S36)=0,"",SUM('Distribution 2026-27:Jurisdictional 2026-27'!S36))</f>
        <v/>
      </c>
      <c r="T36" s="77" t="str">
        <f>IF(SUM('Distribution 2026-27:Jurisdictional 2026-27'!T36)=0,"",SUM('Distribution 2026-27:Jurisdictional 2026-27'!T36))</f>
        <v/>
      </c>
      <c r="U36" s="77" t="str">
        <f>IF(SUM('Distribution 2026-27:Jurisdictional 2026-27'!U36)=0,"",SUM('Distribution 2026-27:Jurisdictional 2026-27'!U36))</f>
        <v/>
      </c>
      <c r="V36" s="77" t="str">
        <f>IF(SUM('Distribution 2026-27:Jurisdictional 2026-27'!V36)=0,"",SUM('Distribution 2026-27:Jurisdictional 2026-27'!V36))</f>
        <v/>
      </c>
      <c r="W36" s="77">
        <f>IF(SUM('Distribution 2026-27:Jurisdictional 2026-27'!W36)=0,"",SUM('Distribution 2026-27:Jurisdictional 2026-27'!W36))</f>
        <v>9.1932940259886156</v>
      </c>
      <c r="X36" s="77">
        <f>IF(SUM('Distribution 2026-27:Jurisdictional 2026-27'!X36)=0,"",SUM('Distribution 2026-27:Jurisdictional 2026-27'!X36))</f>
        <v>2.2935650727362904</v>
      </c>
    </row>
    <row r="37" spans="2:24" ht="35.1" customHeight="1" x14ac:dyDescent="0.2">
      <c r="B37" s="87"/>
      <c r="C37" s="30" t="s">
        <v>84</v>
      </c>
      <c r="D37" s="29">
        <v>2</v>
      </c>
      <c r="E37" s="31" t="s">
        <v>85</v>
      </c>
      <c r="F37" s="29" t="s">
        <v>33</v>
      </c>
      <c r="G37" s="77">
        <f>IF(SUM('Distribution 2026-27:Jurisdictional 2026-27'!G37)=0,"",SUM('Distribution 2026-27:Jurisdictional 2026-27'!G37))</f>
        <v>156.20311333526249</v>
      </c>
      <c r="H37" s="77" t="str">
        <f>IF(SUM('Distribution 2026-27:Jurisdictional 2026-27'!H37)=0,"",SUM('Distribution 2026-27:Jurisdictional 2026-27'!H37))</f>
        <v/>
      </c>
      <c r="I37" s="76" t="str">
        <f>IF(SUM('Distribution 2026-27:Jurisdictional 2026-27'!I37)=0,"",SUM('Distribution 2026-27:Jurisdictional 2026-27'!I37))</f>
        <v/>
      </c>
      <c r="J37" s="76" t="str">
        <f>IF(SUM('Distribution 2026-27:Jurisdictional 2026-27'!J37)=0,"",SUM('Distribution 2026-27:Jurisdictional 2026-27'!J37))</f>
        <v/>
      </c>
      <c r="K37" s="76">
        <f>IF(SUM('Distribution 2026-27:Jurisdictional 2026-27'!K37)=0,"",SUM('Distribution 2026-27:Jurisdictional 2026-27'!K37))</f>
        <v>19.380403834345369</v>
      </c>
      <c r="L37" s="76" t="str">
        <f>IF(SUM('Distribution 2026-27:Jurisdictional 2026-27'!L37)=0,"",SUM('Distribution 2026-27:Jurisdictional 2026-27'!L37))</f>
        <v/>
      </c>
      <c r="M37" s="76" t="str">
        <f>IF(SUM('Distribution 2026-27:Jurisdictional 2026-27'!M37)=0,"",SUM('Distribution 2026-27:Jurisdictional 2026-27'!M37))</f>
        <v/>
      </c>
      <c r="N37" s="76" t="str">
        <f>IF(SUM('Distribution 2026-27:Jurisdictional 2026-27'!N37)=0,"",SUM('Distribution 2026-27:Jurisdictional 2026-27'!N37))</f>
        <v/>
      </c>
      <c r="O37" s="76" t="str">
        <f>IF(SUM('Distribution 2026-27:Jurisdictional 2026-27'!O37)=0,"",SUM('Distribution 2026-27:Jurisdictional 2026-27'!O37))</f>
        <v/>
      </c>
      <c r="P37" s="76">
        <f>IF(SUM('Distribution 2026-27:Jurisdictional 2026-27'!P37)=0,"",SUM('Distribution 2026-27:Jurisdictional 2026-27'!P37))</f>
        <v>4.7241045527710543</v>
      </c>
      <c r="Q37" s="76" t="str">
        <f>IF(SUM('Distribution 2026-27:Jurisdictional 2026-27'!Q37)=0,"",SUM('Distribution 2026-27:Jurisdictional 2026-27'!Q37))</f>
        <v/>
      </c>
      <c r="R37" s="77" t="str">
        <f>IF(SUM('Distribution 2026-27:Jurisdictional 2026-27'!R37)=0,"",SUM('Distribution 2026-27:Jurisdictional 2026-27'!R37))</f>
        <v/>
      </c>
      <c r="S37" s="77" t="str">
        <f>IF(SUM('Distribution 2026-27:Jurisdictional 2026-27'!S37)=0,"",SUM('Distribution 2026-27:Jurisdictional 2026-27'!S37))</f>
        <v/>
      </c>
      <c r="T37" s="77" t="str">
        <f>IF(SUM('Distribution 2026-27:Jurisdictional 2026-27'!T37)=0,"",SUM('Distribution 2026-27:Jurisdictional 2026-27'!T37))</f>
        <v/>
      </c>
      <c r="U37" s="77" t="str">
        <f>IF(SUM('Distribution 2026-27:Jurisdictional 2026-27'!U37)=0,"",SUM('Distribution 2026-27:Jurisdictional 2026-27'!U37))</f>
        <v/>
      </c>
      <c r="V37" s="77" t="str">
        <f>IF(SUM('Distribution 2026-27:Jurisdictional 2026-27'!V37)=0,"",SUM('Distribution 2026-27:Jurisdictional 2026-27'!V37))</f>
        <v/>
      </c>
      <c r="W37" s="77">
        <f>IF(SUM('Distribution 2026-27:Jurisdictional 2026-27'!W37)=0,"",SUM('Distribution 2026-27:Jurisdictional 2026-27'!W37))</f>
        <v>9.1932940259886156</v>
      </c>
      <c r="X37" s="77">
        <f>IF(SUM('Distribution 2026-27:Jurisdictional 2026-27'!X37)=0,"",SUM('Distribution 2026-27:Jurisdictional 2026-27'!X37))</f>
        <v>2.2935650727362904</v>
      </c>
    </row>
    <row r="38" spans="2:24" ht="35.1" customHeight="1" x14ac:dyDescent="0.2">
      <c r="B38" s="87"/>
      <c r="C38" s="30" t="s">
        <v>86</v>
      </c>
      <c r="D38" s="29">
        <v>2</v>
      </c>
      <c r="E38" s="31" t="s">
        <v>87</v>
      </c>
      <c r="F38" s="29" t="s">
        <v>33</v>
      </c>
      <c r="G38" s="77">
        <f>IF(SUM('Distribution 2026-27:Jurisdictional 2026-27'!G38)=0,"",SUM('Distribution 2026-27:Jurisdictional 2026-27'!G38))</f>
        <v>156.20311333526249</v>
      </c>
      <c r="H38" s="77" t="str">
        <f>IF(SUM('Distribution 2026-27:Jurisdictional 2026-27'!H38)=0,"",SUM('Distribution 2026-27:Jurisdictional 2026-27'!H38))</f>
        <v/>
      </c>
      <c r="I38" s="76" t="str">
        <f>IF(SUM('Distribution 2026-27:Jurisdictional 2026-27'!I38)=0,"",SUM('Distribution 2026-27:Jurisdictional 2026-27'!I38))</f>
        <v/>
      </c>
      <c r="J38" s="76" t="str">
        <f>IF(SUM('Distribution 2026-27:Jurisdictional 2026-27'!J38)=0,"",SUM('Distribution 2026-27:Jurisdictional 2026-27'!J38))</f>
        <v/>
      </c>
      <c r="K38" s="76">
        <f>IF(SUM('Distribution 2026-27:Jurisdictional 2026-27'!K38)=0,"",SUM('Distribution 2026-27:Jurisdictional 2026-27'!K38))</f>
        <v>19.380403834345369</v>
      </c>
      <c r="L38" s="76" t="str">
        <f>IF(SUM('Distribution 2026-27:Jurisdictional 2026-27'!L38)=0,"",SUM('Distribution 2026-27:Jurisdictional 2026-27'!L38))</f>
        <v/>
      </c>
      <c r="M38" s="76" t="str">
        <f>IF(SUM('Distribution 2026-27:Jurisdictional 2026-27'!M38)=0,"",SUM('Distribution 2026-27:Jurisdictional 2026-27'!M38))</f>
        <v/>
      </c>
      <c r="N38" s="76" t="str">
        <f>IF(SUM('Distribution 2026-27:Jurisdictional 2026-27'!N38)=0,"",SUM('Distribution 2026-27:Jurisdictional 2026-27'!N38))</f>
        <v/>
      </c>
      <c r="O38" s="76" t="str">
        <f>IF(SUM('Distribution 2026-27:Jurisdictional 2026-27'!O38)=0,"",SUM('Distribution 2026-27:Jurisdictional 2026-27'!O38))</f>
        <v/>
      </c>
      <c r="P38" s="76">
        <f>IF(SUM('Distribution 2026-27:Jurisdictional 2026-27'!P38)=0,"",SUM('Distribution 2026-27:Jurisdictional 2026-27'!P38))</f>
        <v>4.7241045527710543</v>
      </c>
      <c r="Q38" s="76" t="str">
        <f>IF(SUM('Distribution 2026-27:Jurisdictional 2026-27'!Q38)=0,"",SUM('Distribution 2026-27:Jurisdictional 2026-27'!Q38))</f>
        <v/>
      </c>
      <c r="R38" s="77" t="str">
        <f>IF(SUM('Distribution 2026-27:Jurisdictional 2026-27'!R38)=0,"",SUM('Distribution 2026-27:Jurisdictional 2026-27'!R38))</f>
        <v/>
      </c>
      <c r="S38" s="77" t="str">
        <f>IF(SUM('Distribution 2026-27:Jurisdictional 2026-27'!S38)=0,"",SUM('Distribution 2026-27:Jurisdictional 2026-27'!S38))</f>
        <v/>
      </c>
      <c r="T38" s="77" t="str">
        <f>IF(SUM('Distribution 2026-27:Jurisdictional 2026-27'!T38)=0,"",SUM('Distribution 2026-27:Jurisdictional 2026-27'!T38))</f>
        <v/>
      </c>
      <c r="U38" s="77" t="str">
        <f>IF(SUM('Distribution 2026-27:Jurisdictional 2026-27'!U38)=0,"",SUM('Distribution 2026-27:Jurisdictional 2026-27'!U38))</f>
        <v/>
      </c>
      <c r="V38" s="77" t="str">
        <f>IF(SUM('Distribution 2026-27:Jurisdictional 2026-27'!V38)=0,"",SUM('Distribution 2026-27:Jurisdictional 2026-27'!V38))</f>
        <v/>
      </c>
      <c r="W38" s="77">
        <f>IF(SUM('Distribution 2026-27:Jurisdictional 2026-27'!W38)=0,"",SUM('Distribution 2026-27:Jurisdictional 2026-27'!W38))</f>
        <v>9.1932940259886156</v>
      </c>
      <c r="X38" s="77">
        <f>IF(SUM('Distribution 2026-27:Jurisdictional 2026-27'!X38)=0,"",SUM('Distribution 2026-27:Jurisdictional 2026-27'!X38))</f>
        <v>2.2935650727362904</v>
      </c>
    </row>
    <row r="39" spans="2:24" ht="35.1" customHeight="1" x14ac:dyDescent="0.2">
      <c r="B39" s="87"/>
      <c r="C39" s="27" t="s">
        <v>88</v>
      </c>
      <c r="D39" s="10">
        <v>7</v>
      </c>
      <c r="E39" s="28" t="s">
        <v>47</v>
      </c>
      <c r="F39" s="10" t="s">
        <v>45</v>
      </c>
      <c r="G39" s="77">
        <f>IF(SUM('Distribution 2026-27:Jurisdictional 2026-27'!G39)=0,"",SUM('Distribution 2026-27:Jurisdictional 2026-27'!G39))</f>
        <v>148.93785224990143</v>
      </c>
      <c r="H39" s="77" t="str">
        <f>IF(SUM('Distribution 2026-27:Jurisdictional 2026-27'!H39)=0,"",SUM('Distribution 2026-27:Jurisdictional 2026-27'!H39))</f>
        <v/>
      </c>
      <c r="I39" s="76" t="str">
        <f>IF(SUM('Distribution 2026-27:Jurisdictional 2026-27'!I39)=0,"",SUM('Distribution 2026-27:Jurisdictional 2026-27'!I39))</f>
        <v/>
      </c>
      <c r="J39" s="76" t="str">
        <f>IF(SUM('Distribution 2026-27:Jurisdictional 2026-27'!J39)=0,"",SUM('Distribution 2026-27:Jurisdictional 2026-27'!J39))</f>
        <v/>
      </c>
      <c r="K39" s="76" t="str">
        <f>IF(SUM('Distribution 2026-27:Jurisdictional 2026-27'!K39)=0,"",SUM('Distribution 2026-27:Jurisdictional 2026-27'!K39))</f>
        <v/>
      </c>
      <c r="L39" s="76" t="str">
        <f>IF(SUM('Distribution 2026-27:Jurisdictional 2026-27'!L39)=0,"",SUM('Distribution 2026-27:Jurisdictional 2026-27'!L39))</f>
        <v/>
      </c>
      <c r="M39" s="76">
        <f>IF(SUM('Distribution 2026-27:Jurisdictional 2026-27'!M39)=0,"",SUM('Distribution 2026-27:Jurisdictional 2026-27'!M39))</f>
        <v>50.36793979851867</v>
      </c>
      <c r="N39" s="76">
        <f>IF(SUM('Distribution 2026-27:Jurisdictional 2026-27'!N39)=0,"",SUM('Distribution 2026-27:Jurisdictional 2026-27'!N39))</f>
        <v>44.504023239090117</v>
      </c>
      <c r="O39" s="76">
        <f>IF(SUM('Distribution 2026-27:Jurisdictional 2026-27'!O39)=0,"",SUM('Distribution 2026-27:Jurisdictional 2026-27'!O39))</f>
        <v>39.379172706436677</v>
      </c>
      <c r="P39" s="76">
        <f>IF(SUM('Distribution 2026-27:Jurisdictional 2026-27'!P39)=0,"",SUM('Distribution 2026-27:Jurisdictional 2026-27'!P39))</f>
        <v>5.0571273966160328</v>
      </c>
      <c r="Q39" s="76" t="str">
        <f>IF(SUM('Distribution 2026-27:Jurisdictional 2026-27'!Q39)=0,"",SUM('Distribution 2026-27:Jurisdictional 2026-27'!Q39))</f>
        <v/>
      </c>
      <c r="R39" s="77" t="str">
        <f>IF(SUM('Distribution 2026-27:Jurisdictional 2026-27'!R39)=0,"",SUM('Distribution 2026-27:Jurisdictional 2026-27'!R39))</f>
        <v/>
      </c>
      <c r="S39" s="77" t="str">
        <f>IF(SUM('Distribution 2026-27:Jurisdictional 2026-27'!S39)=0,"",SUM('Distribution 2026-27:Jurisdictional 2026-27'!S39))</f>
        <v/>
      </c>
      <c r="T39" s="77" t="str">
        <f>IF(SUM('Distribution 2026-27:Jurisdictional 2026-27'!T39)=0,"",SUM('Distribution 2026-27:Jurisdictional 2026-27'!T39))</f>
        <v/>
      </c>
      <c r="U39" s="77" t="str">
        <f>IF(SUM('Distribution 2026-27:Jurisdictional 2026-27'!U39)=0,"",SUM('Distribution 2026-27:Jurisdictional 2026-27'!U39))</f>
        <v/>
      </c>
      <c r="V39" s="77" t="str">
        <f>IF(SUM('Distribution 2026-27:Jurisdictional 2026-27'!V39)=0,"",SUM('Distribution 2026-27:Jurisdictional 2026-27'!V39))</f>
        <v/>
      </c>
      <c r="W39" s="77" t="str">
        <f>IF(SUM('Distribution 2026-27:Jurisdictional 2026-27'!W39)=0,"",SUM('Distribution 2026-27:Jurisdictional 2026-27'!W39))</f>
        <v/>
      </c>
      <c r="X39" s="77" t="str">
        <f>IF(SUM('Distribution 2026-27:Jurisdictional 2026-27'!X39)=0,"",SUM('Distribution 2026-27:Jurisdictional 2026-27'!X39))</f>
        <v/>
      </c>
    </row>
    <row r="40" spans="2:24" ht="35.1" customHeight="1" x14ac:dyDescent="0.2">
      <c r="B40" s="87"/>
      <c r="C40" s="30" t="s">
        <v>89</v>
      </c>
      <c r="D40" s="29">
        <v>7</v>
      </c>
      <c r="E40" s="31" t="s">
        <v>90</v>
      </c>
      <c r="F40" s="29" t="s">
        <v>45</v>
      </c>
      <c r="G40" s="77">
        <f>IF(SUM('Distribution 2026-27:Jurisdictional 2026-27'!G40)=0,"",SUM('Distribution 2026-27:Jurisdictional 2026-27'!G40))</f>
        <v>148.93785224990143</v>
      </c>
      <c r="H40" s="77" t="str">
        <f>IF(SUM('Distribution 2026-27:Jurisdictional 2026-27'!H40)=0,"",SUM('Distribution 2026-27:Jurisdictional 2026-27'!H40))</f>
        <v/>
      </c>
      <c r="I40" s="76" t="str">
        <f>IF(SUM('Distribution 2026-27:Jurisdictional 2026-27'!I40)=0,"",SUM('Distribution 2026-27:Jurisdictional 2026-27'!I40))</f>
        <v/>
      </c>
      <c r="J40" s="76" t="str">
        <f>IF(SUM('Distribution 2026-27:Jurisdictional 2026-27'!J40)=0,"",SUM('Distribution 2026-27:Jurisdictional 2026-27'!J40))</f>
        <v/>
      </c>
      <c r="K40" s="76" t="str">
        <f>IF(SUM('Distribution 2026-27:Jurisdictional 2026-27'!K40)=0,"",SUM('Distribution 2026-27:Jurisdictional 2026-27'!K40))</f>
        <v/>
      </c>
      <c r="L40" s="76" t="str">
        <f>IF(SUM('Distribution 2026-27:Jurisdictional 2026-27'!L40)=0,"",SUM('Distribution 2026-27:Jurisdictional 2026-27'!L40))</f>
        <v/>
      </c>
      <c r="M40" s="76">
        <f>IF(SUM('Distribution 2026-27:Jurisdictional 2026-27'!M40)=0,"",SUM('Distribution 2026-27:Jurisdictional 2026-27'!M40))</f>
        <v>29.808895799839931</v>
      </c>
      <c r="N40" s="76">
        <f>IF(SUM('Distribution 2026-27:Jurisdictional 2026-27'!N40)=0,"",SUM('Distribution 2026-27:Jurisdictional 2026-27'!N40))</f>
        <v>26.555359943745017</v>
      </c>
      <c r="O40" s="76">
        <f>IF(SUM('Distribution 2026-27:Jurisdictional 2026-27'!O40)=0,"",SUM('Distribution 2026-27:Jurisdictional 2026-27'!O40))</f>
        <v>23.713583602284544</v>
      </c>
      <c r="P40" s="76">
        <f>IF(SUM('Distribution 2026-27:Jurisdictional 2026-27'!P40)=0,"",SUM('Distribution 2026-27:Jurisdictional 2026-27'!P40))</f>
        <v>8.2931636791557075</v>
      </c>
      <c r="Q40" s="76" t="str">
        <f>IF(SUM('Distribution 2026-27:Jurisdictional 2026-27'!Q40)=0,"",SUM('Distribution 2026-27:Jurisdictional 2026-27'!Q40))</f>
        <v/>
      </c>
      <c r="R40" s="77" t="str">
        <f>IF(SUM('Distribution 2026-27:Jurisdictional 2026-27'!R40)=0,"",SUM('Distribution 2026-27:Jurisdictional 2026-27'!R40))</f>
        <v/>
      </c>
      <c r="S40" s="77" t="str">
        <f>IF(SUM('Distribution 2026-27:Jurisdictional 2026-27'!S40)=0,"",SUM('Distribution 2026-27:Jurisdictional 2026-27'!S40))</f>
        <v/>
      </c>
      <c r="T40" s="77" t="str">
        <f>IF(SUM('Distribution 2026-27:Jurisdictional 2026-27'!T40)=0,"",SUM('Distribution 2026-27:Jurisdictional 2026-27'!T40))</f>
        <v/>
      </c>
      <c r="U40" s="77" t="str">
        <f>IF(SUM('Distribution 2026-27:Jurisdictional 2026-27'!U40)=0,"",SUM('Distribution 2026-27:Jurisdictional 2026-27'!U40))</f>
        <v/>
      </c>
      <c r="V40" s="77" t="str">
        <f>IF(SUM('Distribution 2026-27:Jurisdictional 2026-27'!V40)=0,"",SUM('Distribution 2026-27:Jurisdictional 2026-27'!V40))</f>
        <v/>
      </c>
      <c r="W40" s="77" t="str">
        <f>IF(SUM('Distribution 2026-27:Jurisdictional 2026-27'!W40)=0,"",SUM('Distribution 2026-27:Jurisdictional 2026-27'!W40))</f>
        <v/>
      </c>
      <c r="X40" s="77" t="str">
        <f>IF(SUM('Distribution 2026-27:Jurisdictional 2026-27'!X40)=0,"",SUM('Distribution 2026-27:Jurisdictional 2026-27'!X40))</f>
        <v/>
      </c>
    </row>
    <row r="41" spans="2:24" ht="35.1" customHeight="1" x14ac:dyDescent="0.2">
      <c r="B41" s="87"/>
      <c r="C41" s="27" t="s">
        <v>91</v>
      </c>
      <c r="D41" s="10">
        <v>7</v>
      </c>
      <c r="E41" s="28" t="s">
        <v>49</v>
      </c>
      <c r="F41" s="10" t="s">
        <v>45</v>
      </c>
      <c r="G41" s="77">
        <f>IF(SUM('Distribution 2026-27:Jurisdictional 2026-27'!G41)=0,"",SUM('Distribution 2026-27:Jurisdictional 2026-27'!G41))</f>
        <v>148.93785224990143</v>
      </c>
      <c r="H41" s="77" t="str">
        <f>IF(SUM('Distribution 2026-27:Jurisdictional 2026-27'!H41)=0,"",SUM('Distribution 2026-27:Jurisdictional 2026-27'!H41))</f>
        <v/>
      </c>
      <c r="I41" s="76" t="str">
        <f>IF(SUM('Distribution 2026-27:Jurisdictional 2026-27'!I41)=0,"",SUM('Distribution 2026-27:Jurisdictional 2026-27'!I41))</f>
        <v/>
      </c>
      <c r="J41" s="76" t="str">
        <f>IF(SUM('Distribution 2026-27:Jurisdictional 2026-27'!J41)=0,"",SUM('Distribution 2026-27:Jurisdictional 2026-27'!J41))</f>
        <v/>
      </c>
      <c r="K41" s="76" t="str">
        <f>IF(SUM('Distribution 2026-27:Jurisdictional 2026-27'!K41)=0,"",SUM('Distribution 2026-27:Jurisdictional 2026-27'!K41))</f>
        <v/>
      </c>
      <c r="L41" s="76" t="str">
        <f>IF(SUM('Distribution 2026-27:Jurisdictional 2026-27'!L41)=0,"",SUM('Distribution 2026-27:Jurisdictional 2026-27'!L41))</f>
        <v/>
      </c>
      <c r="M41" s="76">
        <f>IF(SUM('Distribution 2026-27:Jurisdictional 2026-27'!M41)=0,"",SUM('Distribution 2026-27:Jurisdictional 2026-27'!M41))</f>
        <v>29.808895799839931</v>
      </c>
      <c r="N41" s="76">
        <f>IF(SUM('Distribution 2026-27:Jurisdictional 2026-27'!N41)=0,"",SUM('Distribution 2026-27:Jurisdictional 2026-27'!N41))</f>
        <v>26.555359943745017</v>
      </c>
      <c r="O41" s="76">
        <f>IF(SUM('Distribution 2026-27:Jurisdictional 2026-27'!O41)=0,"",SUM('Distribution 2026-27:Jurisdictional 2026-27'!O41))</f>
        <v>23.713583602284544</v>
      </c>
      <c r="P41" s="76">
        <f>IF(SUM('Distribution 2026-27:Jurisdictional 2026-27'!P41)=0,"",SUM('Distribution 2026-27:Jurisdictional 2026-27'!P41))</f>
        <v>8.2931636791557075</v>
      </c>
      <c r="Q41" s="76" t="str">
        <f>IF(SUM('Distribution 2026-27:Jurisdictional 2026-27'!Q41)=0,"",SUM('Distribution 2026-27:Jurisdictional 2026-27'!Q41))</f>
        <v/>
      </c>
      <c r="R41" s="77" t="str">
        <f>IF(SUM('Distribution 2026-27:Jurisdictional 2026-27'!R41)=0,"",SUM('Distribution 2026-27:Jurisdictional 2026-27'!R41))</f>
        <v/>
      </c>
      <c r="S41" s="77" t="str">
        <f>IF(SUM('Distribution 2026-27:Jurisdictional 2026-27'!S41)=0,"",SUM('Distribution 2026-27:Jurisdictional 2026-27'!S41))</f>
        <v/>
      </c>
      <c r="T41" s="77" t="str">
        <f>IF(SUM('Distribution 2026-27:Jurisdictional 2026-27'!T41)=0,"",SUM('Distribution 2026-27:Jurisdictional 2026-27'!T41))</f>
        <v/>
      </c>
      <c r="U41" s="77" t="str">
        <f>IF(SUM('Distribution 2026-27:Jurisdictional 2026-27'!U41)=0,"",SUM('Distribution 2026-27:Jurisdictional 2026-27'!U41))</f>
        <v/>
      </c>
      <c r="V41" s="77" t="str">
        <f>IF(SUM('Distribution 2026-27:Jurisdictional 2026-27'!V41)=0,"",SUM('Distribution 2026-27:Jurisdictional 2026-27'!V41))</f>
        <v/>
      </c>
      <c r="W41" s="77" t="str">
        <f>IF(SUM('Distribution 2026-27:Jurisdictional 2026-27'!W41)=0,"",SUM('Distribution 2026-27:Jurisdictional 2026-27'!W41))</f>
        <v/>
      </c>
      <c r="X41" s="77" t="str">
        <f>IF(SUM('Distribution 2026-27:Jurisdictional 2026-27'!X41)=0,"",SUM('Distribution 2026-27:Jurisdictional 2026-27'!X41))</f>
        <v/>
      </c>
    </row>
    <row r="42" spans="2:24" ht="5.0999999999999996" customHeight="1" x14ac:dyDescent="0.2">
      <c r="B42" s="32"/>
      <c r="C42" s="33"/>
      <c r="D42" s="34"/>
      <c r="E42" s="35"/>
      <c r="F42" s="34"/>
      <c r="G42" s="3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8"/>
      <c r="W42" s="36"/>
      <c r="X42" s="36"/>
    </row>
    <row r="43" spans="2:24" ht="15" customHeight="1" x14ac:dyDescent="0.2">
      <c r="B43" s="32"/>
      <c r="C43" s="33"/>
      <c r="D43" s="34"/>
      <c r="E43" s="35"/>
      <c r="F43" s="34"/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38"/>
      <c r="W43" s="36"/>
      <c r="X43" s="36"/>
    </row>
    <row r="44" spans="2:24" ht="5.0999999999999996" customHeight="1" x14ac:dyDescent="0.2">
      <c r="B44" s="39"/>
      <c r="C44" s="40"/>
      <c r="D44" s="41"/>
      <c r="E44" s="42"/>
      <c r="F44" s="41"/>
      <c r="G44" s="43"/>
      <c r="H44" s="43"/>
      <c r="I44" s="44"/>
      <c r="J44" s="44"/>
      <c r="K44" s="44"/>
      <c r="L44" s="44"/>
      <c r="M44" s="44"/>
      <c r="N44" s="44"/>
      <c r="O44" s="44"/>
      <c r="P44" s="43"/>
      <c r="Q44" s="44"/>
      <c r="R44" s="44"/>
      <c r="S44" s="44"/>
      <c r="T44" s="44"/>
      <c r="U44" s="43"/>
      <c r="V44" s="43"/>
      <c r="W44" s="43"/>
      <c r="X44" s="43"/>
    </row>
    <row r="45" spans="2:24" ht="62.1" customHeight="1" x14ac:dyDescent="0.2">
      <c r="B45" s="5" t="s">
        <v>14</v>
      </c>
      <c r="C45" s="6" t="s">
        <v>15</v>
      </c>
      <c r="D45" s="7" t="s">
        <v>16</v>
      </c>
      <c r="E45" s="6" t="s">
        <v>17</v>
      </c>
      <c r="F45" s="5" t="s">
        <v>18</v>
      </c>
      <c r="G45" s="5" t="s">
        <v>0</v>
      </c>
      <c r="H45" s="5" t="s">
        <v>1</v>
      </c>
      <c r="I45" s="5" t="s">
        <v>2</v>
      </c>
      <c r="J45" s="5" t="s">
        <v>3</v>
      </c>
      <c r="K45" s="5" t="s">
        <v>4</v>
      </c>
      <c r="L45" s="5" t="s">
        <v>19</v>
      </c>
      <c r="M45" s="5" t="s">
        <v>6</v>
      </c>
      <c r="N45" s="5" t="s">
        <v>7</v>
      </c>
      <c r="O45" s="5" t="s">
        <v>8</v>
      </c>
      <c r="P45" s="5" t="s">
        <v>20</v>
      </c>
      <c r="Q45" s="5" t="s">
        <v>10</v>
      </c>
      <c r="R45" s="5" t="s">
        <v>11</v>
      </c>
      <c r="S45" s="5" t="s">
        <v>12</v>
      </c>
      <c r="T45" s="5" t="s">
        <v>13</v>
      </c>
      <c r="U45" s="5" t="s">
        <v>22</v>
      </c>
      <c r="V45" s="5" t="s">
        <v>23</v>
      </c>
      <c r="W45" s="5" t="s">
        <v>24</v>
      </c>
      <c r="X45" s="5" t="s">
        <v>25</v>
      </c>
    </row>
    <row r="46" spans="2:24" ht="18" customHeight="1" x14ac:dyDescent="0.2">
      <c r="B46" s="8"/>
      <c r="C46" s="8"/>
      <c r="D46" s="9"/>
      <c r="E46" s="8"/>
      <c r="F46" s="9"/>
      <c r="G46" s="9" t="s">
        <v>26</v>
      </c>
      <c r="H46" s="9" t="s">
        <v>27</v>
      </c>
      <c r="I46" s="9" t="s">
        <v>27</v>
      </c>
      <c r="J46" s="9" t="s">
        <v>27</v>
      </c>
      <c r="K46" s="9" t="s">
        <v>27</v>
      </c>
      <c r="L46" s="9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28</v>
      </c>
      <c r="V46" s="9" t="s">
        <v>28</v>
      </c>
      <c r="W46" s="9" t="s">
        <v>29</v>
      </c>
      <c r="X46" s="9" t="s">
        <v>29</v>
      </c>
    </row>
    <row r="47" spans="2:24" ht="35.1" customHeight="1" x14ac:dyDescent="0.2">
      <c r="B47" s="89" t="s">
        <v>199</v>
      </c>
      <c r="C47" s="27" t="s">
        <v>92</v>
      </c>
      <c r="D47" s="10">
        <v>3</v>
      </c>
      <c r="E47" s="28" t="s">
        <v>93</v>
      </c>
      <c r="F47" s="10" t="s">
        <v>33</v>
      </c>
      <c r="G47" s="77" t="str">
        <f>IF(SUM('Distribution 2026-27:Jurisdictional 2026-27'!G47)=0,"",SUM('Distribution 2026-27:Jurisdictional 2026-27'!G47))</f>
        <v/>
      </c>
      <c r="H47" s="77" t="str">
        <f>IF(SUM('Distribution 2026-27:Jurisdictional 2026-27'!H47)=0,"",SUM('Distribution 2026-27:Jurisdictional 2026-27'!H47))</f>
        <v/>
      </c>
      <c r="I47" s="77" t="str">
        <f>IF(SUM('Distribution 2026-27:Jurisdictional 2026-27'!I47)=0,"",SUM('Distribution 2026-27:Jurisdictional 2026-27'!I47))</f>
        <v/>
      </c>
      <c r="J47" s="76" t="str">
        <f>IF(SUM('Distribution 2026-27:Jurisdictional 2026-27'!J47)=0,"",SUM('Distribution 2026-27:Jurisdictional 2026-27'!J47))</f>
        <v/>
      </c>
      <c r="K47" s="76">
        <f>IF(SUM('Distribution 2026-27:Jurisdictional 2026-27'!K47)=0,"",SUM('Distribution 2026-27:Jurisdictional 2026-27'!K47))</f>
        <v>24.833368134185871</v>
      </c>
      <c r="L47" s="76" t="str">
        <f>IF(SUM('Distribution 2026-27:Jurisdictional 2026-27'!L47)=0,"",SUM('Distribution 2026-27:Jurisdictional 2026-27'!L47))</f>
        <v/>
      </c>
      <c r="M47" s="76" t="str">
        <f>IF(SUM('Distribution 2026-27:Jurisdictional 2026-27'!M47)=0,"",SUM('Distribution 2026-27:Jurisdictional 2026-27'!M47))</f>
        <v/>
      </c>
      <c r="N47" s="76" t="str">
        <f>IF(SUM('Distribution 2026-27:Jurisdictional 2026-27'!N47)=0,"",SUM('Distribution 2026-27:Jurisdictional 2026-27'!N47))</f>
        <v/>
      </c>
      <c r="O47" s="76" t="str">
        <f>IF(SUM('Distribution 2026-27:Jurisdictional 2026-27'!O47)=0,"",SUM('Distribution 2026-27:Jurisdictional 2026-27'!O47))</f>
        <v/>
      </c>
      <c r="P47" s="76">
        <f>IF(SUM('Distribution 2026-27:Jurisdictional 2026-27'!P47)=0,"",SUM('Distribution 2026-27:Jurisdictional 2026-27'!P47))</f>
        <v>11.89969787568946</v>
      </c>
      <c r="Q47" s="77" t="str">
        <f>IF(SUM('Distribution 2026-27:Jurisdictional 2026-27'!Q47)=0,"",SUM('Distribution 2026-27:Jurisdictional 2026-27'!Q47))</f>
        <v/>
      </c>
      <c r="R47" s="77" t="str">
        <f>IF(SUM('Distribution 2026-27:Jurisdictional 2026-27'!R47)=0,"",SUM('Distribution 2026-27:Jurisdictional 2026-27'!R47))</f>
        <v/>
      </c>
      <c r="S47" s="77" t="str">
        <f>IF(SUM('Distribution 2026-27:Jurisdictional 2026-27'!S47)=0,"",SUM('Distribution 2026-27:Jurisdictional 2026-27'!S47))</f>
        <v/>
      </c>
      <c r="T47" s="77" t="str">
        <f>IF(SUM('Distribution 2026-27:Jurisdictional 2026-27'!T47)=0,"",SUM('Distribution 2026-27:Jurisdictional 2026-27'!T47))</f>
        <v/>
      </c>
      <c r="U47" s="77" t="str">
        <f>IF(SUM('Distribution 2026-27:Jurisdictional 2026-27'!U47)=0,"",SUM('Distribution 2026-27:Jurisdictional 2026-27'!U47))</f>
        <v/>
      </c>
      <c r="V47" s="77" t="str">
        <f>IF(SUM('Distribution 2026-27:Jurisdictional 2026-27'!V47)=0,"",SUM('Distribution 2026-27:Jurisdictional 2026-27'!V47))</f>
        <v/>
      </c>
      <c r="W47" s="77" t="str">
        <f>IF(SUM('Distribution 2026-27:Jurisdictional 2026-27'!W47)=0,"",SUM('Distribution 2026-27:Jurisdictional 2026-27'!W47))</f>
        <v/>
      </c>
      <c r="X47" s="77" t="str">
        <f>IF(SUM('Distribution 2026-27:Jurisdictional 2026-27'!X47)=0,"",SUM('Distribution 2026-27:Jurisdictional 2026-27'!X47))</f>
        <v/>
      </c>
    </row>
    <row r="48" spans="2:24" ht="35.1" customHeight="1" x14ac:dyDescent="0.2">
      <c r="B48" s="89"/>
      <c r="C48" s="30" t="s">
        <v>94</v>
      </c>
      <c r="D48" s="29">
        <v>12</v>
      </c>
      <c r="E48" s="31" t="s">
        <v>95</v>
      </c>
      <c r="F48" s="29" t="s">
        <v>33</v>
      </c>
      <c r="G48" s="84">
        <f>IF(SUM('Distribution 2026-27:Jurisdictional 2026-27'!G48)=0,"",SUM('Distribution 2026-27:Jurisdictional 2026-27'!G48))</f>
        <v>211.53369100985196</v>
      </c>
      <c r="H48" s="77" t="str">
        <f>IF(SUM('Distribution 2026-27:Jurisdictional 2026-27'!H48)=0,"",SUM('Distribution 2026-27:Jurisdictional 2026-27'!H48))</f>
        <v/>
      </c>
      <c r="I48" s="77" t="str">
        <f>IF(SUM('Distribution 2026-27:Jurisdictional 2026-27'!I48)=0,"",SUM('Distribution 2026-27:Jurisdictional 2026-27'!I48))</f>
        <v/>
      </c>
      <c r="J48" s="76" t="str">
        <f>IF(SUM('Distribution 2026-27:Jurisdictional 2026-27'!J48)=0,"",SUM('Distribution 2026-27:Jurisdictional 2026-27'!J48))</f>
        <v/>
      </c>
      <c r="K48" s="76">
        <f>IF(SUM('Distribution 2026-27:Jurisdictional 2026-27'!K48)=0,"",SUM('Distribution 2026-27:Jurisdictional 2026-27'!K48))</f>
        <v>21.819671125812185</v>
      </c>
      <c r="L48" s="76" t="str">
        <f>IF(SUM('Distribution 2026-27:Jurisdictional 2026-27'!L48)=0,"",SUM('Distribution 2026-27:Jurisdictional 2026-27'!L48))</f>
        <v/>
      </c>
      <c r="M48" s="76" t="str">
        <f>IF(SUM('Distribution 2026-27:Jurisdictional 2026-27'!M48)=0,"",SUM('Distribution 2026-27:Jurisdictional 2026-27'!M48))</f>
        <v/>
      </c>
      <c r="N48" s="76" t="str">
        <f>IF(SUM('Distribution 2026-27:Jurisdictional 2026-27'!N48)=0,"",SUM('Distribution 2026-27:Jurisdictional 2026-27'!N48))</f>
        <v/>
      </c>
      <c r="O48" s="76" t="str">
        <f>IF(SUM('Distribution 2026-27:Jurisdictional 2026-27'!O48)=0,"",SUM('Distribution 2026-27:Jurisdictional 2026-27'!O48))</f>
        <v/>
      </c>
      <c r="P48" s="76">
        <f>IF(SUM('Distribution 2026-27:Jurisdictional 2026-27'!P48)=0,"",SUM('Distribution 2026-27:Jurisdictional 2026-27'!P48))</f>
        <v>6.0996328570704073</v>
      </c>
      <c r="Q48" s="77" t="str">
        <f>IF(SUM('Distribution 2026-27:Jurisdictional 2026-27'!Q48)=0,"",SUM('Distribution 2026-27:Jurisdictional 2026-27'!Q48))</f>
        <v/>
      </c>
      <c r="R48" s="77" t="str">
        <f>IF(SUM('Distribution 2026-27:Jurisdictional 2026-27'!R48)=0,"",SUM('Distribution 2026-27:Jurisdictional 2026-27'!R48))</f>
        <v/>
      </c>
      <c r="S48" s="77" t="str">
        <f>IF(SUM('Distribution 2026-27:Jurisdictional 2026-27'!S48)=0,"",SUM('Distribution 2026-27:Jurisdictional 2026-27'!S48))</f>
        <v/>
      </c>
      <c r="T48" s="77" t="str">
        <f>IF(SUM('Distribution 2026-27:Jurisdictional 2026-27'!T48)=0,"",SUM('Distribution 2026-27:Jurisdictional 2026-27'!T48))</f>
        <v/>
      </c>
      <c r="U48" s="77" t="str">
        <f>IF(SUM('Distribution 2026-27:Jurisdictional 2026-27'!U48)=0,"",SUM('Distribution 2026-27:Jurisdictional 2026-27'!U48))</f>
        <v/>
      </c>
      <c r="V48" s="77" t="str">
        <f>IF(SUM('Distribution 2026-27:Jurisdictional 2026-27'!V48)=0,"",SUM('Distribution 2026-27:Jurisdictional 2026-27'!V48))</f>
        <v/>
      </c>
      <c r="W48" s="77" t="str">
        <f>IF(SUM('Distribution 2026-27:Jurisdictional 2026-27'!W48)=0,"",SUM('Distribution 2026-27:Jurisdictional 2026-27'!W48))</f>
        <v/>
      </c>
      <c r="X48" s="77" t="str">
        <f>IF(SUM('Distribution 2026-27:Jurisdictional 2026-27'!X48)=0,"",SUM('Distribution 2026-27:Jurisdictional 2026-27'!X48))</f>
        <v/>
      </c>
    </row>
    <row r="49" spans="2:24" ht="35.1" customHeight="1" x14ac:dyDescent="0.2">
      <c r="B49" s="89"/>
      <c r="C49" s="27" t="s">
        <v>96</v>
      </c>
      <c r="D49" s="10">
        <v>7</v>
      </c>
      <c r="E49" s="28" t="s">
        <v>97</v>
      </c>
      <c r="F49" s="10" t="s">
        <v>33</v>
      </c>
      <c r="G49" s="84">
        <f>IF(SUM('Distribution 2026-27:Jurisdictional 2026-27'!G49)=0,"",SUM('Distribution 2026-27:Jurisdictional 2026-27'!G49))</f>
        <v>211.53369100985196</v>
      </c>
      <c r="H49" s="77" t="str">
        <f>IF(SUM('Distribution 2026-27:Jurisdictional 2026-27'!H49)=0,"",SUM('Distribution 2026-27:Jurisdictional 2026-27'!H49))</f>
        <v/>
      </c>
      <c r="I49" s="77" t="str">
        <f>IF(SUM('Distribution 2026-27:Jurisdictional 2026-27'!I49)=0,"",SUM('Distribution 2026-27:Jurisdictional 2026-27'!I49))</f>
        <v/>
      </c>
      <c r="J49" s="76" t="str">
        <f>IF(SUM('Distribution 2026-27:Jurisdictional 2026-27'!J49)=0,"",SUM('Distribution 2026-27:Jurisdictional 2026-27'!J49))</f>
        <v/>
      </c>
      <c r="K49" s="76" t="str">
        <f>IF(SUM('Distribution 2026-27:Jurisdictional 2026-27'!K49)=0,"",SUM('Distribution 2026-27:Jurisdictional 2026-27'!K49))</f>
        <v/>
      </c>
      <c r="L49" s="76" t="str">
        <f>IF(SUM('Distribution 2026-27:Jurisdictional 2026-27'!L49)=0,"",SUM('Distribution 2026-27:Jurisdictional 2026-27'!L49))</f>
        <v/>
      </c>
      <c r="M49" s="76">
        <f>IF(SUM('Distribution 2026-27:Jurisdictional 2026-27'!M49)=0,"",SUM('Distribution 2026-27:Jurisdictional 2026-27'!M49))</f>
        <v>52.41175402128129</v>
      </c>
      <c r="N49" s="76">
        <f>IF(SUM('Distribution 2026-27:Jurisdictional 2026-27'!N49)=0,"",SUM('Distribution 2026-27:Jurisdictional 2026-27'!N49))</f>
        <v>46.271165333669316</v>
      </c>
      <c r="O49" s="76">
        <f>IF(SUM('Distribution 2026-27:Jurisdictional 2026-27'!O49)=0,"",SUM('Distribution 2026-27:Jurisdictional 2026-27'!O49))</f>
        <v>40.904623668458001</v>
      </c>
      <c r="P49" s="76">
        <f>IF(SUM('Distribution 2026-27:Jurisdictional 2026-27'!P49)=0,"",SUM('Distribution 2026-27:Jurisdictional 2026-27'!P49))</f>
        <v>3.9001130379870026</v>
      </c>
      <c r="Q49" s="77" t="str">
        <f>IF(SUM('Distribution 2026-27:Jurisdictional 2026-27'!Q49)=0,"",SUM('Distribution 2026-27:Jurisdictional 2026-27'!Q49))</f>
        <v/>
      </c>
      <c r="R49" s="77" t="str">
        <f>IF(SUM('Distribution 2026-27:Jurisdictional 2026-27'!R49)=0,"",SUM('Distribution 2026-27:Jurisdictional 2026-27'!R49))</f>
        <v/>
      </c>
      <c r="S49" s="77" t="str">
        <f>IF(SUM('Distribution 2026-27:Jurisdictional 2026-27'!S49)=0,"",SUM('Distribution 2026-27:Jurisdictional 2026-27'!S49))</f>
        <v/>
      </c>
      <c r="T49" s="77" t="str">
        <f>IF(SUM('Distribution 2026-27:Jurisdictional 2026-27'!T49)=0,"",SUM('Distribution 2026-27:Jurisdictional 2026-27'!T49))</f>
        <v/>
      </c>
      <c r="U49" s="77" t="str">
        <f>IF(SUM('Distribution 2026-27:Jurisdictional 2026-27'!U49)=0,"",SUM('Distribution 2026-27:Jurisdictional 2026-27'!U49))</f>
        <v/>
      </c>
      <c r="V49" s="77" t="str">
        <f>IF(SUM('Distribution 2026-27:Jurisdictional 2026-27'!V49)=0,"",SUM('Distribution 2026-27:Jurisdictional 2026-27'!V49))</f>
        <v/>
      </c>
      <c r="W49" s="77" t="str">
        <f>IF(SUM('Distribution 2026-27:Jurisdictional 2026-27'!W49)=0,"",SUM('Distribution 2026-27:Jurisdictional 2026-27'!W49))</f>
        <v/>
      </c>
      <c r="X49" s="77" t="str">
        <f>IF(SUM('Distribution 2026-27:Jurisdictional 2026-27'!X49)=0,"",SUM('Distribution 2026-27:Jurisdictional 2026-27'!X49))</f>
        <v/>
      </c>
    </row>
    <row r="50" spans="2:24" ht="35.1" customHeight="1" x14ac:dyDescent="0.2">
      <c r="B50" s="89"/>
      <c r="C50" s="16" t="s">
        <v>98</v>
      </c>
      <c r="D50" s="15">
        <v>18</v>
      </c>
      <c r="E50" s="17" t="s">
        <v>99</v>
      </c>
      <c r="F50" s="15" t="s">
        <v>33</v>
      </c>
      <c r="G50" s="84">
        <f>IF(SUM('Distribution 2026-27:Jurisdictional 2026-27'!G50)=0,"",SUM('Distribution 2026-27:Jurisdictional 2026-27'!G50))</f>
        <v>3544.9344209656929</v>
      </c>
      <c r="H50" s="77" t="str">
        <f>IF(SUM('Distribution 2026-27:Jurisdictional 2026-27'!H50)=0,"",SUM('Distribution 2026-27:Jurisdictional 2026-27'!H50))</f>
        <v/>
      </c>
      <c r="I50" s="77" t="str">
        <f>IF(SUM('Distribution 2026-27:Jurisdictional 2026-27'!I50)=0,"",SUM('Distribution 2026-27:Jurisdictional 2026-27'!I50))</f>
        <v/>
      </c>
      <c r="J50" s="76" t="str">
        <f>IF(SUM('Distribution 2026-27:Jurisdictional 2026-27'!J50)=0,"",SUM('Distribution 2026-27:Jurisdictional 2026-27'!J50))</f>
        <v/>
      </c>
      <c r="K50" s="76">
        <f>IF(SUM('Distribution 2026-27:Jurisdictional 2026-27'!K50)=0,"",SUM('Distribution 2026-27:Jurisdictional 2026-27'!K50))</f>
        <v>17.483275248137762</v>
      </c>
      <c r="L50" s="76">
        <f>IF(SUM('Distribution 2026-27:Jurisdictional 2026-27'!L50)=0,"",SUM('Distribution 2026-27:Jurisdictional 2026-27'!L50))</f>
        <v>13.434845535556965</v>
      </c>
      <c r="M50" s="76" t="str">
        <f>IF(SUM('Distribution 2026-27:Jurisdictional 2026-27'!M50)=0,"",SUM('Distribution 2026-27:Jurisdictional 2026-27'!M50))</f>
        <v/>
      </c>
      <c r="N50" s="76" t="str">
        <f>IF(SUM('Distribution 2026-27:Jurisdictional 2026-27'!N50)=0,"",SUM('Distribution 2026-27:Jurisdictional 2026-27'!N50))</f>
        <v/>
      </c>
      <c r="O50" s="76" t="str">
        <f>IF(SUM('Distribution 2026-27:Jurisdictional 2026-27'!O50)=0,"",SUM('Distribution 2026-27:Jurisdictional 2026-27'!O50))</f>
        <v/>
      </c>
      <c r="P50" s="76">
        <f>IF(SUM('Distribution 2026-27:Jurisdictional 2026-27'!P50)=0,"",SUM('Distribution 2026-27:Jurisdictional 2026-27'!P50))</f>
        <v>5.5352453949677241</v>
      </c>
      <c r="Q50" s="77" t="str">
        <f>IF(SUM('Distribution 2026-27:Jurisdictional 2026-27'!Q50)=0,"",SUM('Distribution 2026-27:Jurisdictional 2026-27'!Q50))</f>
        <v/>
      </c>
      <c r="R50" s="77" t="str">
        <f>IF(SUM('Distribution 2026-27:Jurisdictional 2026-27'!R50)=0,"",SUM('Distribution 2026-27:Jurisdictional 2026-27'!R50))</f>
        <v/>
      </c>
      <c r="S50" s="77" t="str">
        <f>IF(SUM('Distribution 2026-27:Jurisdictional 2026-27'!S50)=0,"",SUM('Distribution 2026-27:Jurisdictional 2026-27'!S50))</f>
        <v/>
      </c>
      <c r="T50" s="77" t="str">
        <f>IF(SUM('Distribution 2026-27:Jurisdictional 2026-27'!T50)=0,"",SUM('Distribution 2026-27:Jurisdictional 2026-27'!T50))</f>
        <v/>
      </c>
      <c r="U50" s="77">
        <f>IF(SUM('Distribution 2026-27:Jurisdictional 2026-27'!U50)=0,"",SUM('Distribution 2026-27:Jurisdictional 2026-27'!U50))</f>
        <v>24.521527685454096</v>
      </c>
      <c r="V50" s="77">
        <f>IF(SUM('Distribution 2026-27:Jurisdictional 2026-27'!V50)=0,"",SUM('Distribution 2026-27:Jurisdictional 2026-27'!V50))</f>
        <v>40.873428302933263</v>
      </c>
      <c r="W50" s="77" t="str">
        <f>IF(SUM('Distribution 2026-27:Jurisdictional 2026-27'!W50)=0,"",SUM('Distribution 2026-27:Jurisdictional 2026-27'!W50))</f>
        <v/>
      </c>
      <c r="X50" s="77" t="str">
        <f>IF(SUM('Distribution 2026-27:Jurisdictional 2026-27'!X50)=0,"",SUM('Distribution 2026-27:Jurisdictional 2026-27'!X50))</f>
        <v/>
      </c>
    </row>
    <row r="51" spans="2:24" ht="35.1" customHeight="1" x14ac:dyDescent="0.2">
      <c r="B51" s="89"/>
      <c r="C51" s="11" t="s">
        <v>100</v>
      </c>
      <c r="D51" s="12">
        <v>18</v>
      </c>
      <c r="E51" s="17" t="s">
        <v>101</v>
      </c>
      <c r="F51" s="12" t="s">
        <v>45</v>
      </c>
      <c r="G51" s="84">
        <f>IF(SUM('Distribution 2026-27:Jurisdictional 2026-27'!G51)=0,"",SUM('Distribution 2026-27:Jurisdictional 2026-27'!G51))</f>
        <v>3544.9344209656929</v>
      </c>
      <c r="H51" s="77" t="str">
        <f>IF(SUM('Distribution 2026-27:Jurisdictional 2026-27'!H51)=0,"",SUM('Distribution 2026-27:Jurisdictional 2026-27'!H51))</f>
        <v/>
      </c>
      <c r="I51" s="77" t="str">
        <f>IF(SUM('Distribution 2026-27:Jurisdictional 2026-27'!I51)=0,"",SUM('Distribution 2026-27:Jurisdictional 2026-27'!I51))</f>
        <v/>
      </c>
      <c r="J51" s="76" t="str">
        <f>IF(SUM('Distribution 2026-27:Jurisdictional 2026-27'!J51)=0,"",SUM('Distribution 2026-27:Jurisdictional 2026-27'!J51))</f>
        <v/>
      </c>
      <c r="K51" s="76">
        <f>IF(SUM('Distribution 2026-27:Jurisdictional 2026-27'!K51)=0,"",SUM('Distribution 2026-27:Jurisdictional 2026-27'!K51))</f>
        <v>17.483275248137762</v>
      </c>
      <c r="L51" s="76">
        <f>IF(SUM('Distribution 2026-27:Jurisdictional 2026-27'!L51)=0,"",SUM('Distribution 2026-27:Jurisdictional 2026-27'!L51))</f>
        <v>13.434845535556965</v>
      </c>
      <c r="M51" s="76" t="str">
        <f>IF(SUM('Distribution 2026-27:Jurisdictional 2026-27'!M51)=0,"",SUM('Distribution 2026-27:Jurisdictional 2026-27'!M51))</f>
        <v/>
      </c>
      <c r="N51" s="76" t="str">
        <f>IF(SUM('Distribution 2026-27:Jurisdictional 2026-27'!N51)=0,"",SUM('Distribution 2026-27:Jurisdictional 2026-27'!N51))</f>
        <v/>
      </c>
      <c r="O51" s="76" t="str">
        <f>IF(SUM('Distribution 2026-27:Jurisdictional 2026-27'!O51)=0,"",SUM('Distribution 2026-27:Jurisdictional 2026-27'!O51))</f>
        <v/>
      </c>
      <c r="P51" s="76">
        <f>IF(SUM('Distribution 2026-27:Jurisdictional 2026-27'!P51)=0,"",SUM('Distribution 2026-27:Jurisdictional 2026-27'!P51))</f>
        <v>5.5352453949677241</v>
      </c>
      <c r="Q51" s="77" t="str">
        <f>IF(SUM('Distribution 2026-27:Jurisdictional 2026-27'!Q51)=0,"",SUM('Distribution 2026-27:Jurisdictional 2026-27'!Q51))</f>
        <v/>
      </c>
      <c r="R51" s="77" t="str">
        <f>IF(SUM('Distribution 2026-27:Jurisdictional 2026-27'!R51)=0,"",SUM('Distribution 2026-27:Jurisdictional 2026-27'!R51))</f>
        <v/>
      </c>
      <c r="S51" s="77" t="str">
        <f>IF(SUM('Distribution 2026-27:Jurisdictional 2026-27'!S51)=0,"",SUM('Distribution 2026-27:Jurisdictional 2026-27'!S51))</f>
        <v/>
      </c>
      <c r="T51" s="77" t="str">
        <f>IF(SUM('Distribution 2026-27:Jurisdictional 2026-27'!T51)=0,"",SUM('Distribution 2026-27:Jurisdictional 2026-27'!T51))</f>
        <v/>
      </c>
      <c r="U51" s="77" t="str">
        <f>IF(SUM('Distribution 2026-27:Jurisdictional 2026-27'!U51)=0,"",SUM('Distribution 2026-27:Jurisdictional 2026-27'!U51))</f>
        <v/>
      </c>
      <c r="V51" s="77" t="str">
        <f>IF(SUM('Distribution 2026-27:Jurisdictional 2026-27'!V51)=0,"",SUM('Distribution 2026-27:Jurisdictional 2026-27'!V51))</f>
        <v/>
      </c>
      <c r="W51" s="77" t="str">
        <f>IF(SUM('Distribution 2026-27:Jurisdictional 2026-27'!W51)=0,"",SUM('Distribution 2026-27:Jurisdictional 2026-27'!W51))</f>
        <v/>
      </c>
      <c r="X51" s="77" t="str">
        <f>IF(SUM('Distribution 2026-27:Jurisdictional 2026-27'!X51)=0,"",SUM('Distribution 2026-27:Jurisdictional 2026-27'!X51))</f>
        <v/>
      </c>
    </row>
    <row r="52" spans="2:24" ht="35.1" customHeight="1" x14ac:dyDescent="0.2">
      <c r="B52" s="90"/>
      <c r="C52" s="11" t="s">
        <v>102</v>
      </c>
      <c r="D52" s="12">
        <v>13</v>
      </c>
      <c r="E52" s="13" t="s">
        <v>103</v>
      </c>
      <c r="F52" s="12" t="s">
        <v>45</v>
      </c>
      <c r="G52" s="84">
        <f>IF(SUM('Distribution 2026-27:Jurisdictional 2026-27'!G52)=0,"",SUM('Distribution 2026-27:Jurisdictional 2026-27'!G52))</f>
        <v>3544.9344209656929</v>
      </c>
      <c r="H52" s="77" t="str">
        <f>IF(SUM('Distribution 2026-27:Jurisdictional 2026-27'!H52)=0,"",SUM('Distribution 2026-27:Jurisdictional 2026-27'!H52))</f>
        <v/>
      </c>
      <c r="I52" s="77" t="str">
        <f>IF(SUM('Distribution 2026-27:Jurisdictional 2026-27'!I52)=0,"",SUM('Distribution 2026-27:Jurisdictional 2026-27'!I52))</f>
        <v/>
      </c>
      <c r="J52" s="76" t="str">
        <f>IF(SUM('Distribution 2026-27:Jurisdictional 2026-27'!J52)=0,"",SUM('Distribution 2026-27:Jurisdictional 2026-27'!J52))</f>
        <v/>
      </c>
      <c r="K52" s="76">
        <f>IF(SUM('Distribution 2026-27:Jurisdictional 2026-27'!K52)=0,"",SUM('Distribution 2026-27:Jurisdictional 2026-27'!K52))</f>
        <v>14.573604513959639</v>
      </c>
      <c r="L52" s="76">
        <f>IF(SUM('Distribution 2026-27:Jurisdictional 2026-27'!L52)=0,"",SUM('Distribution 2026-27:Jurisdictional 2026-27'!L52))</f>
        <v>11.149054153008295</v>
      </c>
      <c r="M52" s="76" t="str">
        <f>IF(SUM('Distribution 2026-27:Jurisdictional 2026-27'!M52)=0,"",SUM('Distribution 2026-27:Jurisdictional 2026-27'!M52))</f>
        <v/>
      </c>
      <c r="N52" s="76" t="str">
        <f>IF(SUM('Distribution 2026-27:Jurisdictional 2026-27'!N52)=0,"",SUM('Distribution 2026-27:Jurisdictional 2026-27'!N52))</f>
        <v/>
      </c>
      <c r="O52" s="76" t="str">
        <f>IF(SUM('Distribution 2026-27:Jurisdictional 2026-27'!O52)=0,"",SUM('Distribution 2026-27:Jurisdictional 2026-27'!O52))</f>
        <v/>
      </c>
      <c r="P52" s="76">
        <f>IF(SUM('Distribution 2026-27:Jurisdictional 2026-27'!P52)=0,"",SUM('Distribution 2026-27:Jurisdictional 2026-27'!P52))</f>
        <v>5.8114856866990632</v>
      </c>
      <c r="Q52" s="77" t="str">
        <f>IF(SUM('Distribution 2026-27:Jurisdictional 2026-27'!Q52)=0,"",SUM('Distribution 2026-27:Jurisdictional 2026-27'!Q52))</f>
        <v/>
      </c>
      <c r="R52" s="77" t="str">
        <f>IF(SUM('Distribution 2026-27:Jurisdictional 2026-27'!R52)=0,"",SUM('Distribution 2026-27:Jurisdictional 2026-27'!R52))</f>
        <v/>
      </c>
      <c r="S52" s="77" t="str">
        <f>IF(SUM('Distribution 2026-27:Jurisdictional 2026-27'!S52)=0,"",SUM('Distribution 2026-27:Jurisdictional 2026-27'!S52))</f>
        <v/>
      </c>
      <c r="T52" s="77" t="str">
        <f>IF(SUM('Distribution 2026-27:Jurisdictional 2026-27'!T52)=0,"",SUM('Distribution 2026-27:Jurisdictional 2026-27'!T52))</f>
        <v/>
      </c>
      <c r="U52" s="77">
        <f>IF(SUM('Distribution 2026-27:Jurisdictional 2026-27'!U52)=0,"",SUM('Distribution 2026-27:Jurisdictional 2026-27'!U52))</f>
        <v>24.521527685454096</v>
      </c>
      <c r="V52" s="77">
        <f>IF(SUM('Distribution 2026-27:Jurisdictional 2026-27'!V52)=0,"",SUM('Distribution 2026-27:Jurisdictional 2026-27'!V52))</f>
        <v>40.873428302933263</v>
      </c>
      <c r="W52" s="77" t="str">
        <f>IF(SUM('Distribution 2026-27:Jurisdictional 2026-27'!W52)=0,"",SUM('Distribution 2026-27:Jurisdictional 2026-27'!W52))</f>
        <v/>
      </c>
      <c r="X52" s="77" t="str">
        <f>IF(SUM('Distribution 2026-27:Jurisdictional 2026-27'!X52)=0,"",SUM('Distribution 2026-27:Jurisdictional 2026-27'!X52))</f>
        <v/>
      </c>
    </row>
    <row r="53" spans="2:24" ht="35.1" customHeight="1" x14ac:dyDescent="0.2">
      <c r="B53" s="87" t="s">
        <v>198</v>
      </c>
      <c r="C53" s="16" t="s">
        <v>104</v>
      </c>
      <c r="D53" s="15">
        <v>13</v>
      </c>
      <c r="E53" s="17" t="s">
        <v>105</v>
      </c>
      <c r="F53" s="15" t="s">
        <v>33</v>
      </c>
      <c r="G53" s="84">
        <f>IF(SUM('Distribution 2026-27:Jurisdictional 2026-27'!G53)=0,"",SUM('Distribution 2026-27:Jurisdictional 2026-27'!G53))</f>
        <v>7829.429076999375</v>
      </c>
      <c r="H53" s="77" t="str">
        <f>IF(SUM('Distribution 2026-27:Jurisdictional 2026-27'!H53)=0,"",SUM('Distribution 2026-27:Jurisdictional 2026-27'!H53))</f>
        <v/>
      </c>
      <c r="I53" s="77" t="str">
        <f>IF(SUM('Distribution 2026-27:Jurisdictional 2026-27'!I53)=0,"",SUM('Distribution 2026-27:Jurisdictional 2026-27'!I53))</f>
        <v/>
      </c>
      <c r="J53" s="76" t="str">
        <f>IF(SUM('Distribution 2026-27:Jurisdictional 2026-27'!J53)=0,"",SUM('Distribution 2026-27:Jurisdictional 2026-27'!J53))</f>
        <v/>
      </c>
      <c r="K53" s="76">
        <f>IF(SUM('Distribution 2026-27:Jurisdictional 2026-27'!K53)=0,"",SUM('Distribution 2026-27:Jurisdictional 2026-27'!K53))</f>
        <v>7.3263368068970181</v>
      </c>
      <c r="L53" s="76">
        <f>IF(SUM('Distribution 2026-27:Jurisdictional 2026-27'!L53)=0,"",SUM('Distribution 2026-27:Jurisdictional 2026-27'!L53))</f>
        <v>6.0195930467532213</v>
      </c>
      <c r="M53" s="76" t="str">
        <f>IF(SUM('Distribution 2026-27:Jurisdictional 2026-27'!M53)=0,"",SUM('Distribution 2026-27:Jurisdictional 2026-27'!M53))</f>
        <v/>
      </c>
      <c r="N53" s="76" t="str">
        <f>IF(SUM('Distribution 2026-27:Jurisdictional 2026-27'!N53)=0,"",SUM('Distribution 2026-27:Jurisdictional 2026-27'!N53))</f>
        <v/>
      </c>
      <c r="O53" s="76" t="str">
        <f>IF(SUM('Distribution 2026-27:Jurisdictional 2026-27'!O53)=0,"",SUM('Distribution 2026-27:Jurisdictional 2026-27'!O53))</f>
        <v/>
      </c>
      <c r="P53" s="76">
        <f>IF(SUM('Distribution 2026-27:Jurisdictional 2026-27'!P53)=0,"",SUM('Distribution 2026-27:Jurisdictional 2026-27'!P53))</f>
        <v>2.4792985092985864</v>
      </c>
      <c r="Q53" s="77" t="str">
        <f>IF(SUM('Distribution 2026-27:Jurisdictional 2026-27'!Q53)=0,"",SUM('Distribution 2026-27:Jurisdictional 2026-27'!Q53))</f>
        <v/>
      </c>
      <c r="R53" s="77" t="str">
        <f>IF(SUM('Distribution 2026-27:Jurisdictional 2026-27'!R53)=0,"",SUM('Distribution 2026-27:Jurisdictional 2026-27'!R53))</f>
        <v/>
      </c>
      <c r="S53" s="77" t="str">
        <f>IF(SUM('Distribution 2026-27:Jurisdictional 2026-27'!S53)=0,"",SUM('Distribution 2026-27:Jurisdictional 2026-27'!S53))</f>
        <v/>
      </c>
      <c r="T53" s="77" t="str">
        <f>IF(SUM('Distribution 2026-27:Jurisdictional 2026-27'!T53)=0,"",SUM('Distribution 2026-27:Jurisdictional 2026-27'!T53))</f>
        <v/>
      </c>
      <c r="U53" s="77">
        <f>IF(SUM('Distribution 2026-27:Jurisdictional 2026-27'!U53)=0,"",SUM('Distribution 2026-27:Jurisdictional 2026-27'!U53))</f>
        <v>59.540656290641628</v>
      </c>
      <c r="V53" s="77">
        <f>IF(SUM('Distribution 2026-27:Jurisdictional 2026-27'!V53)=0,"",SUM('Distribution 2026-27:Jurisdictional 2026-27'!V53))</f>
        <v>99.857933634548843</v>
      </c>
      <c r="W53" s="77" t="str">
        <f>IF(SUM('Distribution 2026-27:Jurisdictional 2026-27'!W53)=0,"",SUM('Distribution 2026-27:Jurisdictional 2026-27'!W53))</f>
        <v/>
      </c>
      <c r="X53" s="77" t="str">
        <f>IF(SUM('Distribution 2026-27:Jurisdictional 2026-27'!X53)=0,"",SUM('Distribution 2026-27:Jurisdictional 2026-27'!X53))</f>
        <v/>
      </c>
    </row>
    <row r="54" spans="2:24" ht="35.1" customHeight="1" x14ac:dyDescent="0.2">
      <c r="B54" s="87"/>
      <c r="C54" s="11" t="s">
        <v>106</v>
      </c>
      <c r="D54" s="12">
        <v>13</v>
      </c>
      <c r="E54" s="17" t="s">
        <v>107</v>
      </c>
      <c r="F54" s="12" t="s">
        <v>45</v>
      </c>
      <c r="G54" s="84">
        <f>IF(SUM('Distribution 2026-27:Jurisdictional 2026-27'!G54)=0,"",SUM('Distribution 2026-27:Jurisdictional 2026-27'!G54))</f>
        <v>7829.429076999375</v>
      </c>
      <c r="H54" s="77" t="str">
        <f>IF(SUM('Distribution 2026-27:Jurisdictional 2026-27'!H54)=0,"",SUM('Distribution 2026-27:Jurisdictional 2026-27'!H54))</f>
        <v/>
      </c>
      <c r="I54" s="77" t="str">
        <f>IF(SUM('Distribution 2026-27:Jurisdictional 2026-27'!I54)=0,"",SUM('Distribution 2026-27:Jurisdictional 2026-27'!I54))</f>
        <v/>
      </c>
      <c r="J54" s="76" t="str">
        <f>IF(SUM('Distribution 2026-27:Jurisdictional 2026-27'!J54)=0,"",SUM('Distribution 2026-27:Jurisdictional 2026-27'!J54))</f>
        <v/>
      </c>
      <c r="K54" s="76">
        <f>IF(SUM('Distribution 2026-27:Jurisdictional 2026-27'!K54)=0,"",SUM('Distribution 2026-27:Jurisdictional 2026-27'!K54))</f>
        <v>7.3263368068970181</v>
      </c>
      <c r="L54" s="76">
        <f>IF(SUM('Distribution 2026-27:Jurisdictional 2026-27'!L54)=0,"",SUM('Distribution 2026-27:Jurisdictional 2026-27'!L54))</f>
        <v>6.0195930467532213</v>
      </c>
      <c r="M54" s="76" t="str">
        <f>IF(SUM('Distribution 2026-27:Jurisdictional 2026-27'!M54)=0,"",SUM('Distribution 2026-27:Jurisdictional 2026-27'!M54))</f>
        <v/>
      </c>
      <c r="N54" s="76" t="str">
        <f>IF(SUM('Distribution 2026-27:Jurisdictional 2026-27'!N54)=0,"",SUM('Distribution 2026-27:Jurisdictional 2026-27'!N54))</f>
        <v/>
      </c>
      <c r="O54" s="76" t="str">
        <f>IF(SUM('Distribution 2026-27:Jurisdictional 2026-27'!O54)=0,"",SUM('Distribution 2026-27:Jurisdictional 2026-27'!O54))</f>
        <v/>
      </c>
      <c r="P54" s="76">
        <f>IF(SUM('Distribution 2026-27:Jurisdictional 2026-27'!P54)=0,"",SUM('Distribution 2026-27:Jurisdictional 2026-27'!P54))</f>
        <v>2.4792985092985864</v>
      </c>
      <c r="Q54" s="77" t="str">
        <f>IF(SUM('Distribution 2026-27:Jurisdictional 2026-27'!Q54)=0,"",SUM('Distribution 2026-27:Jurisdictional 2026-27'!Q54))</f>
        <v/>
      </c>
      <c r="R54" s="77" t="str">
        <f>IF(SUM('Distribution 2026-27:Jurisdictional 2026-27'!R54)=0,"",SUM('Distribution 2026-27:Jurisdictional 2026-27'!R54))</f>
        <v/>
      </c>
      <c r="S54" s="77" t="str">
        <f>IF(SUM('Distribution 2026-27:Jurisdictional 2026-27'!S54)=0,"",SUM('Distribution 2026-27:Jurisdictional 2026-27'!S54))</f>
        <v/>
      </c>
      <c r="T54" s="77" t="str">
        <f>IF(SUM('Distribution 2026-27:Jurisdictional 2026-27'!T54)=0,"",SUM('Distribution 2026-27:Jurisdictional 2026-27'!T54))</f>
        <v/>
      </c>
      <c r="U54" s="77" t="str">
        <f>IF(SUM('Distribution 2026-27:Jurisdictional 2026-27'!U54)=0,"",SUM('Distribution 2026-27:Jurisdictional 2026-27'!U54))</f>
        <v/>
      </c>
      <c r="V54" s="77" t="str">
        <f>IF(SUM('Distribution 2026-27:Jurisdictional 2026-27'!V54)=0,"",SUM('Distribution 2026-27:Jurisdictional 2026-27'!V54))</f>
        <v/>
      </c>
      <c r="W54" s="77" t="str">
        <f>IF(SUM('Distribution 2026-27:Jurisdictional 2026-27'!W54)=0,"",SUM('Distribution 2026-27:Jurisdictional 2026-27'!W54))</f>
        <v/>
      </c>
      <c r="X54" s="77" t="str">
        <f>IF(SUM('Distribution 2026-27:Jurisdictional 2026-27'!X54)=0,"",SUM('Distribution 2026-27:Jurisdictional 2026-27'!X54))</f>
        <v/>
      </c>
    </row>
    <row r="55" spans="2:24" ht="35.1" customHeight="1" x14ac:dyDescent="0.2">
      <c r="B55" s="87"/>
      <c r="C55" s="11" t="s">
        <v>108</v>
      </c>
      <c r="D55" s="12">
        <v>13</v>
      </c>
      <c r="E55" s="13" t="s">
        <v>109</v>
      </c>
      <c r="F55" s="12" t="s">
        <v>33</v>
      </c>
      <c r="G55" s="84">
        <f>IF(SUM('Distribution 2026-27:Jurisdictional 2026-27'!G55)=0,"",SUM('Distribution 2026-27:Jurisdictional 2026-27'!G55))</f>
        <v>7829.429076999375</v>
      </c>
      <c r="H55" s="77" t="str">
        <f>IF(SUM('Distribution 2026-27:Jurisdictional 2026-27'!H55)=0,"",SUM('Distribution 2026-27:Jurisdictional 2026-27'!H55))</f>
        <v/>
      </c>
      <c r="I55" s="77" t="str">
        <f>IF(SUM('Distribution 2026-27:Jurisdictional 2026-27'!I55)=0,"",SUM('Distribution 2026-27:Jurisdictional 2026-27'!I55))</f>
        <v/>
      </c>
      <c r="J55" s="76" t="str">
        <f>IF(SUM('Distribution 2026-27:Jurisdictional 2026-27'!J55)=0,"",SUM('Distribution 2026-27:Jurisdictional 2026-27'!J55))</f>
        <v/>
      </c>
      <c r="K55" s="76">
        <f>IF(SUM('Distribution 2026-27:Jurisdictional 2026-27'!K55)=0,"",SUM('Distribution 2026-27:Jurisdictional 2026-27'!K55))</f>
        <v>7.0538275720582035</v>
      </c>
      <c r="L55" s="76">
        <f>IF(SUM('Distribution 2026-27:Jurisdictional 2026-27'!L55)=0,"",SUM('Distribution 2026-27:Jurisdictional 2026-27'!L55))</f>
        <v>5.7509039689202144</v>
      </c>
      <c r="M55" s="76" t="str">
        <f>IF(SUM('Distribution 2026-27:Jurisdictional 2026-27'!M55)=0,"",SUM('Distribution 2026-27:Jurisdictional 2026-27'!M55))</f>
        <v/>
      </c>
      <c r="N55" s="76" t="str">
        <f>IF(SUM('Distribution 2026-27:Jurisdictional 2026-27'!N55)=0,"",SUM('Distribution 2026-27:Jurisdictional 2026-27'!N55))</f>
        <v/>
      </c>
      <c r="O55" s="76" t="str">
        <f>IF(SUM('Distribution 2026-27:Jurisdictional 2026-27'!O55)=0,"",SUM('Distribution 2026-27:Jurisdictional 2026-27'!O55))</f>
        <v/>
      </c>
      <c r="P55" s="76">
        <f>IF(SUM('Distribution 2026-27:Jurisdictional 2026-27'!P55)=0,"",SUM('Distribution 2026-27:Jurisdictional 2026-27'!P55))</f>
        <v>2.3177527164721416</v>
      </c>
      <c r="Q55" s="77" t="str">
        <f>IF(SUM('Distribution 2026-27:Jurisdictional 2026-27'!Q55)=0,"",SUM('Distribution 2026-27:Jurisdictional 2026-27'!Q55))</f>
        <v/>
      </c>
      <c r="R55" s="77" t="str">
        <f>IF(SUM('Distribution 2026-27:Jurisdictional 2026-27'!R55)=0,"",SUM('Distribution 2026-27:Jurisdictional 2026-27'!R55))</f>
        <v/>
      </c>
      <c r="S55" s="77" t="str">
        <f>IF(SUM('Distribution 2026-27:Jurisdictional 2026-27'!S55)=0,"",SUM('Distribution 2026-27:Jurisdictional 2026-27'!S55))</f>
        <v/>
      </c>
      <c r="T55" s="77" t="str">
        <f>IF(SUM('Distribution 2026-27:Jurisdictional 2026-27'!T55)=0,"",SUM('Distribution 2026-27:Jurisdictional 2026-27'!T55))</f>
        <v/>
      </c>
      <c r="U55" s="77">
        <f>IF(SUM('Distribution 2026-27:Jurisdictional 2026-27'!U55)=0,"",SUM('Distribution 2026-27:Jurisdictional 2026-27'!U55))</f>
        <v>62.081023922655852</v>
      </c>
      <c r="V55" s="77">
        <f>IF(SUM('Distribution 2026-27:Jurisdictional 2026-27'!V55)=0,"",SUM('Distribution 2026-27:Jurisdictional 2026-27'!V55))</f>
        <v>104.98922347831883</v>
      </c>
      <c r="W55" s="77" t="str">
        <f>IF(SUM('Distribution 2026-27:Jurisdictional 2026-27'!W55)=0,"",SUM('Distribution 2026-27:Jurisdictional 2026-27'!W55))</f>
        <v/>
      </c>
      <c r="X55" s="77" t="str">
        <f>IF(SUM('Distribution 2026-27:Jurisdictional 2026-27'!X55)=0,"",SUM('Distribution 2026-27:Jurisdictional 2026-27'!X55))</f>
        <v/>
      </c>
    </row>
    <row r="56" spans="2:24" ht="35.1" customHeight="1" x14ac:dyDescent="0.2">
      <c r="B56" s="87"/>
      <c r="C56" s="16" t="s">
        <v>110</v>
      </c>
      <c r="D56" s="15">
        <v>13</v>
      </c>
      <c r="E56" s="17" t="s">
        <v>111</v>
      </c>
      <c r="F56" s="15" t="s">
        <v>33</v>
      </c>
      <c r="G56" s="84">
        <f>IF(SUM('Distribution 2026-27:Jurisdictional 2026-27'!G56)=0,"",SUM('Distribution 2026-27:Jurisdictional 2026-27'!G56))</f>
        <v>7829.429076999375</v>
      </c>
      <c r="H56" s="77" t="str">
        <f>IF(SUM('Distribution 2026-27:Jurisdictional 2026-27'!H56)=0,"",SUM('Distribution 2026-27:Jurisdictional 2026-27'!H56))</f>
        <v/>
      </c>
      <c r="I56" s="77" t="str">
        <f>IF(SUM('Distribution 2026-27:Jurisdictional 2026-27'!I56)=0,"",SUM('Distribution 2026-27:Jurisdictional 2026-27'!I56))</f>
        <v/>
      </c>
      <c r="J56" s="76" t="str">
        <f>IF(SUM('Distribution 2026-27:Jurisdictional 2026-27'!J56)=0,"",SUM('Distribution 2026-27:Jurisdictional 2026-27'!J56))</f>
        <v/>
      </c>
      <c r="K56" s="76">
        <f>IF(SUM('Distribution 2026-27:Jurisdictional 2026-27'!K56)=0,"",SUM('Distribution 2026-27:Jurisdictional 2026-27'!K56))</f>
        <v>6.9864104619643292</v>
      </c>
      <c r="L56" s="76">
        <f>IF(SUM('Distribution 2026-27:Jurisdictional 2026-27'!L56)=0,"",SUM('Distribution 2026-27:Jurisdictional 2026-27'!L56))</f>
        <v>5.7226431209106767</v>
      </c>
      <c r="M56" s="76" t="str">
        <f>IF(SUM('Distribution 2026-27:Jurisdictional 2026-27'!M56)=0,"",SUM('Distribution 2026-27:Jurisdictional 2026-27'!M56))</f>
        <v/>
      </c>
      <c r="N56" s="76" t="str">
        <f>IF(SUM('Distribution 2026-27:Jurisdictional 2026-27'!N56)=0,"",SUM('Distribution 2026-27:Jurisdictional 2026-27'!N56))</f>
        <v/>
      </c>
      <c r="O56" s="76" t="str">
        <f>IF(SUM('Distribution 2026-27:Jurisdictional 2026-27'!O56)=0,"",SUM('Distribution 2026-27:Jurisdictional 2026-27'!O56))</f>
        <v/>
      </c>
      <c r="P56" s="76">
        <f>IF(SUM('Distribution 2026-27:Jurisdictional 2026-27'!P56)=0,"",SUM('Distribution 2026-27:Jurisdictional 2026-27'!P56))</f>
        <v>2.238983453604019</v>
      </c>
      <c r="Q56" s="77" t="str">
        <f>IF(SUM('Distribution 2026-27:Jurisdictional 2026-27'!Q56)=0,"",SUM('Distribution 2026-27:Jurisdictional 2026-27'!Q56))</f>
        <v/>
      </c>
      <c r="R56" s="77" t="str">
        <f>IF(SUM('Distribution 2026-27:Jurisdictional 2026-27'!R56)=0,"",SUM('Distribution 2026-27:Jurisdictional 2026-27'!R56))</f>
        <v/>
      </c>
      <c r="S56" s="77" t="str">
        <f>IF(SUM('Distribution 2026-27:Jurisdictional 2026-27'!S56)=0,"",SUM('Distribution 2026-27:Jurisdictional 2026-27'!S56))</f>
        <v/>
      </c>
      <c r="T56" s="77" t="str">
        <f>IF(SUM('Distribution 2026-27:Jurisdictional 2026-27'!T56)=0,"",SUM('Distribution 2026-27:Jurisdictional 2026-27'!T56))</f>
        <v/>
      </c>
      <c r="U56" s="77">
        <f>IF(SUM('Distribution 2026-27:Jurisdictional 2026-27'!U56)=0,"",SUM('Distribution 2026-27:Jurisdictional 2026-27'!U56))</f>
        <v>68.059102977097282</v>
      </c>
      <c r="V56" s="77">
        <f>IF(SUM('Distribution 2026-27:Jurisdictional 2026-27'!V56)=0,"",SUM('Distribution 2026-27:Jurisdictional 2026-27'!V56))</f>
        <v>112.9768470774879</v>
      </c>
      <c r="W56" s="77" t="str">
        <f>IF(SUM('Distribution 2026-27:Jurisdictional 2026-27'!W56)=0,"",SUM('Distribution 2026-27:Jurisdictional 2026-27'!W56))</f>
        <v/>
      </c>
      <c r="X56" s="77" t="str">
        <f>IF(SUM('Distribution 2026-27:Jurisdictional 2026-27'!X56)=0,"",SUM('Distribution 2026-27:Jurisdictional 2026-27'!X56))</f>
        <v/>
      </c>
    </row>
    <row r="57" spans="2:24" ht="35.1" customHeight="1" x14ac:dyDescent="0.2">
      <c r="B57" s="87"/>
      <c r="C57" s="11" t="s">
        <v>112</v>
      </c>
      <c r="D57" s="12">
        <v>13</v>
      </c>
      <c r="E57" s="13" t="s">
        <v>113</v>
      </c>
      <c r="F57" s="12" t="s">
        <v>33</v>
      </c>
      <c r="G57" s="84">
        <f>IF(SUM('Distribution 2026-27:Jurisdictional 2026-27'!G57)=0,"",SUM('Distribution 2026-27:Jurisdictional 2026-27'!G57))</f>
        <v>7829.429076999375</v>
      </c>
      <c r="H57" s="77" t="str">
        <f>IF(SUM('Distribution 2026-27:Jurisdictional 2026-27'!H57)=0,"",SUM('Distribution 2026-27:Jurisdictional 2026-27'!H57))</f>
        <v/>
      </c>
      <c r="I57" s="77" t="str">
        <f>IF(SUM('Distribution 2026-27:Jurisdictional 2026-27'!I57)=0,"",SUM('Distribution 2026-27:Jurisdictional 2026-27'!I57))</f>
        <v/>
      </c>
      <c r="J57" s="76" t="str">
        <f>IF(SUM('Distribution 2026-27:Jurisdictional 2026-27'!J57)=0,"",SUM('Distribution 2026-27:Jurisdictional 2026-27'!J57))</f>
        <v/>
      </c>
      <c r="K57" s="76">
        <f>IF(SUM('Distribution 2026-27:Jurisdictional 2026-27'!K57)=0,"",SUM('Distribution 2026-27:Jurisdictional 2026-27'!K57))</f>
        <v>6.6020558756886309</v>
      </c>
      <c r="L57" s="76">
        <f>IF(SUM('Distribution 2026-27:Jurisdictional 2026-27'!L57)=0,"",SUM('Distribution 2026-27:Jurisdictional 2026-27'!L57))</f>
        <v>5.4703392985560511</v>
      </c>
      <c r="M57" s="76" t="str">
        <f>IF(SUM('Distribution 2026-27:Jurisdictional 2026-27'!M57)=0,"",SUM('Distribution 2026-27:Jurisdictional 2026-27'!M57))</f>
        <v/>
      </c>
      <c r="N57" s="76" t="str">
        <f>IF(SUM('Distribution 2026-27:Jurisdictional 2026-27'!N57)=0,"",SUM('Distribution 2026-27:Jurisdictional 2026-27'!N57))</f>
        <v/>
      </c>
      <c r="O57" s="76" t="str">
        <f>IF(SUM('Distribution 2026-27:Jurisdictional 2026-27'!O57)=0,"",SUM('Distribution 2026-27:Jurisdictional 2026-27'!O57))</f>
        <v/>
      </c>
      <c r="P57" s="76">
        <f>IF(SUM('Distribution 2026-27:Jurisdictional 2026-27'!P57)=0,"",SUM('Distribution 2026-27:Jurisdictional 2026-27'!P57))</f>
        <v>2.0618660017384061</v>
      </c>
      <c r="Q57" s="77" t="str">
        <f>IF(SUM('Distribution 2026-27:Jurisdictional 2026-27'!Q57)=0,"",SUM('Distribution 2026-27:Jurisdictional 2026-27'!Q57))</f>
        <v/>
      </c>
      <c r="R57" s="77" t="str">
        <f>IF(SUM('Distribution 2026-27:Jurisdictional 2026-27'!R57)=0,"",SUM('Distribution 2026-27:Jurisdictional 2026-27'!R57))</f>
        <v/>
      </c>
      <c r="S57" s="77" t="str">
        <f>IF(SUM('Distribution 2026-27:Jurisdictional 2026-27'!S57)=0,"",SUM('Distribution 2026-27:Jurisdictional 2026-27'!S57))</f>
        <v/>
      </c>
      <c r="T57" s="77" t="str">
        <f>IF(SUM('Distribution 2026-27:Jurisdictional 2026-27'!T57)=0,"",SUM('Distribution 2026-27:Jurisdictional 2026-27'!T57))</f>
        <v/>
      </c>
      <c r="U57" s="77">
        <f>IF(SUM('Distribution 2026-27:Jurisdictional 2026-27'!U57)=0,"",SUM('Distribution 2026-27:Jurisdictional 2026-27'!U57))</f>
        <v>74.871332597274701</v>
      </c>
      <c r="V57" s="77">
        <f>IF(SUM('Distribution 2026-27:Jurisdictional 2026-27'!V57)=0,"",SUM('Distribution 2026-27:Jurisdictional 2026-27'!V57))</f>
        <v>123.87135901179764</v>
      </c>
      <c r="W57" s="77" t="str">
        <f>IF(SUM('Distribution 2026-27:Jurisdictional 2026-27'!W57)=0,"",SUM('Distribution 2026-27:Jurisdictional 2026-27'!W57))</f>
        <v/>
      </c>
      <c r="X57" s="77" t="str">
        <f>IF(SUM('Distribution 2026-27:Jurisdictional 2026-27'!X57)=0,"",SUM('Distribution 2026-27:Jurisdictional 2026-27'!X57))</f>
        <v/>
      </c>
    </row>
    <row r="58" spans="2:24" ht="35.1" customHeight="1" x14ac:dyDescent="0.2">
      <c r="B58" s="91" t="s">
        <v>114</v>
      </c>
      <c r="C58" s="16" t="s">
        <v>115</v>
      </c>
      <c r="D58" s="15">
        <v>14</v>
      </c>
      <c r="E58" s="17" t="s">
        <v>116</v>
      </c>
      <c r="F58" s="15" t="s">
        <v>33</v>
      </c>
      <c r="G58" s="84">
        <f>IF(SUM('Distribution 2026-27:Jurisdictional 2026-27'!G58)=0,"",SUM('Distribution 2026-27:Jurisdictional 2026-27'!G58))</f>
        <v>7829.429076999375</v>
      </c>
      <c r="H58" s="77" t="str">
        <f>IF(SUM('Distribution 2026-27:Jurisdictional 2026-27'!H58)=0,"",SUM('Distribution 2026-27:Jurisdictional 2026-27'!H58))</f>
        <v/>
      </c>
      <c r="I58" s="77" t="str">
        <f>IF(SUM('Distribution 2026-27:Jurisdictional 2026-27'!I58)=0,"",SUM('Distribution 2026-27:Jurisdictional 2026-27'!I58))</f>
        <v/>
      </c>
      <c r="J58" s="76" t="str">
        <f>IF(SUM('Distribution 2026-27:Jurisdictional 2026-27'!J58)=0,"",SUM('Distribution 2026-27:Jurisdictional 2026-27'!J58))</f>
        <v/>
      </c>
      <c r="K58" s="76">
        <f>IF(SUM('Distribution 2026-27:Jurisdictional 2026-27'!K58)=0,"",SUM('Distribution 2026-27:Jurisdictional 2026-27'!K58))</f>
        <v>3.998459917427958</v>
      </c>
      <c r="L58" s="76" t="str">
        <f>IF(SUM('Distribution 2026-27:Jurisdictional 2026-27'!L58)=0,"",SUM('Distribution 2026-27:Jurisdictional 2026-27'!L58))</f>
        <v/>
      </c>
      <c r="M58" s="76" t="str">
        <f>IF(SUM('Distribution 2026-27:Jurisdictional 2026-27'!M58)=0,"",SUM('Distribution 2026-27:Jurisdictional 2026-27'!M58))</f>
        <v/>
      </c>
      <c r="N58" s="76" t="str">
        <f>IF(SUM('Distribution 2026-27:Jurisdictional 2026-27'!N58)=0,"",SUM('Distribution 2026-27:Jurisdictional 2026-27'!N58))</f>
        <v/>
      </c>
      <c r="O58" s="76" t="str">
        <f>IF(SUM('Distribution 2026-27:Jurisdictional 2026-27'!O58)=0,"",SUM('Distribution 2026-27:Jurisdictional 2026-27'!O58))</f>
        <v/>
      </c>
      <c r="P58" s="76">
        <f>IF(SUM('Distribution 2026-27:Jurisdictional 2026-27'!P58)=0,"",SUM('Distribution 2026-27:Jurisdictional 2026-27'!P58))</f>
        <v>1.2062487182189423</v>
      </c>
      <c r="Q58" s="77" t="str">
        <f>IF(SUM('Distribution 2026-27:Jurisdictional 2026-27'!Q58)=0,"",SUM('Distribution 2026-27:Jurisdictional 2026-27'!Q58))</f>
        <v/>
      </c>
      <c r="R58" s="77" t="str">
        <f>IF(SUM('Distribution 2026-27:Jurisdictional 2026-27'!R58)=0,"",SUM('Distribution 2026-27:Jurisdictional 2026-27'!R58))</f>
        <v/>
      </c>
      <c r="S58" s="77" t="str">
        <f>IF(SUM('Distribution 2026-27:Jurisdictional 2026-27'!S58)=0,"",SUM('Distribution 2026-27:Jurisdictional 2026-27'!S58))</f>
        <v/>
      </c>
      <c r="T58" s="77" t="str">
        <f>IF(SUM('Distribution 2026-27:Jurisdictional 2026-27'!T58)=0,"",SUM('Distribution 2026-27:Jurisdictional 2026-27'!T58))</f>
        <v/>
      </c>
      <c r="U58" s="77">
        <f>IF(SUM('Distribution 2026-27:Jurisdictional 2026-27'!U58)=0,"",SUM('Distribution 2026-27:Jurisdictional 2026-27'!U58))</f>
        <v>49.201481218851647</v>
      </c>
      <c r="V58" s="77">
        <f>IF(SUM('Distribution 2026-27:Jurisdictional 2026-27'!V58)=0,"",SUM('Distribution 2026-27:Jurisdictional 2026-27'!V58))</f>
        <v>80.636113403297188</v>
      </c>
      <c r="W58" s="77" t="str">
        <f>IF(SUM('Distribution 2026-27:Jurisdictional 2026-27'!W58)=0,"",SUM('Distribution 2026-27:Jurisdictional 2026-27'!W58))</f>
        <v/>
      </c>
      <c r="X58" s="77" t="str">
        <f>IF(SUM('Distribution 2026-27:Jurisdictional 2026-27'!X58)=0,"",SUM('Distribution 2026-27:Jurisdictional 2026-27'!X58))</f>
        <v/>
      </c>
    </row>
    <row r="59" spans="2:24" ht="35.1" customHeight="1" x14ac:dyDescent="0.2">
      <c r="B59" s="89"/>
      <c r="C59" s="11" t="s">
        <v>117</v>
      </c>
      <c r="D59" s="12">
        <v>13</v>
      </c>
      <c r="E59" s="13" t="s">
        <v>118</v>
      </c>
      <c r="F59" s="12" t="s">
        <v>33</v>
      </c>
      <c r="G59" s="84">
        <f>IF(SUM('Distribution 2026-27:Jurisdictional 2026-27'!G59)=0,"",SUM('Distribution 2026-27:Jurisdictional 2026-27'!G59))</f>
        <v>7830.8068172785433</v>
      </c>
      <c r="H59" s="77" t="str">
        <f>IF(SUM('Distribution 2026-27:Jurisdictional 2026-27'!H59)=0,"",SUM('Distribution 2026-27:Jurisdictional 2026-27'!H59))</f>
        <v/>
      </c>
      <c r="I59" s="77" t="str">
        <f>IF(SUM('Distribution 2026-27:Jurisdictional 2026-27'!I59)=0,"",SUM('Distribution 2026-27:Jurisdictional 2026-27'!I59))</f>
        <v/>
      </c>
      <c r="J59" s="76" t="str">
        <f>IF(SUM('Distribution 2026-27:Jurisdictional 2026-27'!J59)=0,"",SUM('Distribution 2026-27:Jurisdictional 2026-27'!J59))</f>
        <v/>
      </c>
      <c r="K59" s="76">
        <f>IF(SUM('Distribution 2026-27:Jurisdictional 2026-27'!K59)=0,"",SUM('Distribution 2026-27:Jurisdictional 2026-27'!K59))</f>
        <v>3.9247237510548483</v>
      </c>
      <c r="L59" s="76">
        <f>IF(SUM('Distribution 2026-27:Jurisdictional 2026-27'!L59)=0,"",SUM('Distribution 2026-27:Jurisdictional 2026-27'!L59))</f>
        <v>3.9247237510548483</v>
      </c>
      <c r="M59" s="76" t="str">
        <f>IF(SUM('Distribution 2026-27:Jurisdictional 2026-27'!M59)=0,"",SUM('Distribution 2026-27:Jurisdictional 2026-27'!M59))</f>
        <v/>
      </c>
      <c r="N59" s="76" t="str">
        <f>IF(SUM('Distribution 2026-27:Jurisdictional 2026-27'!N59)=0,"",SUM('Distribution 2026-27:Jurisdictional 2026-27'!N59))</f>
        <v/>
      </c>
      <c r="O59" s="76" t="str">
        <f>IF(SUM('Distribution 2026-27:Jurisdictional 2026-27'!O59)=0,"",SUM('Distribution 2026-27:Jurisdictional 2026-27'!O59))</f>
        <v/>
      </c>
      <c r="P59" s="76">
        <f>IF(SUM('Distribution 2026-27:Jurisdictional 2026-27'!P59)=0,"",SUM('Distribution 2026-27:Jurisdictional 2026-27'!P59))</f>
        <v>1.4678654342080659</v>
      </c>
      <c r="Q59" s="77" t="str">
        <f>IF(SUM('Distribution 2026-27:Jurisdictional 2026-27'!Q59)=0,"",SUM('Distribution 2026-27:Jurisdictional 2026-27'!Q59))</f>
        <v/>
      </c>
      <c r="R59" s="77" t="str">
        <f>IF(SUM('Distribution 2026-27:Jurisdictional 2026-27'!R59)=0,"",SUM('Distribution 2026-27:Jurisdictional 2026-27'!R59))</f>
        <v/>
      </c>
      <c r="S59" s="77" t="str">
        <f>IF(SUM('Distribution 2026-27:Jurisdictional 2026-27'!S59)=0,"",SUM('Distribution 2026-27:Jurisdictional 2026-27'!S59))</f>
        <v/>
      </c>
      <c r="T59" s="77" t="str">
        <f>IF(SUM('Distribution 2026-27:Jurisdictional 2026-27'!T59)=0,"",SUM('Distribution 2026-27:Jurisdictional 2026-27'!T59))</f>
        <v/>
      </c>
      <c r="U59" s="77">
        <f>IF(SUM('Distribution 2026-27:Jurisdictional 2026-27'!U59)=0,"",SUM('Distribution 2026-27:Jurisdictional 2026-27'!U59))</f>
        <v>45.102415334485094</v>
      </c>
      <c r="V59" s="77">
        <f>IF(SUM('Distribution 2026-27:Jurisdictional 2026-27'!V59)=0,"",SUM('Distribution 2026-27:Jurisdictional 2026-27'!V59))</f>
        <v>73.808567131504006</v>
      </c>
      <c r="W59" s="77" t="str">
        <f>IF(SUM('Distribution 2026-27:Jurisdictional 2026-27'!W59)=0,"",SUM('Distribution 2026-27:Jurisdictional 2026-27'!W59))</f>
        <v/>
      </c>
      <c r="X59" s="77" t="str">
        <f>IF(SUM('Distribution 2026-27:Jurisdictional 2026-27'!X59)=0,"",SUM('Distribution 2026-27:Jurisdictional 2026-27'!X59))</f>
        <v/>
      </c>
    </row>
    <row r="60" spans="2:24" ht="35.1" customHeight="1" x14ac:dyDescent="0.2">
      <c r="B60" s="89"/>
      <c r="C60" s="16" t="s">
        <v>119</v>
      </c>
      <c r="D60" s="15">
        <v>13</v>
      </c>
      <c r="E60" s="17" t="s">
        <v>120</v>
      </c>
      <c r="F60" s="15" t="s">
        <v>33</v>
      </c>
      <c r="G60" s="84">
        <f>IF(SUM('Distribution 2026-27:Jurisdictional 2026-27'!G60)=0,"",SUM('Distribution 2026-27:Jurisdictional 2026-27'!G60))</f>
        <v>7829.429076999375</v>
      </c>
      <c r="H60" s="77" t="str">
        <f>IF(SUM('Distribution 2026-27:Jurisdictional 2026-27'!H60)=0,"",SUM('Distribution 2026-27:Jurisdictional 2026-27'!H60))</f>
        <v/>
      </c>
      <c r="I60" s="77" t="str">
        <f>IF(SUM('Distribution 2026-27:Jurisdictional 2026-27'!I60)=0,"",SUM('Distribution 2026-27:Jurisdictional 2026-27'!I60))</f>
        <v/>
      </c>
      <c r="J60" s="76" t="str">
        <f>IF(SUM('Distribution 2026-27:Jurisdictional 2026-27'!J60)=0,"",SUM('Distribution 2026-27:Jurisdictional 2026-27'!J60))</f>
        <v/>
      </c>
      <c r="K60" s="76">
        <f>IF(SUM('Distribution 2026-27:Jurisdictional 2026-27'!K60)=0,"",SUM('Distribution 2026-27:Jurisdictional 2026-27'!K60))</f>
        <v>15.193452786847903</v>
      </c>
      <c r="L60" s="76">
        <f>IF(SUM('Distribution 2026-27:Jurisdictional 2026-27'!L60)=0,"",SUM('Distribution 2026-27:Jurisdictional 2026-27'!L60))</f>
        <v>7.444406023268332</v>
      </c>
      <c r="M60" s="76" t="str">
        <f>IF(SUM('Distribution 2026-27:Jurisdictional 2026-27'!M60)=0,"",SUM('Distribution 2026-27:Jurisdictional 2026-27'!M60))</f>
        <v/>
      </c>
      <c r="N60" s="76" t="str">
        <f>IF(SUM('Distribution 2026-27:Jurisdictional 2026-27'!N60)=0,"",SUM('Distribution 2026-27:Jurisdictional 2026-27'!N60))</f>
        <v/>
      </c>
      <c r="O60" s="76" t="str">
        <f>IF(SUM('Distribution 2026-27:Jurisdictional 2026-27'!O60)=0,"",SUM('Distribution 2026-27:Jurisdictional 2026-27'!O60))</f>
        <v/>
      </c>
      <c r="P60" s="76">
        <f>IF(SUM('Distribution 2026-27:Jurisdictional 2026-27'!P60)=0,"",SUM('Distribution 2026-27:Jurisdictional 2026-27'!P60))</f>
        <v>2.2118243374260298</v>
      </c>
      <c r="Q60" s="77" t="str">
        <f>IF(SUM('Distribution 2026-27:Jurisdictional 2026-27'!Q60)=0,"",SUM('Distribution 2026-27:Jurisdictional 2026-27'!Q60))</f>
        <v/>
      </c>
      <c r="R60" s="77" t="str">
        <f>IF(SUM('Distribution 2026-27:Jurisdictional 2026-27'!R60)=0,"",SUM('Distribution 2026-27:Jurisdictional 2026-27'!R60))</f>
        <v/>
      </c>
      <c r="S60" s="77" t="str">
        <f>IF(SUM('Distribution 2026-27:Jurisdictional 2026-27'!S60)=0,"",SUM('Distribution 2026-27:Jurisdictional 2026-27'!S60))</f>
        <v/>
      </c>
      <c r="T60" s="77" t="str">
        <f>IF(SUM('Distribution 2026-27:Jurisdictional 2026-27'!T60)=0,"",SUM('Distribution 2026-27:Jurisdictional 2026-27'!T60))</f>
        <v/>
      </c>
      <c r="U60" s="77">
        <f>IF(SUM('Distribution 2026-27:Jurisdictional 2026-27'!U60)=0,"",SUM('Distribution 2026-27:Jurisdictional 2026-27'!U60))</f>
        <v>5.2436294452397174</v>
      </c>
      <c r="V60" s="77">
        <f>IF(SUM('Distribution 2026-27:Jurisdictional 2026-27'!V60)=0,"",SUM('Distribution 2026-27:Jurisdictional 2026-27'!V60))</f>
        <v>8.6633877790917087</v>
      </c>
      <c r="W60" s="77" t="str">
        <f>IF(SUM('Distribution 2026-27:Jurisdictional 2026-27'!W60)=0,"",SUM('Distribution 2026-27:Jurisdictional 2026-27'!W60))</f>
        <v/>
      </c>
      <c r="X60" s="77" t="str">
        <f>IF(SUM('Distribution 2026-27:Jurisdictional 2026-27'!X60)=0,"",SUM('Distribution 2026-27:Jurisdictional 2026-27'!X60))</f>
        <v/>
      </c>
    </row>
    <row r="61" spans="2:24" ht="35.1" customHeight="1" x14ac:dyDescent="0.2">
      <c r="B61" s="90"/>
      <c r="C61" s="11" t="s">
        <v>121</v>
      </c>
      <c r="D61" s="12">
        <v>14</v>
      </c>
      <c r="E61" s="17" t="s">
        <v>122</v>
      </c>
      <c r="F61" s="12" t="s">
        <v>33</v>
      </c>
      <c r="G61" s="84">
        <f>IF(SUM('Distribution 2026-27:Jurisdictional 2026-27'!G61)=0,"",SUM('Distribution 2026-27:Jurisdictional 2026-27'!G61))</f>
        <v>7829.429076999375</v>
      </c>
      <c r="H61" s="77" t="str">
        <f>IF(SUM('Distribution 2026-27:Jurisdictional 2026-27'!H61)=0,"",SUM('Distribution 2026-27:Jurisdictional 2026-27'!H61))</f>
        <v/>
      </c>
      <c r="I61" s="77" t="str">
        <f>IF(SUM('Distribution 2026-27:Jurisdictional 2026-27'!I61)=0,"",SUM('Distribution 2026-27:Jurisdictional 2026-27'!I61))</f>
        <v/>
      </c>
      <c r="J61" s="76" t="str">
        <f>IF(SUM('Distribution 2026-27:Jurisdictional 2026-27'!J61)=0,"",SUM('Distribution 2026-27:Jurisdictional 2026-27'!J61))</f>
        <v/>
      </c>
      <c r="K61" s="76">
        <f>IF(SUM('Distribution 2026-27:Jurisdictional 2026-27'!K61)=0,"",SUM('Distribution 2026-27:Jurisdictional 2026-27'!K61))</f>
        <v>3.998459917427958</v>
      </c>
      <c r="L61" s="76" t="str">
        <f>IF(SUM('Distribution 2026-27:Jurisdictional 2026-27'!L61)=0,"",SUM('Distribution 2026-27:Jurisdictional 2026-27'!L61))</f>
        <v/>
      </c>
      <c r="M61" s="76" t="str">
        <f>IF(SUM('Distribution 2026-27:Jurisdictional 2026-27'!M61)=0,"",SUM('Distribution 2026-27:Jurisdictional 2026-27'!M61))</f>
        <v/>
      </c>
      <c r="N61" s="76" t="str">
        <f>IF(SUM('Distribution 2026-27:Jurisdictional 2026-27'!N61)=0,"",SUM('Distribution 2026-27:Jurisdictional 2026-27'!N61))</f>
        <v/>
      </c>
      <c r="O61" s="76" t="str">
        <f>IF(SUM('Distribution 2026-27:Jurisdictional 2026-27'!O61)=0,"",SUM('Distribution 2026-27:Jurisdictional 2026-27'!O61))</f>
        <v/>
      </c>
      <c r="P61" s="76">
        <f>IF(SUM('Distribution 2026-27:Jurisdictional 2026-27'!P61)=0,"",SUM('Distribution 2026-27:Jurisdictional 2026-27'!P61))</f>
        <v>1.2062487182189423</v>
      </c>
      <c r="Q61" s="77" t="str">
        <f>IF(SUM('Distribution 2026-27:Jurisdictional 2026-27'!Q61)=0,"",SUM('Distribution 2026-27:Jurisdictional 2026-27'!Q61))</f>
        <v/>
      </c>
      <c r="R61" s="77" t="str">
        <f>IF(SUM('Distribution 2026-27:Jurisdictional 2026-27'!R61)=0,"",SUM('Distribution 2026-27:Jurisdictional 2026-27'!R61))</f>
        <v/>
      </c>
      <c r="S61" s="77" t="str">
        <f>IF(SUM('Distribution 2026-27:Jurisdictional 2026-27'!S61)=0,"",SUM('Distribution 2026-27:Jurisdictional 2026-27'!S61))</f>
        <v/>
      </c>
      <c r="T61" s="77" t="str">
        <f>IF(SUM('Distribution 2026-27:Jurisdictional 2026-27'!T61)=0,"",SUM('Distribution 2026-27:Jurisdictional 2026-27'!T61))</f>
        <v/>
      </c>
      <c r="U61" s="77">
        <f>IF(SUM('Distribution 2026-27:Jurisdictional 2026-27'!U61)=0,"",SUM('Distribution 2026-27:Jurisdictional 2026-27'!U61))</f>
        <v>49.201481218851647</v>
      </c>
      <c r="V61" s="77">
        <f>IF(SUM('Distribution 2026-27:Jurisdictional 2026-27'!V61)=0,"",SUM('Distribution 2026-27:Jurisdictional 2026-27'!V61))</f>
        <v>80.636113403297188</v>
      </c>
      <c r="W61" s="77" t="str">
        <f>IF(SUM('Distribution 2026-27:Jurisdictional 2026-27'!W61)=0,"",SUM('Distribution 2026-27:Jurisdictional 2026-27'!W61))</f>
        <v/>
      </c>
      <c r="X61" s="77" t="str">
        <f>IF(SUM('Distribution 2026-27:Jurisdictional 2026-27'!X61)=0,"",SUM('Distribution 2026-27:Jurisdictional 2026-27'!X61))</f>
        <v/>
      </c>
    </row>
    <row r="62" spans="2:24" ht="35.1" customHeight="1" x14ac:dyDescent="0.2">
      <c r="B62" s="87" t="s">
        <v>123</v>
      </c>
      <c r="C62" s="11" t="s">
        <v>124</v>
      </c>
      <c r="D62" s="12">
        <v>14</v>
      </c>
      <c r="E62" s="13" t="s">
        <v>125</v>
      </c>
      <c r="F62" s="12" t="s">
        <v>33</v>
      </c>
      <c r="G62" s="84">
        <f>IF(SUM('Distribution 2026-27:Jurisdictional 2026-27'!G62)=0,"",SUM('Distribution 2026-27:Jurisdictional 2026-27'!G62))</f>
        <v>27707.272346285317</v>
      </c>
      <c r="H62" s="77" t="str">
        <f>IF(SUM('Distribution 2026-27:Jurisdictional 2026-27'!H62)=0,"",SUM('Distribution 2026-27:Jurisdictional 2026-27'!H62))</f>
        <v/>
      </c>
      <c r="I62" s="77" t="str">
        <f>IF(SUM('Distribution 2026-27:Jurisdictional 2026-27'!I62)=0,"",SUM('Distribution 2026-27:Jurisdictional 2026-27'!I62))</f>
        <v/>
      </c>
      <c r="J62" s="76" t="str">
        <f>IF(SUM('Distribution 2026-27:Jurisdictional 2026-27'!J62)=0,"",SUM('Distribution 2026-27:Jurisdictional 2026-27'!J62))</f>
        <v/>
      </c>
      <c r="K62" s="76">
        <f>IF(SUM('Distribution 2026-27:Jurisdictional 2026-27'!K62)=0,"",SUM('Distribution 2026-27:Jurisdictional 2026-27'!K62))</f>
        <v>3.9301558040296656</v>
      </c>
      <c r="L62" s="76" t="str">
        <f>IF(SUM('Distribution 2026-27:Jurisdictional 2026-27'!L62)=0,"",SUM('Distribution 2026-27:Jurisdictional 2026-27'!L62))</f>
        <v/>
      </c>
      <c r="M62" s="76" t="str">
        <f>IF(SUM('Distribution 2026-27:Jurisdictional 2026-27'!M62)=0,"",SUM('Distribution 2026-27:Jurisdictional 2026-27'!M62))</f>
        <v/>
      </c>
      <c r="N62" s="76" t="str">
        <f>IF(SUM('Distribution 2026-27:Jurisdictional 2026-27'!N62)=0,"",SUM('Distribution 2026-27:Jurisdictional 2026-27'!N62))</f>
        <v/>
      </c>
      <c r="O62" s="76" t="str">
        <f>IF(SUM('Distribution 2026-27:Jurisdictional 2026-27'!O62)=0,"",SUM('Distribution 2026-27:Jurisdictional 2026-27'!O62))</f>
        <v/>
      </c>
      <c r="P62" s="76">
        <f>IF(SUM('Distribution 2026-27:Jurisdictional 2026-27'!P62)=0,"",SUM('Distribution 2026-27:Jurisdictional 2026-27'!P62))</f>
        <v>0.97466422939306363</v>
      </c>
      <c r="Q62" s="77" t="str">
        <f>IF(SUM('Distribution 2026-27:Jurisdictional 2026-27'!Q62)=0,"",SUM('Distribution 2026-27:Jurisdictional 2026-27'!Q62))</f>
        <v/>
      </c>
      <c r="R62" s="77" t="str">
        <f>IF(SUM('Distribution 2026-27:Jurisdictional 2026-27'!R62)=0,"",SUM('Distribution 2026-27:Jurisdictional 2026-27'!R62))</f>
        <v/>
      </c>
      <c r="S62" s="77" t="str">
        <f>IF(SUM('Distribution 2026-27:Jurisdictional 2026-27'!S62)=0,"",SUM('Distribution 2026-27:Jurisdictional 2026-27'!S62))</f>
        <v/>
      </c>
      <c r="T62" s="77" t="str">
        <f>IF(SUM('Distribution 2026-27:Jurisdictional 2026-27'!T62)=0,"",SUM('Distribution 2026-27:Jurisdictional 2026-27'!T62))</f>
        <v/>
      </c>
      <c r="U62" s="77">
        <f>IF(SUM('Distribution 2026-27:Jurisdictional 2026-27'!U62)=0,"",SUM('Distribution 2026-27:Jurisdictional 2026-27'!U62))</f>
        <v>3.2788735555299917</v>
      </c>
      <c r="V62" s="77">
        <f>IF(SUM('Distribution 2026-27:Jurisdictional 2026-27'!V62)=0,"",SUM('Distribution 2026-27:Jurisdictional 2026-27'!V62))</f>
        <v>5.4057104564143081</v>
      </c>
      <c r="W62" s="77" t="str">
        <f>IF(SUM('Distribution 2026-27:Jurisdictional 2026-27'!W62)=0,"",SUM('Distribution 2026-27:Jurisdictional 2026-27'!W62))</f>
        <v/>
      </c>
      <c r="X62" s="77" t="str">
        <f>IF(SUM('Distribution 2026-27:Jurisdictional 2026-27'!X62)=0,"",SUM('Distribution 2026-27:Jurisdictional 2026-27'!X62))</f>
        <v/>
      </c>
    </row>
    <row r="63" spans="2:24" ht="35.1" customHeight="1" x14ac:dyDescent="0.2">
      <c r="B63" s="87"/>
      <c r="C63" s="11" t="s">
        <v>126</v>
      </c>
      <c r="D63" s="12">
        <v>3</v>
      </c>
      <c r="E63" s="13" t="s">
        <v>127</v>
      </c>
      <c r="F63" s="12" t="s">
        <v>45</v>
      </c>
      <c r="G63" s="84" t="str">
        <f>IF(SUM('Distribution 2026-27:Jurisdictional 2026-27'!G63)=0,"",SUM('Distribution 2026-27:Jurisdictional 2026-27'!G63))</f>
        <v/>
      </c>
      <c r="H63" s="77" t="str">
        <f>IF(SUM('Distribution 2026-27:Jurisdictional 2026-27'!H63)=0,"",SUM('Distribution 2026-27:Jurisdictional 2026-27'!H63))</f>
        <v/>
      </c>
      <c r="I63" s="77" t="str">
        <f>IF(SUM('Distribution 2026-27:Jurisdictional 2026-27'!I63)=0,"",SUM('Distribution 2026-27:Jurisdictional 2026-27'!I63))</f>
        <v/>
      </c>
      <c r="J63" s="76" t="str">
        <f>IF(SUM('Distribution 2026-27:Jurisdictional 2026-27'!J63)=0,"",SUM('Distribution 2026-27:Jurisdictional 2026-27'!J63))</f>
        <v/>
      </c>
      <c r="K63" s="76">
        <f>IF(SUM('Distribution 2026-27:Jurisdictional 2026-27'!K63)=0,"",SUM('Distribution 2026-27:Jurisdictional 2026-27'!K63))</f>
        <v>3.3971028099983229</v>
      </c>
      <c r="L63" s="76" t="str">
        <f>IF(SUM('Distribution 2026-27:Jurisdictional 2026-27'!L63)=0,"",SUM('Distribution 2026-27:Jurisdictional 2026-27'!L63))</f>
        <v/>
      </c>
      <c r="M63" s="76" t="str">
        <f>IF(SUM('Distribution 2026-27:Jurisdictional 2026-27'!M63)=0,"",SUM('Distribution 2026-27:Jurisdictional 2026-27'!M63))</f>
        <v/>
      </c>
      <c r="N63" s="76" t="str">
        <f>IF(SUM('Distribution 2026-27:Jurisdictional 2026-27'!N63)=0,"",SUM('Distribution 2026-27:Jurisdictional 2026-27'!N63))</f>
        <v/>
      </c>
      <c r="O63" s="76" t="str">
        <f>IF(SUM('Distribution 2026-27:Jurisdictional 2026-27'!O63)=0,"",SUM('Distribution 2026-27:Jurisdictional 2026-27'!O63))</f>
        <v/>
      </c>
      <c r="P63" s="76">
        <f>IF(SUM('Distribution 2026-27:Jurisdictional 2026-27'!P63)=0,"",SUM('Distribution 2026-27:Jurisdictional 2026-27'!P63))</f>
        <v>3.3971028099983229</v>
      </c>
      <c r="Q63" s="77" t="str">
        <f>IF(SUM('Distribution 2026-27:Jurisdictional 2026-27'!Q63)=0,"",SUM('Distribution 2026-27:Jurisdictional 2026-27'!Q63))</f>
        <v/>
      </c>
      <c r="R63" s="77" t="str">
        <f>IF(SUM('Distribution 2026-27:Jurisdictional 2026-27'!R63)=0,"",SUM('Distribution 2026-27:Jurisdictional 2026-27'!R63))</f>
        <v/>
      </c>
      <c r="S63" s="77" t="str">
        <f>IF(SUM('Distribution 2026-27:Jurisdictional 2026-27'!S63)=0,"",SUM('Distribution 2026-27:Jurisdictional 2026-27'!S63))</f>
        <v/>
      </c>
      <c r="T63" s="77" t="str">
        <f>IF(SUM('Distribution 2026-27:Jurisdictional 2026-27'!T63)=0,"",SUM('Distribution 2026-27:Jurisdictional 2026-27'!T63))</f>
        <v/>
      </c>
      <c r="U63" s="77" t="str">
        <f>IF(SUM('Distribution 2026-27:Jurisdictional 2026-27'!U63)=0,"",SUM('Distribution 2026-27:Jurisdictional 2026-27'!U63))</f>
        <v/>
      </c>
      <c r="V63" s="77" t="str">
        <f>IF(SUM('Distribution 2026-27:Jurisdictional 2026-27'!V63)=0,"",SUM('Distribution 2026-27:Jurisdictional 2026-27'!V63))</f>
        <v/>
      </c>
      <c r="W63" s="77" t="str">
        <f>IF(SUM('Distribution 2026-27:Jurisdictional 2026-27'!W63)=0,"",SUM('Distribution 2026-27:Jurisdictional 2026-27'!W63))</f>
        <v/>
      </c>
      <c r="X63" s="77" t="str">
        <f>IF(SUM('Distribution 2026-27:Jurisdictional 2026-27'!X63)=0,"",SUM('Distribution 2026-27:Jurisdictional 2026-27'!X63))</f>
        <v/>
      </c>
    </row>
    <row r="64" spans="2:24" ht="35.1" customHeight="1" x14ac:dyDescent="0.2">
      <c r="B64" s="87"/>
      <c r="C64" s="16" t="s">
        <v>128</v>
      </c>
      <c r="D64" s="15">
        <v>14</v>
      </c>
      <c r="E64" s="17" t="s">
        <v>129</v>
      </c>
      <c r="F64" s="15" t="s">
        <v>33</v>
      </c>
      <c r="G64" s="84">
        <f>IF(SUM('Distribution 2026-27:Jurisdictional 2026-27'!G64)=0,"",SUM('Distribution 2026-27:Jurisdictional 2026-27'!G64))</f>
        <v>27707.272346285317</v>
      </c>
      <c r="H64" s="77" t="str">
        <f>IF(SUM('Distribution 2026-27:Jurisdictional 2026-27'!H64)=0,"",SUM('Distribution 2026-27:Jurisdictional 2026-27'!H64))</f>
        <v/>
      </c>
      <c r="I64" s="77" t="str">
        <f>IF(SUM('Distribution 2026-27:Jurisdictional 2026-27'!I64)=0,"",SUM('Distribution 2026-27:Jurisdictional 2026-27'!I64))</f>
        <v/>
      </c>
      <c r="J64" s="76" t="str">
        <f>IF(SUM('Distribution 2026-27:Jurisdictional 2026-27'!J64)=0,"",SUM('Distribution 2026-27:Jurisdictional 2026-27'!J64))</f>
        <v/>
      </c>
      <c r="K64" s="76">
        <f>IF(SUM('Distribution 2026-27:Jurisdictional 2026-27'!K64)=0,"",SUM('Distribution 2026-27:Jurisdictional 2026-27'!K64))</f>
        <v>3.8855989180607584</v>
      </c>
      <c r="L64" s="76" t="str">
        <f>IF(SUM('Distribution 2026-27:Jurisdictional 2026-27'!L64)=0,"",SUM('Distribution 2026-27:Jurisdictional 2026-27'!L64))</f>
        <v/>
      </c>
      <c r="M64" s="76" t="str">
        <f>IF(SUM('Distribution 2026-27:Jurisdictional 2026-27'!M64)=0,"",SUM('Distribution 2026-27:Jurisdictional 2026-27'!M64))</f>
        <v/>
      </c>
      <c r="N64" s="76" t="str">
        <f>IF(SUM('Distribution 2026-27:Jurisdictional 2026-27'!N64)=0,"",SUM('Distribution 2026-27:Jurisdictional 2026-27'!N64))</f>
        <v/>
      </c>
      <c r="O64" s="76" t="str">
        <f>IF(SUM('Distribution 2026-27:Jurisdictional 2026-27'!O64)=0,"",SUM('Distribution 2026-27:Jurisdictional 2026-27'!O64))</f>
        <v/>
      </c>
      <c r="P64" s="76">
        <f>IF(SUM('Distribution 2026-27:Jurisdictional 2026-27'!P64)=0,"",SUM('Distribution 2026-27:Jurisdictional 2026-27'!P64))</f>
        <v>0.95222647311881214</v>
      </c>
      <c r="Q64" s="77" t="str">
        <f>IF(SUM('Distribution 2026-27:Jurisdictional 2026-27'!Q64)=0,"",SUM('Distribution 2026-27:Jurisdictional 2026-27'!Q64))</f>
        <v/>
      </c>
      <c r="R64" s="77" t="str">
        <f>IF(SUM('Distribution 2026-27:Jurisdictional 2026-27'!R64)=0,"",SUM('Distribution 2026-27:Jurisdictional 2026-27'!R64))</f>
        <v/>
      </c>
      <c r="S64" s="77" t="str">
        <f>IF(SUM('Distribution 2026-27:Jurisdictional 2026-27'!S64)=0,"",SUM('Distribution 2026-27:Jurisdictional 2026-27'!S64))</f>
        <v/>
      </c>
      <c r="T64" s="77" t="str">
        <f>IF(SUM('Distribution 2026-27:Jurisdictional 2026-27'!T64)=0,"",SUM('Distribution 2026-27:Jurisdictional 2026-27'!T64))</f>
        <v/>
      </c>
      <c r="U64" s="77">
        <f>IF(SUM('Distribution 2026-27:Jurisdictional 2026-27'!U64)=0,"",SUM('Distribution 2026-27:Jurisdictional 2026-27'!U64))</f>
        <v>2.4433304873254373</v>
      </c>
      <c r="V64" s="77">
        <f>IF(SUM('Distribution 2026-27:Jurisdictional 2026-27'!V64)=0,"",SUM('Distribution 2026-27:Jurisdictional 2026-27'!V64))</f>
        <v>4.0637776499039662</v>
      </c>
      <c r="W64" s="77" t="str">
        <f>IF(SUM('Distribution 2026-27:Jurisdictional 2026-27'!W64)=0,"",SUM('Distribution 2026-27:Jurisdictional 2026-27'!W64))</f>
        <v/>
      </c>
      <c r="X64" s="77" t="str">
        <f>IF(SUM('Distribution 2026-27:Jurisdictional 2026-27'!X64)=0,"",SUM('Distribution 2026-27:Jurisdictional 2026-27'!X64))</f>
        <v/>
      </c>
    </row>
    <row r="65" spans="2:24" ht="35.1" customHeight="1" x14ac:dyDescent="0.2">
      <c r="B65" s="87"/>
      <c r="C65" s="16" t="s">
        <v>130</v>
      </c>
      <c r="D65" s="15">
        <v>14</v>
      </c>
      <c r="E65" s="17" t="s">
        <v>131</v>
      </c>
      <c r="F65" s="15" t="s">
        <v>33</v>
      </c>
      <c r="G65" s="84">
        <f>IF(SUM('Distribution 2026-27:Jurisdictional 2026-27'!G65)=0,"",SUM('Distribution 2026-27:Jurisdictional 2026-27'!G65))</f>
        <v>79.012455473395292</v>
      </c>
      <c r="H65" s="77" t="str">
        <f>IF(SUM('Distribution 2026-27:Jurisdictional 2026-27'!H65)=0,"",SUM('Distribution 2026-27:Jurisdictional 2026-27'!H65))</f>
        <v/>
      </c>
      <c r="I65" s="77" t="str">
        <f>IF(SUM('Distribution 2026-27:Jurisdictional 2026-27'!I65)=0,"",SUM('Distribution 2026-27:Jurisdictional 2026-27'!I65))</f>
        <v/>
      </c>
      <c r="J65" s="76" t="str">
        <f>IF(SUM('Distribution 2026-27:Jurisdictional 2026-27'!J65)=0,"",SUM('Distribution 2026-27:Jurisdictional 2026-27'!J65))</f>
        <v/>
      </c>
      <c r="K65" s="76" t="str">
        <f>IF(SUM('Distribution 2026-27:Jurisdictional 2026-27'!K65)=0,"",SUM('Distribution 2026-27:Jurisdictional 2026-27'!K65))</f>
        <v/>
      </c>
      <c r="L65" s="76" t="str">
        <f>IF(SUM('Distribution 2026-27:Jurisdictional 2026-27'!L65)=0,"",SUM('Distribution 2026-27:Jurisdictional 2026-27'!L65))</f>
        <v/>
      </c>
      <c r="M65" s="76" t="str">
        <f>IF(SUM('Distribution 2026-27:Jurisdictional 2026-27'!M65)=0,"",SUM('Distribution 2026-27:Jurisdictional 2026-27'!M65))</f>
        <v/>
      </c>
      <c r="N65" s="76" t="str">
        <f>IF(SUM('Distribution 2026-27:Jurisdictional 2026-27'!N65)=0,"",SUM('Distribution 2026-27:Jurisdictional 2026-27'!N65))</f>
        <v/>
      </c>
      <c r="O65" s="76" t="str">
        <f>IF(SUM('Distribution 2026-27:Jurisdictional 2026-27'!O65)=0,"",SUM('Distribution 2026-27:Jurisdictional 2026-27'!O65))</f>
        <v/>
      </c>
      <c r="P65" s="76" t="str">
        <f>IF(SUM('Distribution 2026-27:Jurisdictional 2026-27'!P65)=0,"",SUM('Distribution 2026-27:Jurisdictional 2026-27'!P65))</f>
        <v/>
      </c>
      <c r="Q65" s="77" t="str">
        <f>IF(SUM('Distribution 2026-27:Jurisdictional 2026-27'!Q65)=0,"",SUM('Distribution 2026-27:Jurisdictional 2026-27'!Q65))</f>
        <v/>
      </c>
      <c r="R65" s="77" t="str">
        <f>IF(SUM('Distribution 2026-27:Jurisdictional 2026-27'!R65)=0,"",SUM('Distribution 2026-27:Jurisdictional 2026-27'!R65))</f>
        <v/>
      </c>
      <c r="S65" s="77" t="str">
        <f>IF(SUM('Distribution 2026-27:Jurisdictional 2026-27'!S65)=0,"",SUM('Distribution 2026-27:Jurisdictional 2026-27'!S65))</f>
        <v/>
      </c>
      <c r="T65" s="77" t="str">
        <f>IF(SUM('Distribution 2026-27:Jurisdictional 2026-27'!T65)=0,"",SUM('Distribution 2026-27:Jurisdictional 2026-27'!T65))</f>
        <v/>
      </c>
      <c r="U65" s="77" t="str">
        <f>IF(SUM('Distribution 2026-27:Jurisdictional 2026-27'!U65)=0,"",SUM('Distribution 2026-27:Jurisdictional 2026-27'!U65))</f>
        <v/>
      </c>
      <c r="V65" s="77" t="str">
        <f>IF(SUM('Distribution 2026-27:Jurisdictional 2026-27'!V65)=0,"",SUM('Distribution 2026-27:Jurisdictional 2026-27'!V65))</f>
        <v/>
      </c>
      <c r="W65" s="77" t="str">
        <f>IF(SUM('Distribution 2026-27:Jurisdictional 2026-27'!W65)=0,"",SUM('Distribution 2026-27:Jurisdictional 2026-27'!W65))</f>
        <v/>
      </c>
      <c r="X65" s="77" t="str">
        <f>IF(SUM('Distribution 2026-27:Jurisdictional 2026-27'!X65)=0,"",SUM('Distribution 2026-27:Jurisdictional 2026-27'!X65))</f>
        <v/>
      </c>
    </row>
    <row r="66" spans="2:24" ht="35.1" customHeight="1" x14ac:dyDescent="0.2">
      <c r="B66" s="87"/>
      <c r="C66" s="11" t="s">
        <v>132</v>
      </c>
      <c r="D66" s="12">
        <v>14</v>
      </c>
      <c r="E66" s="13" t="s">
        <v>133</v>
      </c>
      <c r="F66" s="12" t="s">
        <v>33</v>
      </c>
      <c r="G66" s="84">
        <f>IF(SUM('Distribution 2026-27:Jurisdictional 2026-27'!G66)=0,"",SUM('Distribution 2026-27:Jurisdictional 2026-27'!G66))</f>
        <v>27707.272346285317</v>
      </c>
      <c r="H66" s="77" t="str">
        <f>IF(SUM('Distribution 2026-27:Jurisdictional 2026-27'!H66)=0,"",SUM('Distribution 2026-27:Jurisdictional 2026-27'!H66))</f>
        <v/>
      </c>
      <c r="I66" s="77" t="str">
        <f>IF(SUM('Distribution 2026-27:Jurisdictional 2026-27'!I66)=0,"",SUM('Distribution 2026-27:Jurisdictional 2026-27'!I66))</f>
        <v/>
      </c>
      <c r="J66" s="76" t="str">
        <f>IF(SUM('Distribution 2026-27:Jurisdictional 2026-27'!J66)=0,"",SUM('Distribution 2026-27:Jurisdictional 2026-27'!J66))</f>
        <v/>
      </c>
      <c r="K66" s="76">
        <f>IF(SUM('Distribution 2026-27:Jurisdictional 2026-27'!K66)=0,"",SUM('Distribution 2026-27:Jurisdictional 2026-27'!K66))</f>
        <v>3.9774819183970065</v>
      </c>
      <c r="L66" s="76" t="str">
        <f>IF(SUM('Distribution 2026-27:Jurisdictional 2026-27'!L66)=0,"",SUM('Distribution 2026-27:Jurisdictional 2026-27'!L66))</f>
        <v/>
      </c>
      <c r="M66" s="76" t="str">
        <f>IF(SUM('Distribution 2026-27:Jurisdictional 2026-27'!M66)=0,"",SUM('Distribution 2026-27:Jurisdictional 2026-27'!M66))</f>
        <v/>
      </c>
      <c r="N66" s="76" t="str">
        <f>IF(SUM('Distribution 2026-27:Jurisdictional 2026-27'!N66)=0,"",SUM('Distribution 2026-27:Jurisdictional 2026-27'!N66))</f>
        <v/>
      </c>
      <c r="O66" s="76" t="str">
        <f>IF(SUM('Distribution 2026-27:Jurisdictional 2026-27'!O66)=0,"",SUM('Distribution 2026-27:Jurisdictional 2026-27'!O66))</f>
        <v/>
      </c>
      <c r="P66" s="76">
        <f>IF(SUM('Distribution 2026-27:Jurisdictional 2026-27'!P66)=0,"",SUM('Distribution 2026-27:Jurisdictional 2026-27'!P66))</f>
        <v>1.0015363270848148</v>
      </c>
      <c r="Q66" s="77" t="str">
        <f>IF(SUM('Distribution 2026-27:Jurisdictional 2026-27'!Q66)=0,"",SUM('Distribution 2026-27:Jurisdictional 2026-27'!Q66))</f>
        <v/>
      </c>
      <c r="R66" s="77" t="str">
        <f>IF(SUM('Distribution 2026-27:Jurisdictional 2026-27'!R66)=0,"",SUM('Distribution 2026-27:Jurisdictional 2026-27'!R66))</f>
        <v/>
      </c>
      <c r="S66" s="77" t="str">
        <f>IF(SUM('Distribution 2026-27:Jurisdictional 2026-27'!S66)=0,"",SUM('Distribution 2026-27:Jurisdictional 2026-27'!S66))</f>
        <v/>
      </c>
      <c r="T66" s="77" t="str">
        <f>IF(SUM('Distribution 2026-27:Jurisdictional 2026-27'!T66)=0,"",SUM('Distribution 2026-27:Jurisdictional 2026-27'!T66))</f>
        <v/>
      </c>
      <c r="U66" s="77">
        <f>IF(SUM('Distribution 2026-27:Jurisdictional 2026-27'!U66)=0,"",SUM('Distribution 2026-27:Jurisdictional 2026-27'!U66))</f>
        <v>5.0765571265155449</v>
      </c>
      <c r="V66" s="77">
        <f>IF(SUM('Distribution 2026-27:Jurisdictional 2026-27'!V66)=0,"",SUM('Distribution 2026-27:Jurisdictional 2026-27'!V66))</f>
        <v>8.4313891427914065</v>
      </c>
      <c r="W66" s="77" t="str">
        <f>IF(SUM('Distribution 2026-27:Jurisdictional 2026-27'!W66)=0,"",SUM('Distribution 2026-27:Jurisdictional 2026-27'!W66))</f>
        <v/>
      </c>
      <c r="X66" s="77" t="str">
        <f>IF(SUM('Distribution 2026-27:Jurisdictional 2026-27'!X66)=0,"",SUM('Distribution 2026-27:Jurisdictional 2026-27'!X66))</f>
        <v/>
      </c>
    </row>
    <row r="67" spans="2:24" ht="35.1" customHeight="1" x14ac:dyDescent="0.2">
      <c r="B67" s="87"/>
      <c r="C67" s="11" t="s">
        <v>134</v>
      </c>
      <c r="D67" s="12">
        <v>14</v>
      </c>
      <c r="E67" s="17" t="s">
        <v>135</v>
      </c>
      <c r="F67" s="12" t="s">
        <v>33</v>
      </c>
      <c r="G67" s="84">
        <f>IF(SUM('Distribution 2026-27:Jurisdictional 2026-27'!G67)=0,"",SUM('Distribution 2026-27:Jurisdictional 2026-27'!G67))</f>
        <v>27707.272346285317</v>
      </c>
      <c r="H67" s="77" t="str">
        <f>IF(SUM('Distribution 2026-27:Jurisdictional 2026-27'!H67)=0,"",SUM('Distribution 2026-27:Jurisdictional 2026-27'!H67))</f>
        <v/>
      </c>
      <c r="I67" s="77" t="str">
        <f>IF(SUM('Distribution 2026-27:Jurisdictional 2026-27'!I67)=0,"",SUM('Distribution 2026-27:Jurisdictional 2026-27'!I67))</f>
        <v/>
      </c>
      <c r="J67" s="76" t="str">
        <f>IF(SUM('Distribution 2026-27:Jurisdictional 2026-27'!J67)=0,"",SUM('Distribution 2026-27:Jurisdictional 2026-27'!J67))</f>
        <v/>
      </c>
      <c r="K67" s="76">
        <f>IF(SUM('Distribution 2026-27:Jurisdictional 2026-27'!K67)=0,"",SUM('Distribution 2026-27:Jurisdictional 2026-27'!K67))</f>
        <v>0.70413845768022432</v>
      </c>
      <c r="L67" s="76" t="str">
        <f>IF(SUM('Distribution 2026-27:Jurisdictional 2026-27'!L67)=0,"",SUM('Distribution 2026-27:Jurisdictional 2026-27'!L67))</f>
        <v/>
      </c>
      <c r="M67" s="76" t="str">
        <f>IF(SUM('Distribution 2026-27:Jurisdictional 2026-27'!M67)=0,"",SUM('Distribution 2026-27:Jurisdictional 2026-27'!M67))</f>
        <v/>
      </c>
      <c r="N67" s="76" t="str">
        <f>IF(SUM('Distribution 2026-27:Jurisdictional 2026-27'!N67)=0,"",SUM('Distribution 2026-27:Jurisdictional 2026-27'!N67))</f>
        <v/>
      </c>
      <c r="O67" s="76" t="str">
        <f>IF(SUM('Distribution 2026-27:Jurisdictional 2026-27'!O67)=0,"",SUM('Distribution 2026-27:Jurisdictional 2026-27'!O67))</f>
        <v/>
      </c>
      <c r="P67" s="76">
        <f>IF(SUM('Distribution 2026-27:Jurisdictional 2026-27'!P67)=0,"",SUM('Distribution 2026-27:Jurisdictional 2026-27'!P67))</f>
        <v>8.8630175444484566E-2</v>
      </c>
      <c r="Q67" s="77" t="str">
        <f>IF(SUM('Distribution 2026-27:Jurisdictional 2026-27'!Q67)=0,"",SUM('Distribution 2026-27:Jurisdictional 2026-27'!Q67))</f>
        <v/>
      </c>
      <c r="R67" s="77" t="str">
        <f>IF(SUM('Distribution 2026-27:Jurisdictional 2026-27'!R67)=0,"",SUM('Distribution 2026-27:Jurisdictional 2026-27'!R67))</f>
        <v/>
      </c>
      <c r="S67" s="77" t="str">
        <f>IF(SUM('Distribution 2026-27:Jurisdictional 2026-27'!S67)=0,"",SUM('Distribution 2026-27:Jurisdictional 2026-27'!S67))</f>
        <v/>
      </c>
      <c r="T67" s="77" t="str">
        <f>IF(SUM('Distribution 2026-27:Jurisdictional 2026-27'!T67)=0,"",SUM('Distribution 2026-27:Jurisdictional 2026-27'!T67))</f>
        <v/>
      </c>
      <c r="U67" s="77">
        <f>IF(SUM('Distribution 2026-27:Jurisdictional 2026-27'!U67)=0,"",SUM('Distribution 2026-27:Jurisdictional 2026-27'!U67))</f>
        <v>5.0765571265155449</v>
      </c>
      <c r="V67" s="77">
        <f>IF(SUM('Distribution 2026-27:Jurisdictional 2026-27'!V67)=0,"",SUM('Distribution 2026-27:Jurisdictional 2026-27'!V67))</f>
        <v>8.4313891427914065</v>
      </c>
      <c r="W67" s="77" t="str">
        <f>IF(SUM('Distribution 2026-27:Jurisdictional 2026-27'!W67)=0,"",SUM('Distribution 2026-27:Jurisdictional 2026-27'!W67))</f>
        <v/>
      </c>
      <c r="X67" s="77" t="str">
        <f>IF(SUM('Distribution 2026-27:Jurisdictional 2026-27'!X67)=0,"",SUM('Distribution 2026-27:Jurisdictional 2026-27'!X67))</f>
        <v/>
      </c>
    </row>
    <row r="68" spans="2:24" ht="5.0999999999999996" customHeight="1" x14ac:dyDescent="0.2"/>
  </sheetData>
  <mergeCells count="6">
    <mergeCell ref="B62:B67"/>
    <mergeCell ref="B7:B20"/>
    <mergeCell ref="B27:B41"/>
    <mergeCell ref="B47:B52"/>
    <mergeCell ref="B53:B57"/>
    <mergeCell ref="B58:B61"/>
  </mergeCells>
  <pageMargins left="0.25" right="0.25" top="0.75" bottom="0.75" header="0.3" footer="0.3"/>
  <pageSetup paperSize="9" scale="26" orientation="landscape" r:id="rId1"/>
  <headerFooter>
    <oddFooter>&amp;C_x000D_&amp;1#&amp;"Century Gothic"&amp;7&amp;K7F7F7F BUSINESS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1428-F110-4C3F-9BC6-1315480C7ECA}">
  <sheetPr codeName="Sheet2">
    <tabColor rgb="FF275CAB"/>
    <pageSetUpPr fitToPage="1"/>
  </sheetPr>
  <dimension ref="B1:AB68"/>
  <sheetViews>
    <sheetView zoomScale="70" zoomScaleNormal="70" workbookViewId="0">
      <selection activeCell="T20" sqref="T20"/>
    </sheetView>
  </sheetViews>
  <sheetFormatPr defaultColWidth="9.140625" defaultRowHeight="12.75" x14ac:dyDescent="0.2"/>
  <cols>
    <col min="1" max="1" width="0.85546875" style="2" customWidth="1"/>
    <col min="2" max="2" width="17.5703125" style="2" customWidth="1"/>
    <col min="3" max="3" width="19.7109375" style="2" customWidth="1"/>
    <col min="4" max="4" width="12.5703125" style="2" customWidth="1"/>
    <col min="5" max="5" width="44.7109375" style="2" customWidth="1"/>
    <col min="6" max="24" width="12.28515625" style="2" customWidth="1"/>
    <col min="25" max="25" width="0.85546875" style="2" customWidth="1"/>
    <col min="26" max="16384" width="9.140625" style="2"/>
  </cols>
  <sheetData>
    <row r="1" spans="2:28" x14ac:dyDescent="0.2"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2:28" ht="35.1" customHeight="1" x14ac:dyDescent="0.4">
      <c r="B2" s="1" t="s">
        <v>187</v>
      </c>
    </row>
    <row r="3" spans="2:28" ht="27" customHeight="1" x14ac:dyDescent="0.2">
      <c r="B3" s="3" t="s">
        <v>186</v>
      </c>
      <c r="G3" s="86" t="s">
        <v>190</v>
      </c>
      <c r="H3" s="86" t="s">
        <v>1</v>
      </c>
      <c r="I3" s="86" t="s">
        <v>2</v>
      </c>
      <c r="J3" s="86" t="s">
        <v>3</v>
      </c>
      <c r="K3" s="86" t="s">
        <v>4</v>
      </c>
      <c r="L3" s="86" t="s">
        <v>5</v>
      </c>
      <c r="M3" s="86" t="s">
        <v>6</v>
      </c>
      <c r="N3" s="86" t="s">
        <v>7</v>
      </c>
      <c r="O3" s="86" t="s">
        <v>8</v>
      </c>
      <c r="P3" s="86" t="s">
        <v>191</v>
      </c>
      <c r="Q3" s="86" t="s">
        <v>192</v>
      </c>
      <c r="R3" s="86" t="s">
        <v>11</v>
      </c>
      <c r="S3" s="86" t="s">
        <v>12</v>
      </c>
      <c r="T3" s="86" t="s">
        <v>13</v>
      </c>
      <c r="U3" s="86" t="s">
        <v>22</v>
      </c>
      <c r="V3" s="86" t="s">
        <v>193</v>
      </c>
      <c r="W3" s="86" t="s">
        <v>194</v>
      </c>
      <c r="X3" s="86" t="s">
        <v>195</v>
      </c>
      <c r="Y3" s="86"/>
      <c r="Z3" s="86"/>
    </row>
    <row r="4" spans="2:28" ht="5.0999999999999996" customHeight="1" x14ac:dyDescent="0.2"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2:28" ht="62.1" customHeight="1" x14ac:dyDescent="0.2">
      <c r="B5" s="61" t="s">
        <v>14</v>
      </c>
      <c r="C5" s="69" t="s">
        <v>15</v>
      </c>
      <c r="D5" s="69" t="s">
        <v>16</v>
      </c>
      <c r="E5" s="69" t="s">
        <v>17</v>
      </c>
      <c r="F5" s="61" t="s">
        <v>18</v>
      </c>
      <c r="G5" s="61" t="s">
        <v>0</v>
      </c>
      <c r="H5" s="61" t="s">
        <v>1</v>
      </c>
      <c r="I5" s="61" t="s">
        <v>2</v>
      </c>
      <c r="J5" s="61" t="s">
        <v>3</v>
      </c>
      <c r="K5" s="61" t="s">
        <v>4</v>
      </c>
      <c r="L5" s="61" t="s">
        <v>19</v>
      </c>
      <c r="M5" s="61" t="s">
        <v>6</v>
      </c>
      <c r="N5" s="61" t="s">
        <v>7</v>
      </c>
      <c r="O5" s="61" t="s">
        <v>8</v>
      </c>
      <c r="P5" s="61" t="s">
        <v>20</v>
      </c>
      <c r="Q5" s="61" t="s">
        <v>10</v>
      </c>
      <c r="R5" s="61" t="s">
        <v>11</v>
      </c>
      <c r="S5" s="61" t="s">
        <v>21</v>
      </c>
      <c r="T5" s="61" t="s">
        <v>13</v>
      </c>
      <c r="U5" s="61" t="s">
        <v>22</v>
      </c>
      <c r="V5" s="61" t="s">
        <v>23</v>
      </c>
      <c r="W5" s="61" t="s">
        <v>24</v>
      </c>
      <c r="X5" s="61" t="s">
        <v>25</v>
      </c>
    </row>
    <row r="6" spans="2:28" ht="18" customHeight="1" x14ac:dyDescent="0.2">
      <c r="B6" s="62"/>
      <c r="C6" s="70"/>
      <c r="D6" s="70"/>
      <c r="E6" s="70"/>
      <c r="F6" s="62"/>
      <c r="G6" s="62" t="s">
        <v>26</v>
      </c>
      <c r="H6" s="62" t="s">
        <v>27</v>
      </c>
      <c r="I6" s="62" t="s">
        <v>27</v>
      </c>
      <c r="J6" s="62" t="s">
        <v>27</v>
      </c>
      <c r="K6" s="62" t="s">
        <v>27</v>
      </c>
      <c r="L6" s="62" t="s">
        <v>27</v>
      </c>
      <c r="M6" s="62" t="s">
        <v>27</v>
      </c>
      <c r="N6" s="62" t="s">
        <v>27</v>
      </c>
      <c r="O6" s="62" t="s">
        <v>27</v>
      </c>
      <c r="P6" s="62" t="s">
        <v>27</v>
      </c>
      <c r="Q6" s="62" t="s">
        <v>27</v>
      </c>
      <c r="R6" s="62" t="s">
        <v>27</v>
      </c>
      <c r="S6" s="62" t="s">
        <v>27</v>
      </c>
      <c r="T6" s="62" t="s">
        <v>27</v>
      </c>
      <c r="U6" s="62" t="s">
        <v>28</v>
      </c>
      <c r="V6" s="62" t="s">
        <v>28</v>
      </c>
      <c r="W6" s="62" t="s">
        <v>29</v>
      </c>
      <c r="X6" s="62" t="s">
        <v>29</v>
      </c>
    </row>
    <row r="7" spans="2:28" ht="35.1" customHeight="1" x14ac:dyDescent="0.2">
      <c r="B7" s="88" t="s">
        <v>30</v>
      </c>
      <c r="C7" s="11" t="s">
        <v>31</v>
      </c>
      <c r="D7" s="12">
        <v>1</v>
      </c>
      <c r="E7" s="13" t="s">
        <v>32</v>
      </c>
      <c r="F7" s="12" t="s">
        <v>33</v>
      </c>
      <c r="G7" s="77">
        <v>145.30522170722094</v>
      </c>
      <c r="H7" s="76" t="s">
        <v>201</v>
      </c>
      <c r="I7" s="76">
        <v>9.9872779612417997</v>
      </c>
      <c r="J7" s="76">
        <v>9.9872779612417997</v>
      </c>
      <c r="K7" s="76" t="s">
        <v>201</v>
      </c>
      <c r="L7" s="76" t="s">
        <v>201</v>
      </c>
      <c r="M7" s="76" t="s">
        <v>201</v>
      </c>
      <c r="N7" s="76" t="s">
        <v>201</v>
      </c>
      <c r="O7" s="76" t="s">
        <v>201</v>
      </c>
      <c r="P7" s="76" t="s">
        <v>201</v>
      </c>
      <c r="Q7" s="76" t="s">
        <v>201</v>
      </c>
      <c r="R7" s="76" t="s">
        <v>201</v>
      </c>
      <c r="S7" s="76" t="s">
        <v>201</v>
      </c>
      <c r="T7" s="76" t="s">
        <v>201</v>
      </c>
      <c r="U7" s="77" t="s">
        <v>201</v>
      </c>
      <c r="V7" s="77" t="s">
        <v>201</v>
      </c>
      <c r="W7" s="77" t="s">
        <v>201</v>
      </c>
      <c r="X7" s="77" t="s">
        <v>201</v>
      </c>
    </row>
    <row r="8" spans="2:28" ht="35.1" customHeight="1" x14ac:dyDescent="0.2">
      <c r="B8" s="88"/>
      <c r="C8" s="11" t="s">
        <v>34</v>
      </c>
      <c r="D8" s="12">
        <v>1</v>
      </c>
      <c r="E8" s="13" t="s">
        <v>35</v>
      </c>
      <c r="F8" s="12" t="s">
        <v>33</v>
      </c>
      <c r="G8" s="77">
        <v>145.30522170722094</v>
      </c>
      <c r="H8" s="76" t="s">
        <v>201</v>
      </c>
      <c r="I8" s="76">
        <v>9.9872779612417997</v>
      </c>
      <c r="J8" s="76">
        <v>9.9872779612417997</v>
      </c>
      <c r="K8" s="76" t="s">
        <v>201</v>
      </c>
      <c r="L8" s="76" t="s">
        <v>201</v>
      </c>
      <c r="M8" s="76" t="s">
        <v>201</v>
      </c>
      <c r="N8" s="76" t="s">
        <v>201</v>
      </c>
      <c r="O8" s="76" t="s">
        <v>201</v>
      </c>
      <c r="P8" s="76" t="s">
        <v>201</v>
      </c>
      <c r="Q8" s="76" t="s">
        <v>201</v>
      </c>
      <c r="R8" s="76" t="s">
        <v>201</v>
      </c>
      <c r="S8" s="76" t="s">
        <v>201</v>
      </c>
      <c r="T8" s="76" t="s">
        <v>201</v>
      </c>
      <c r="U8" s="77" t="s">
        <v>201</v>
      </c>
      <c r="V8" s="77" t="s">
        <v>201</v>
      </c>
      <c r="W8" s="77" t="s">
        <v>201</v>
      </c>
      <c r="X8" s="77" t="s">
        <v>201</v>
      </c>
    </row>
    <row r="9" spans="2:28" ht="35.1" customHeight="1" x14ac:dyDescent="0.2">
      <c r="B9" s="88"/>
      <c r="C9" s="11" t="s">
        <v>36</v>
      </c>
      <c r="D9" s="12" t="s">
        <v>37</v>
      </c>
      <c r="E9" s="13" t="s">
        <v>38</v>
      </c>
      <c r="F9" s="12" t="s">
        <v>33</v>
      </c>
      <c r="G9" s="77">
        <v>145.30522170722094</v>
      </c>
      <c r="H9" s="76" t="s">
        <v>201</v>
      </c>
      <c r="I9" s="76">
        <v>9.9872779612417997</v>
      </c>
      <c r="J9" s="76">
        <v>9.9872779612417997</v>
      </c>
      <c r="K9" s="76" t="s">
        <v>201</v>
      </c>
      <c r="L9" s="76" t="s">
        <v>201</v>
      </c>
      <c r="M9" s="76" t="s">
        <v>201</v>
      </c>
      <c r="N9" s="76" t="s">
        <v>201</v>
      </c>
      <c r="O9" s="76" t="s">
        <v>201</v>
      </c>
      <c r="P9" s="76" t="s">
        <v>201</v>
      </c>
      <c r="Q9" s="76">
        <v>3.8456560417800212</v>
      </c>
      <c r="R9" s="76" t="s">
        <v>201</v>
      </c>
      <c r="S9" s="76" t="s">
        <v>201</v>
      </c>
      <c r="T9" s="76" t="s">
        <v>201</v>
      </c>
      <c r="U9" s="77" t="s">
        <v>201</v>
      </c>
      <c r="V9" s="77" t="s">
        <v>201</v>
      </c>
      <c r="W9" s="77" t="s">
        <v>201</v>
      </c>
      <c r="X9" s="77" t="s">
        <v>201</v>
      </c>
      <c r="Y9" s="14"/>
    </row>
    <row r="10" spans="2:28" ht="35.1" customHeight="1" x14ac:dyDescent="0.2">
      <c r="B10" s="88"/>
      <c r="C10" s="11" t="s">
        <v>182</v>
      </c>
      <c r="D10" s="83">
        <v>21</v>
      </c>
      <c r="E10" s="13" t="s">
        <v>39</v>
      </c>
      <c r="F10" s="12" t="s">
        <v>33</v>
      </c>
      <c r="G10" s="77">
        <v>145.30522170722094</v>
      </c>
      <c r="H10" s="76" t="s">
        <v>201</v>
      </c>
      <c r="I10" s="76" t="s">
        <v>201</v>
      </c>
      <c r="J10" s="76" t="s">
        <v>201</v>
      </c>
      <c r="K10" s="76">
        <v>23.513247197593628</v>
      </c>
      <c r="L10" s="76" t="s">
        <v>201</v>
      </c>
      <c r="M10" s="76" t="s">
        <v>201</v>
      </c>
      <c r="N10" s="76" t="s">
        <v>201</v>
      </c>
      <c r="O10" s="76" t="s">
        <v>201</v>
      </c>
      <c r="P10" s="76">
        <v>4.2751358541079298</v>
      </c>
      <c r="Q10" s="76" t="s">
        <v>201</v>
      </c>
      <c r="R10" s="76">
        <v>1</v>
      </c>
      <c r="S10" s="76" t="s">
        <v>201</v>
      </c>
      <c r="T10" s="76" t="s">
        <v>201</v>
      </c>
      <c r="U10" s="77" t="s">
        <v>201</v>
      </c>
      <c r="V10" s="77" t="s">
        <v>201</v>
      </c>
      <c r="W10" s="77" t="s">
        <v>201</v>
      </c>
      <c r="X10" s="77" t="s">
        <v>201</v>
      </c>
      <c r="AB10" s="86" t="s">
        <v>196</v>
      </c>
    </row>
    <row r="11" spans="2:28" ht="35.1" customHeight="1" x14ac:dyDescent="0.2">
      <c r="B11" s="88"/>
      <c r="C11" s="11" t="s">
        <v>183</v>
      </c>
      <c r="D11" s="83">
        <v>21</v>
      </c>
      <c r="E11" s="13" t="s">
        <v>40</v>
      </c>
      <c r="F11" s="12" t="s">
        <v>33</v>
      </c>
      <c r="G11" s="77">
        <v>145.30522170722094</v>
      </c>
      <c r="H11" s="76" t="s">
        <v>201</v>
      </c>
      <c r="I11" s="76" t="s">
        <v>201</v>
      </c>
      <c r="J11" s="76" t="s">
        <v>201</v>
      </c>
      <c r="K11" s="76">
        <v>23.513247197593628</v>
      </c>
      <c r="L11" s="76" t="s">
        <v>201</v>
      </c>
      <c r="M11" s="76" t="s">
        <v>201</v>
      </c>
      <c r="N11" s="76" t="s">
        <v>201</v>
      </c>
      <c r="O11" s="76" t="s">
        <v>201</v>
      </c>
      <c r="P11" s="76">
        <v>4.2751358541079298</v>
      </c>
      <c r="Q11" s="76" t="s">
        <v>201</v>
      </c>
      <c r="R11" s="76">
        <v>1</v>
      </c>
      <c r="S11" s="76" t="s">
        <v>201</v>
      </c>
      <c r="T11" s="76" t="s">
        <v>201</v>
      </c>
      <c r="U11" s="77" t="s">
        <v>201</v>
      </c>
      <c r="V11" s="77" t="s">
        <v>201</v>
      </c>
      <c r="W11" s="77" t="s">
        <v>201</v>
      </c>
      <c r="X11" s="77" t="s">
        <v>201</v>
      </c>
      <c r="AB11" s="86" t="s">
        <v>197</v>
      </c>
    </row>
    <row r="12" spans="2:28" ht="35.1" customHeight="1" x14ac:dyDescent="0.2">
      <c r="B12" s="88"/>
      <c r="C12" s="11" t="s">
        <v>41</v>
      </c>
      <c r="D12" s="12" t="s">
        <v>184</v>
      </c>
      <c r="E12" s="13" t="s">
        <v>42</v>
      </c>
      <c r="F12" s="15" t="s">
        <v>33</v>
      </c>
      <c r="G12" s="77">
        <v>145.30522170722094</v>
      </c>
      <c r="H12" s="76" t="s">
        <v>201</v>
      </c>
      <c r="I12" s="76" t="s">
        <v>201</v>
      </c>
      <c r="J12" s="76" t="s">
        <v>201</v>
      </c>
      <c r="K12" s="76">
        <v>23.513247197593628</v>
      </c>
      <c r="L12" s="76" t="s">
        <v>201</v>
      </c>
      <c r="M12" s="76" t="s">
        <v>201</v>
      </c>
      <c r="N12" s="76" t="s">
        <v>201</v>
      </c>
      <c r="O12" s="76" t="s">
        <v>201</v>
      </c>
      <c r="P12" s="76">
        <v>4.2751358541079298</v>
      </c>
      <c r="Q12" s="76">
        <v>3.8456560417800212</v>
      </c>
      <c r="R12" s="76">
        <v>1</v>
      </c>
      <c r="S12" s="76" t="s">
        <v>201</v>
      </c>
      <c r="T12" s="76" t="s">
        <v>201</v>
      </c>
      <c r="U12" s="77" t="s">
        <v>201</v>
      </c>
      <c r="V12" s="77" t="s">
        <v>201</v>
      </c>
      <c r="W12" s="77" t="s">
        <v>201</v>
      </c>
      <c r="X12" s="77" t="s">
        <v>201</v>
      </c>
      <c r="AB12" s="86"/>
    </row>
    <row r="13" spans="2:28" ht="35.1" customHeight="1" x14ac:dyDescent="0.2">
      <c r="B13" s="88"/>
      <c r="C13" s="16" t="s">
        <v>43</v>
      </c>
      <c r="D13" s="15">
        <v>4</v>
      </c>
      <c r="E13" s="17" t="s">
        <v>44</v>
      </c>
      <c r="F13" s="12" t="s">
        <v>45</v>
      </c>
      <c r="G13" s="77">
        <v>145.30522170722094</v>
      </c>
      <c r="H13" s="76" t="s">
        <v>201</v>
      </c>
      <c r="I13" s="76" t="s">
        <v>201</v>
      </c>
      <c r="J13" s="76" t="s">
        <v>201</v>
      </c>
      <c r="K13" s="76">
        <v>8.6110700994615819</v>
      </c>
      <c r="L13" s="76" t="s">
        <v>201</v>
      </c>
      <c r="M13" s="76" t="s">
        <v>201</v>
      </c>
      <c r="N13" s="76" t="s">
        <v>201</v>
      </c>
      <c r="O13" s="76" t="s">
        <v>201</v>
      </c>
      <c r="P13" s="76">
        <v>3.626498989062179</v>
      </c>
      <c r="Q13" s="76" t="s">
        <v>201</v>
      </c>
      <c r="R13" s="76" t="s">
        <v>201</v>
      </c>
      <c r="S13" s="76" t="s">
        <v>201</v>
      </c>
      <c r="T13" s="76" t="s">
        <v>201</v>
      </c>
      <c r="U13" s="77" t="s">
        <v>201</v>
      </c>
      <c r="V13" s="77" t="s">
        <v>201</v>
      </c>
      <c r="W13" s="77" t="s">
        <v>201</v>
      </c>
      <c r="X13" s="77" t="s">
        <v>201</v>
      </c>
    </row>
    <row r="14" spans="2:28" ht="35.1" customHeight="1" x14ac:dyDescent="0.2">
      <c r="B14" s="88"/>
      <c r="C14" s="16" t="s">
        <v>46</v>
      </c>
      <c r="D14" s="15">
        <v>7</v>
      </c>
      <c r="E14" s="17" t="s">
        <v>47</v>
      </c>
      <c r="F14" s="12" t="s">
        <v>45</v>
      </c>
      <c r="G14" s="77">
        <v>145.30522170722094</v>
      </c>
      <c r="H14" s="76" t="s">
        <v>201</v>
      </c>
      <c r="I14" s="76" t="s">
        <v>201</v>
      </c>
      <c r="J14" s="76" t="s">
        <v>201</v>
      </c>
      <c r="K14" s="76" t="s">
        <v>201</v>
      </c>
      <c r="L14" s="76" t="s">
        <v>201</v>
      </c>
      <c r="M14" s="76">
        <v>44.36060082771359</v>
      </c>
      <c r="N14" s="76">
        <v>38.817207682756113</v>
      </c>
      <c r="O14" s="76">
        <v>33.972482996835438</v>
      </c>
      <c r="P14" s="76">
        <v>3.7835514070246341</v>
      </c>
      <c r="Q14" s="76" t="s">
        <v>201</v>
      </c>
      <c r="R14" s="76" t="s">
        <v>201</v>
      </c>
      <c r="S14" s="76" t="s">
        <v>201</v>
      </c>
      <c r="T14" s="76" t="s">
        <v>201</v>
      </c>
      <c r="U14" s="77" t="s">
        <v>201</v>
      </c>
      <c r="V14" s="77" t="s">
        <v>201</v>
      </c>
      <c r="W14" s="77" t="s">
        <v>201</v>
      </c>
      <c r="X14" s="77" t="s">
        <v>201</v>
      </c>
    </row>
    <row r="15" spans="2:28" ht="35.1" customHeight="1" x14ac:dyDescent="0.2">
      <c r="B15" s="88"/>
      <c r="C15" s="16" t="s">
        <v>48</v>
      </c>
      <c r="D15" s="15">
        <v>7</v>
      </c>
      <c r="E15" s="17" t="s">
        <v>49</v>
      </c>
      <c r="F15" s="12" t="s">
        <v>45</v>
      </c>
      <c r="G15" s="77">
        <v>145.30522170722094</v>
      </c>
      <c r="H15" s="76" t="s">
        <v>201</v>
      </c>
      <c r="I15" s="76" t="s">
        <v>201</v>
      </c>
      <c r="J15" s="76" t="s">
        <v>201</v>
      </c>
      <c r="K15" s="76" t="s">
        <v>201</v>
      </c>
      <c r="L15" s="76" t="s">
        <v>201</v>
      </c>
      <c r="M15" s="76">
        <v>44.36060082771359</v>
      </c>
      <c r="N15" s="76">
        <v>38.817207682756113</v>
      </c>
      <c r="O15" s="76">
        <v>33.972482996835438</v>
      </c>
      <c r="P15" s="76">
        <v>3.7835514070246341</v>
      </c>
      <c r="Q15" s="76" t="s">
        <v>201</v>
      </c>
      <c r="R15" s="76" t="s">
        <v>201</v>
      </c>
      <c r="S15" s="76" t="s">
        <v>201</v>
      </c>
      <c r="T15" s="76" t="s">
        <v>201</v>
      </c>
      <c r="U15" s="77" t="s">
        <v>201</v>
      </c>
      <c r="V15" s="77" t="s">
        <v>201</v>
      </c>
      <c r="W15" s="77" t="s">
        <v>201</v>
      </c>
      <c r="X15" s="77" t="s">
        <v>201</v>
      </c>
    </row>
    <row r="16" spans="2:28" ht="35.1" customHeight="1" x14ac:dyDescent="0.2">
      <c r="B16" s="88"/>
      <c r="C16" s="11" t="s">
        <v>50</v>
      </c>
      <c r="D16" s="12">
        <v>9</v>
      </c>
      <c r="E16" s="13" t="s">
        <v>51</v>
      </c>
      <c r="F16" s="12" t="s">
        <v>45</v>
      </c>
      <c r="G16" s="77" t="s">
        <v>201</v>
      </c>
      <c r="H16" s="76" t="s">
        <v>201</v>
      </c>
      <c r="I16" s="76" t="s">
        <v>201</v>
      </c>
      <c r="J16" s="76" t="s">
        <v>201</v>
      </c>
      <c r="K16" s="76" t="s">
        <v>201</v>
      </c>
      <c r="L16" s="76" t="s">
        <v>201</v>
      </c>
      <c r="M16" s="76" t="s">
        <v>201</v>
      </c>
      <c r="N16" s="76" t="s">
        <v>201</v>
      </c>
      <c r="O16" s="76" t="s">
        <v>201</v>
      </c>
      <c r="P16" s="76" t="s">
        <v>201</v>
      </c>
      <c r="Q16" s="76">
        <v>3.8456560417800212</v>
      </c>
      <c r="R16" s="76" t="s">
        <v>201</v>
      </c>
      <c r="S16" s="76" t="s">
        <v>201</v>
      </c>
      <c r="T16" s="76" t="s">
        <v>201</v>
      </c>
      <c r="U16" s="77" t="s">
        <v>201</v>
      </c>
      <c r="V16" s="77" t="s">
        <v>201</v>
      </c>
      <c r="W16" s="77" t="s">
        <v>201</v>
      </c>
      <c r="X16" s="77" t="s">
        <v>201</v>
      </c>
    </row>
    <row r="17" spans="2:24" ht="35.1" customHeight="1" x14ac:dyDescent="0.2">
      <c r="B17" s="88"/>
      <c r="C17" s="11" t="s">
        <v>52</v>
      </c>
      <c r="D17" s="12">
        <v>10</v>
      </c>
      <c r="E17" s="13" t="s">
        <v>53</v>
      </c>
      <c r="F17" s="12" t="s">
        <v>45</v>
      </c>
      <c r="G17" s="77" t="s">
        <v>201</v>
      </c>
      <c r="H17" s="76" t="s">
        <v>201</v>
      </c>
      <c r="I17" s="76" t="s">
        <v>201</v>
      </c>
      <c r="J17" s="76" t="s">
        <v>201</v>
      </c>
      <c r="K17" s="76" t="s">
        <v>201</v>
      </c>
      <c r="L17" s="76" t="s">
        <v>201</v>
      </c>
      <c r="M17" s="76" t="s">
        <v>201</v>
      </c>
      <c r="N17" s="76" t="s">
        <v>201</v>
      </c>
      <c r="O17" s="76" t="s">
        <v>201</v>
      </c>
      <c r="P17" s="76" t="s">
        <v>201</v>
      </c>
      <c r="Q17" s="76">
        <v>3.8456560417800212</v>
      </c>
      <c r="R17" s="76" t="s">
        <v>201</v>
      </c>
      <c r="S17" s="76" t="s">
        <v>201</v>
      </c>
      <c r="T17" s="76" t="s">
        <v>201</v>
      </c>
      <c r="U17" s="77" t="s">
        <v>201</v>
      </c>
      <c r="V17" s="77" t="s">
        <v>201</v>
      </c>
      <c r="W17" s="77" t="s">
        <v>201</v>
      </c>
      <c r="X17" s="77" t="s">
        <v>201</v>
      </c>
    </row>
    <row r="18" spans="2:24" ht="35.1" customHeight="1" x14ac:dyDescent="0.2">
      <c r="B18" s="88"/>
      <c r="C18" s="11" t="s">
        <v>54</v>
      </c>
      <c r="D18" s="12">
        <v>11</v>
      </c>
      <c r="E18" s="13" t="s">
        <v>55</v>
      </c>
      <c r="F18" s="12" t="s">
        <v>45</v>
      </c>
      <c r="G18" s="77" t="s">
        <v>201</v>
      </c>
      <c r="H18" s="76" t="s">
        <v>201</v>
      </c>
      <c r="I18" s="76" t="s">
        <v>201</v>
      </c>
      <c r="J18" s="76" t="s">
        <v>201</v>
      </c>
      <c r="K18" s="76" t="s">
        <v>201</v>
      </c>
      <c r="L18" s="76" t="s">
        <v>201</v>
      </c>
      <c r="M18" s="76" t="s">
        <v>201</v>
      </c>
      <c r="N18" s="76" t="s">
        <v>201</v>
      </c>
      <c r="O18" s="76" t="s">
        <v>201</v>
      </c>
      <c r="P18" s="76" t="s">
        <v>201</v>
      </c>
      <c r="Q18" s="76">
        <v>3.8456560417800212</v>
      </c>
      <c r="R18" s="76" t="s">
        <v>201</v>
      </c>
      <c r="S18" s="76" t="s">
        <v>201</v>
      </c>
      <c r="T18" s="76" t="s">
        <v>201</v>
      </c>
      <c r="U18" s="77" t="s">
        <v>201</v>
      </c>
      <c r="V18" s="77" t="s">
        <v>201</v>
      </c>
      <c r="W18" s="77" t="s">
        <v>201</v>
      </c>
      <c r="X18" s="77" t="s">
        <v>201</v>
      </c>
    </row>
    <row r="19" spans="2:24" ht="35.1" customHeight="1" x14ac:dyDescent="0.2">
      <c r="B19" s="88"/>
      <c r="C19" s="11" t="s">
        <v>56</v>
      </c>
      <c r="D19" s="12">
        <v>19</v>
      </c>
      <c r="E19" s="13" t="s">
        <v>57</v>
      </c>
      <c r="F19" s="12" t="s">
        <v>45</v>
      </c>
      <c r="G19" s="77" t="s">
        <v>201</v>
      </c>
      <c r="H19" s="76" t="s">
        <v>201</v>
      </c>
      <c r="I19" s="76" t="s">
        <v>201</v>
      </c>
      <c r="J19" s="76" t="s">
        <v>201</v>
      </c>
      <c r="K19" s="76" t="s">
        <v>201</v>
      </c>
      <c r="L19" s="76" t="s">
        <v>201</v>
      </c>
      <c r="M19" s="76" t="s">
        <v>201</v>
      </c>
      <c r="N19" s="76" t="s">
        <v>201</v>
      </c>
      <c r="O19" s="76" t="s">
        <v>201</v>
      </c>
      <c r="P19" s="76" t="s">
        <v>201</v>
      </c>
      <c r="Q19" s="76">
        <v>3.8456560417800212</v>
      </c>
      <c r="R19" s="76" t="s">
        <v>201</v>
      </c>
      <c r="S19" s="76" t="s">
        <v>201</v>
      </c>
      <c r="T19" s="76" t="s">
        <v>201</v>
      </c>
      <c r="U19" s="77" t="s">
        <v>201</v>
      </c>
      <c r="V19" s="77" t="s">
        <v>201</v>
      </c>
      <c r="W19" s="77" t="s">
        <v>201</v>
      </c>
      <c r="X19" s="77" t="s">
        <v>201</v>
      </c>
    </row>
    <row r="20" spans="2:24" ht="35.1" customHeight="1" x14ac:dyDescent="0.2">
      <c r="B20" s="88"/>
      <c r="C20" s="11" t="s">
        <v>58</v>
      </c>
      <c r="D20" s="12">
        <v>20</v>
      </c>
      <c r="E20" s="13" t="s">
        <v>59</v>
      </c>
      <c r="F20" s="12" t="s">
        <v>33</v>
      </c>
      <c r="G20" s="77">
        <v>145.30522170722094</v>
      </c>
      <c r="H20" s="76" t="s">
        <v>201</v>
      </c>
      <c r="I20" s="76" t="s">
        <v>201</v>
      </c>
      <c r="J20" s="76" t="s">
        <v>201</v>
      </c>
      <c r="K20" s="76">
        <v>23.513247197593628</v>
      </c>
      <c r="L20" s="76" t="s">
        <v>201</v>
      </c>
      <c r="M20" s="76" t="s">
        <v>201</v>
      </c>
      <c r="N20" s="76" t="s">
        <v>201</v>
      </c>
      <c r="O20" s="76" t="s">
        <v>201</v>
      </c>
      <c r="P20" s="76">
        <v>4.2751358541079298</v>
      </c>
      <c r="Q20" s="76" t="s">
        <v>201</v>
      </c>
      <c r="R20" s="76">
        <v>1</v>
      </c>
      <c r="S20" s="76">
        <v>1</v>
      </c>
      <c r="T20" s="92">
        <v>-10</v>
      </c>
      <c r="U20" s="77" t="s">
        <v>201</v>
      </c>
      <c r="V20" s="77" t="s">
        <v>201</v>
      </c>
      <c r="W20" s="77" t="s">
        <v>201</v>
      </c>
      <c r="X20" s="77" t="s">
        <v>201</v>
      </c>
    </row>
    <row r="21" spans="2:24" ht="4.5" customHeight="1" x14ac:dyDescent="0.3">
      <c r="B21" s="18"/>
      <c r="C21" s="18"/>
      <c r="D21" s="19"/>
      <c r="E21" s="18"/>
      <c r="F21" s="19"/>
      <c r="G21" s="20"/>
      <c r="H21" s="20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0"/>
      <c r="X21" s="20"/>
    </row>
    <row r="22" spans="2:24" ht="16.5" x14ac:dyDescent="0.3">
      <c r="B22" s="22" t="s">
        <v>60</v>
      </c>
      <c r="C22" s="18"/>
      <c r="D22" s="19"/>
      <c r="E22" s="18"/>
      <c r="F22" s="19"/>
      <c r="G22" s="20"/>
      <c r="H22" s="2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0"/>
      <c r="X22" s="20"/>
    </row>
    <row r="23" spans="2:24" ht="13.5" x14ac:dyDescent="0.25">
      <c r="B23" s="22" t="s">
        <v>61</v>
      </c>
      <c r="C23" s="22"/>
      <c r="D23" s="22"/>
      <c r="E23" s="22"/>
      <c r="F23" s="22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6"/>
      <c r="S23" s="26"/>
      <c r="T23" s="26"/>
      <c r="U23" s="23"/>
      <c r="V23" s="23"/>
      <c r="W23" s="23"/>
      <c r="X23" s="23"/>
    </row>
    <row r="24" spans="2:24" ht="5.0999999999999996" customHeight="1" x14ac:dyDescent="0.25">
      <c r="B24" s="22"/>
      <c r="C24" s="22"/>
      <c r="D24" s="22"/>
      <c r="E24" s="22"/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6"/>
      <c r="S24" s="26"/>
      <c r="T24" s="26"/>
      <c r="U24" s="23"/>
      <c r="V24" s="23"/>
      <c r="W24" s="23"/>
      <c r="X24" s="23"/>
    </row>
    <row r="25" spans="2:24" ht="62.1" customHeight="1" x14ac:dyDescent="0.2">
      <c r="B25" s="61" t="s">
        <v>14</v>
      </c>
      <c r="C25" s="69" t="s">
        <v>15</v>
      </c>
      <c r="D25" s="69" t="s">
        <v>16</v>
      </c>
      <c r="E25" s="69" t="s">
        <v>17</v>
      </c>
      <c r="F25" s="61" t="s">
        <v>18</v>
      </c>
      <c r="G25" s="61" t="s">
        <v>0</v>
      </c>
      <c r="H25" s="61" t="s">
        <v>1</v>
      </c>
      <c r="I25" s="61" t="s">
        <v>2</v>
      </c>
      <c r="J25" s="61" t="s">
        <v>3</v>
      </c>
      <c r="K25" s="61" t="s">
        <v>4</v>
      </c>
      <c r="L25" s="61" t="s">
        <v>19</v>
      </c>
      <c r="M25" s="61" t="s">
        <v>6</v>
      </c>
      <c r="N25" s="61" t="s">
        <v>7</v>
      </c>
      <c r="O25" s="61" t="s">
        <v>8</v>
      </c>
      <c r="P25" s="61" t="s">
        <v>20</v>
      </c>
      <c r="Q25" s="61" t="s">
        <v>10</v>
      </c>
      <c r="R25" s="61" t="s">
        <v>11</v>
      </c>
      <c r="S25" s="61" t="s">
        <v>12</v>
      </c>
      <c r="T25" s="61" t="s">
        <v>13</v>
      </c>
      <c r="U25" s="61" t="s">
        <v>22</v>
      </c>
      <c r="V25" s="61" t="s">
        <v>23</v>
      </c>
      <c r="W25" s="61" t="s">
        <v>24</v>
      </c>
      <c r="X25" s="61" t="s">
        <v>25</v>
      </c>
    </row>
    <row r="26" spans="2:24" ht="18" customHeight="1" x14ac:dyDescent="0.2">
      <c r="B26" s="62"/>
      <c r="C26" s="70"/>
      <c r="D26" s="70"/>
      <c r="E26" s="70"/>
      <c r="F26" s="62"/>
      <c r="G26" s="62" t="s">
        <v>26</v>
      </c>
      <c r="H26" s="62" t="s">
        <v>27</v>
      </c>
      <c r="I26" s="62" t="s">
        <v>27</v>
      </c>
      <c r="J26" s="62" t="s">
        <v>27</v>
      </c>
      <c r="K26" s="62" t="s">
        <v>27</v>
      </c>
      <c r="L26" s="62" t="s">
        <v>27</v>
      </c>
      <c r="M26" s="62" t="s">
        <v>27</v>
      </c>
      <c r="N26" s="62" t="s">
        <v>27</v>
      </c>
      <c r="O26" s="62" t="s">
        <v>27</v>
      </c>
      <c r="P26" s="62" t="s">
        <v>27</v>
      </c>
      <c r="Q26" s="62" t="s">
        <v>27</v>
      </c>
      <c r="R26" s="62" t="s">
        <v>27</v>
      </c>
      <c r="S26" s="62" t="s">
        <v>27</v>
      </c>
      <c r="T26" s="62" t="s">
        <v>27</v>
      </c>
      <c r="U26" s="62" t="s">
        <v>28</v>
      </c>
      <c r="V26" s="62" t="s">
        <v>28</v>
      </c>
      <c r="W26" s="62" t="s">
        <v>29</v>
      </c>
      <c r="X26" s="62" t="s">
        <v>29</v>
      </c>
    </row>
    <row r="27" spans="2:24" ht="35.1" customHeight="1" x14ac:dyDescent="0.2">
      <c r="B27" s="87" t="s">
        <v>62</v>
      </c>
      <c r="C27" s="27" t="s">
        <v>63</v>
      </c>
      <c r="D27" s="10">
        <v>1</v>
      </c>
      <c r="E27" s="28" t="s">
        <v>32</v>
      </c>
      <c r="F27" s="10" t="s">
        <v>33</v>
      </c>
      <c r="G27" s="77">
        <v>148.93785224990143</v>
      </c>
      <c r="H27" s="76" t="s">
        <v>201</v>
      </c>
      <c r="I27" s="76">
        <v>14.164910234314386</v>
      </c>
      <c r="J27" s="76">
        <v>14.164910234314386</v>
      </c>
      <c r="K27" s="76" t="s">
        <v>201</v>
      </c>
      <c r="L27" s="76" t="s">
        <v>201</v>
      </c>
      <c r="M27" s="76" t="s">
        <v>201</v>
      </c>
      <c r="N27" s="76" t="s">
        <v>201</v>
      </c>
      <c r="O27" s="76" t="s">
        <v>201</v>
      </c>
      <c r="P27" s="76" t="s">
        <v>201</v>
      </c>
      <c r="Q27" s="76" t="s">
        <v>201</v>
      </c>
      <c r="R27" s="76" t="s">
        <v>201</v>
      </c>
      <c r="S27" s="76" t="s">
        <v>201</v>
      </c>
      <c r="T27" s="76" t="s">
        <v>201</v>
      </c>
      <c r="U27" s="76" t="s">
        <v>201</v>
      </c>
      <c r="V27" s="76" t="s">
        <v>201</v>
      </c>
      <c r="W27" s="77" t="s">
        <v>201</v>
      </c>
      <c r="X27" s="77" t="s">
        <v>201</v>
      </c>
    </row>
    <row r="28" spans="2:24" ht="35.1" customHeight="1" x14ac:dyDescent="0.2">
      <c r="B28" s="87"/>
      <c r="C28" s="27" t="s">
        <v>64</v>
      </c>
      <c r="D28" s="10">
        <v>1</v>
      </c>
      <c r="E28" s="28" t="s">
        <v>35</v>
      </c>
      <c r="F28" s="10" t="s">
        <v>33</v>
      </c>
      <c r="G28" s="77">
        <v>148.93785224990143</v>
      </c>
      <c r="H28" s="76" t="s">
        <v>201</v>
      </c>
      <c r="I28" s="76">
        <v>14.164910234314386</v>
      </c>
      <c r="J28" s="76">
        <v>14.164910234314386</v>
      </c>
      <c r="K28" s="76" t="s">
        <v>201</v>
      </c>
      <c r="L28" s="76" t="s">
        <v>201</v>
      </c>
      <c r="M28" s="76" t="s">
        <v>201</v>
      </c>
      <c r="N28" s="76" t="s">
        <v>201</v>
      </c>
      <c r="O28" s="76" t="s">
        <v>201</v>
      </c>
      <c r="P28" s="76" t="s">
        <v>201</v>
      </c>
      <c r="Q28" s="76" t="s">
        <v>201</v>
      </c>
      <c r="R28" s="76" t="s">
        <v>201</v>
      </c>
      <c r="S28" s="76" t="s">
        <v>201</v>
      </c>
      <c r="T28" s="76" t="s">
        <v>201</v>
      </c>
      <c r="U28" s="76" t="s">
        <v>201</v>
      </c>
      <c r="V28" s="76" t="s">
        <v>201</v>
      </c>
      <c r="W28" s="77" t="s">
        <v>201</v>
      </c>
      <c r="X28" s="77" t="s">
        <v>201</v>
      </c>
    </row>
    <row r="29" spans="2:24" ht="35.1" customHeight="1" x14ac:dyDescent="0.2">
      <c r="B29" s="87"/>
      <c r="C29" s="27" t="s">
        <v>65</v>
      </c>
      <c r="D29" s="10" t="s">
        <v>66</v>
      </c>
      <c r="E29" s="28" t="s">
        <v>67</v>
      </c>
      <c r="F29" s="10" t="s">
        <v>45</v>
      </c>
      <c r="G29" s="77">
        <v>148.93785224990143</v>
      </c>
      <c r="H29" s="76" t="s">
        <v>201</v>
      </c>
      <c r="I29" s="76">
        <v>14.164910234314386</v>
      </c>
      <c r="J29" s="76">
        <v>14.164910234314386</v>
      </c>
      <c r="K29" s="76" t="s">
        <v>201</v>
      </c>
      <c r="L29" s="76" t="s">
        <v>201</v>
      </c>
      <c r="M29" s="76" t="s">
        <v>201</v>
      </c>
      <c r="N29" s="76" t="s">
        <v>201</v>
      </c>
      <c r="O29" s="76" t="s">
        <v>201</v>
      </c>
      <c r="P29" s="76" t="s">
        <v>201</v>
      </c>
      <c r="Q29" s="76">
        <v>3.8344138692519305</v>
      </c>
      <c r="R29" s="76" t="s">
        <v>201</v>
      </c>
      <c r="S29" s="76" t="s">
        <v>201</v>
      </c>
      <c r="T29" s="76" t="s">
        <v>201</v>
      </c>
      <c r="U29" s="76" t="s">
        <v>201</v>
      </c>
      <c r="V29" s="76" t="s">
        <v>201</v>
      </c>
      <c r="W29" s="77" t="s">
        <v>201</v>
      </c>
      <c r="X29" s="77" t="s">
        <v>201</v>
      </c>
    </row>
    <row r="30" spans="2:24" ht="35.1" customHeight="1" x14ac:dyDescent="0.2">
      <c r="B30" s="87"/>
      <c r="C30" s="27" t="s">
        <v>68</v>
      </c>
      <c r="D30" s="10" t="s">
        <v>69</v>
      </c>
      <c r="E30" s="28" t="s">
        <v>70</v>
      </c>
      <c r="F30" s="10" t="s">
        <v>45</v>
      </c>
      <c r="G30" s="77">
        <v>148.93785224990143</v>
      </c>
      <c r="H30" s="76" t="s">
        <v>201</v>
      </c>
      <c r="I30" s="76">
        <v>14.164910234314386</v>
      </c>
      <c r="J30" s="76">
        <v>14.164910234314386</v>
      </c>
      <c r="K30" s="76" t="s">
        <v>201</v>
      </c>
      <c r="L30" s="76" t="s">
        <v>201</v>
      </c>
      <c r="M30" s="76" t="s">
        <v>201</v>
      </c>
      <c r="N30" s="76" t="s">
        <v>201</v>
      </c>
      <c r="O30" s="76" t="s">
        <v>201</v>
      </c>
      <c r="P30" s="76" t="s">
        <v>201</v>
      </c>
      <c r="Q30" s="76">
        <v>3.8344138692519305</v>
      </c>
      <c r="R30" s="76" t="s">
        <v>201</v>
      </c>
      <c r="S30" s="76" t="s">
        <v>201</v>
      </c>
      <c r="T30" s="76" t="s">
        <v>201</v>
      </c>
      <c r="U30" s="76" t="s">
        <v>201</v>
      </c>
      <c r="V30" s="76" t="s">
        <v>201</v>
      </c>
      <c r="W30" s="77" t="s">
        <v>201</v>
      </c>
      <c r="X30" s="77" t="s">
        <v>201</v>
      </c>
    </row>
    <row r="31" spans="2:24" ht="35.1" customHeight="1" x14ac:dyDescent="0.2">
      <c r="B31" s="87"/>
      <c r="C31" s="27" t="s">
        <v>71</v>
      </c>
      <c r="D31" s="10" t="s">
        <v>72</v>
      </c>
      <c r="E31" s="28" t="s">
        <v>73</v>
      </c>
      <c r="F31" s="10" t="s">
        <v>45</v>
      </c>
      <c r="G31" s="77">
        <v>148.93785224990143</v>
      </c>
      <c r="H31" s="76" t="s">
        <v>201</v>
      </c>
      <c r="I31" s="76">
        <v>14.164910234314386</v>
      </c>
      <c r="J31" s="76">
        <v>14.164910234314386</v>
      </c>
      <c r="K31" s="76" t="s">
        <v>201</v>
      </c>
      <c r="L31" s="76" t="s">
        <v>201</v>
      </c>
      <c r="M31" s="76" t="s">
        <v>201</v>
      </c>
      <c r="N31" s="76" t="s">
        <v>201</v>
      </c>
      <c r="O31" s="76" t="s">
        <v>201</v>
      </c>
      <c r="P31" s="76" t="s">
        <v>201</v>
      </c>
      <c r="Q31" s="76">
        <v>3.8344138692519305</v>
      </c>
      <c r="R31" s="76" t="s">
        <v>201</v>
      </c>
      <c r="S31" s="76" t="s">
        <v>201</v>
      </c>
      <c r="T31" s="76" t="s">
        <v>201</v>
      </c>
      <c r="U31" s="76" t="s">
        <v>201</v>
      </c>
      <c r="V31" s="76" t="s">
        <v>201</v>
      </c>
      <c r="W31" s="77" t="s">
        <v>201</v>
      </c>
      <c r="X31" s="77" t="s">
        <v>201</v>
      </c>
    </row>
    <row r="32" spans="2:24" ht="35.1" customHeight="1" x14ac:dyDescent="0.2">
      <c r="B32" s="87"/>
      <c r="C32" s="27" t="s">
        <v>74</v>
      </c>
      <c r="D32" s="10">
        <v>17</v>
      </c>
      <c r="E32" s="28" t="s">
        <v>75</v>
      </c>
      <c r="F32" s="29" t="s">
        <v>33</v>
      </c>
      <c r="G32" s="77">
        <v>148.93785224990143</v>
      </c>
      <c r="H32" s="76" t="s">
        <v>201</v>
      </c>
      <c r="I32" s="76" t="s">
        <v>201</v>
      </c>
      <c r="J32" s="76" t="s">
        <v>201</v>
      </c>
      <c r="K32" s="76">
        <v>17.330750357203708</v>
      </c>
      <c r="L32" s="76" t="s">
        <v>201</v>
      </c>
      <c r="M32" s="76" t="s">
        <v>201</v>
      </c>
      <c r="N32" s="76" t="s">
        <v>201</v>
      </c>
      <c r="O32" s="76" t="s">
        <v>201</v>
      </c>
      <c r="P32" s="76">
        <v>3.8243221556683538</v>
      </c>
      <c r="Q32" s="76" t="s">
        <v>201</v>
      </c>
      <c r="R32" s="76" t="s">
        <v>201</v>
      </c>
      <c r="S32" s="76" t="s">
        <v>201</v>
      </c>
      <c r="T32" s="76" t="s">
        <v>201</v>
      </c>
      <c r="U32" s="76" t="s">
        <v>201</v>
      </c>
      <c r="V32" s="76" t="s">
        <v>201</v>
      </c>
      <c r="W32" s="77" t="s">
        <v>201</v>
      </c>
      <c r="X32" s="77" t="s">
        <v>201</v>
      </c>
    </row>
    <row r="33" spans="2:24" ht="35.1" customHeight="1" x14ac:dyDescent="0.2">
      <c r="B33" s="87"/>
      <c r="C33" s="27" t="s">
        <v>76</v>
      </c>
      <c r="D33" s="10">
        <v>17</v>
      </c>
      <c r="E33" s="28" t="s">
        <v>77</v>
      </c>
      <c r="F33" s="29" t="s">
        <v>33</v>
      </c>
      <c r="G33" s="77">
        <v>148.93785224990143</v>
      </c>
      <c r="H33" s="76" t="s">
        <v>201</v>
      </c>
      <c r="I33" s="76" t="s">
        <v>201</v>
      </c>
      <c r="J33" s="76" t="s">
        <v>201</v>
      </c>
      <c r="K33" s="76">
        <v>17.330750357203708</v>
      </c>
      <c r="L33" s="76" t="s">
        <v>201</v>
      </c>
      <c r="M33" s="76" t="s">
        <v>201</v>
      </c>
      <c r="N33" s="76" t="s">
        <v>201</v>
      </c>
      <c r="O33" s="76" t="s">
        <v>201</v>
      </c>
      <c r="P33" s="76">
        <v>3.8243221556683538</v>
      </c>
      <c r="Q33" s="76" t="s">
        <v>201</v>
      </c>
      <c r="R33" s="76" t="s">
        <v>201</v>
      </c>
      <c r="S33" s="76" t="s">
        <v>201</v>
      </c>
      <c r="T33" s="76" t="s">
        <v>201</v>
      </c>
      <c r="U33" s="76" t="s">
        <v>201</v>
      </c>
      <c r="V33" s="76" t="s">
        <v>201</v>
      </c>
      <c r="W33" s="77" t="s">
        <v>201</v>
      </c>
      <c r="X33" s="77" t="s">
        <v>201</v>
      </c>
    </row>
    <row r="34" spans="2:24" ht="35.1" customHeight="1" x14ac:dyDescent="0.2">
      <c r="B34" s="87"/>
      <c r="C34" s="30" t="s">
        <v>78</v>
      </c>
      <c r="D34" s="29">
        <v>15</v>
      </c>
      <c r="E34" s="31" t="s">
        <v>79</v>
      </c>
      <c r="F34" s="29" t="s">
        <v>33</v>
      </c>
      <c r="G34" s="77">
        <v>148.93785224990143</v>
      </c>
      <c r="H34" s="76">
        <v>13.353515328550168</v>
      </c>
      <c r="I34" s="76" t="s">
        <v>201</v>
      </c>
      <c r="J34" s="76" t="s">
        <v>201</v>
      </c>
      <c r="K34" s="76" t="s">
        <v>201</v>
      </c>
      <c r="L34" s="76" t="s">
        <v>201</v>
      </c>
      <c r="M34" s="76" t="s">
        <v>201</v>
      </c>
      <c r="N34" s="76" t="s">
        <v>201</v>
      </c>
      <c r="O34" s="76" t="s">
        <v>201</v>
      </c>
      <c r="P34" s="76" t="s">
        <v>201</v>
      </c>
      <c r="Q34" s="76" t="s">
        <v>201</v>
      </c>
      <c r="R34" s="76" t="s">
        <v>201</v>
      </c>
      <c r="S34" s="76" t="s">
        <v>201</v>
      </c>
      <c r="T34" s="76" t="s">
        <v>201</v>
      </c>
      <c r="U34" s="76" t="s">
        <v>201</v>
      </c>
      <c r="V34" s="76" t="s">
        <v>201</v>
      </c>
      <c r="W34" s="77">
        <v>11.472531553639083</v>
      </c>
      <c r="X34" s="77">
        <v>2.8621947250797297</v>
      </c>
    </row>
    <row r="35" spans="2:24" ht="35.1" customHeight="1" x14ac:dyDescent="0.2">
      <c r="B35" s="87"/>
      <c r="C35" s="30" t="s">
        <v>80</v>
      </c>
      <c r="D35" s="29">
        <v>15</v>
      </c>
      <c r="E35" s="31" t="s">
        <v>81</v>
      </c>
      <c r="F35" s="29" t="s">
        <v>33</v>
      </c>
      <c r="G35" s="77">
        <v>148.93785224990143</v>
      </c>
      <c r="H35" s="76">
        <v>13.353515328550168</v>
      </c>
      <c r="I35" s="76" t="s">
        <v>201</v>
      </c>
      <c r="J35" s="76" t="s">
        <v>201</v>
      </c>
      <c r="K35" s="76" t="s">
        <v>201</v>
      </c>
      <c r="L35" s="76" t="s">
        <v>201</v>
      </c>
      <c r="M35" s="76" t="s">
        <v>201</v>
      </c>
      <c r="N35" s="76" t="s">
        <v>201</v>
      </c>
      <c r="O35" s="76" t="s">
        <v>201</v>
      </c>
      <c r="P35" s="76" t="s">
        <v>201</v>
      </c>
      <c r="Q35" s="76" t="s">
        <v>201</v>
      </c>
      <c r="R35" s="76" t="s">
        <v>201</v>
      </c>
      <c r="S35" s="76" t="s">
        <v>201</v>
      </c>
      <c r="T35" s="76" t="s">
        <v>201</v>
      </c>
      <c r="U35" s="76" t="s">
        <v>201</v>
      </c>
      <c r="V35" s="76" t="s">
        <v>201</v>
      </c>
      <c r="W35" s="77">
        <v>11.472531553639083</v>
      </c>
      <c r="X35" s="77">
        <v>2.8621947250797297</v>
      </c>
    </row>
    <row r="36" spans="2:24" ht="35.1" customHeight="1" x14ac:dyDescent="0.2">
      <c r="B36" s="87"/>
      <c r="C36" s="27" t="s">
        <v>82</v>
      </c>
      <c r="D36" s="29">
        <v>15</v>
      </c>
      <c r="E36" s="28" t="s">
        <v>83</v>
      </c>
      <c r="F36" s="10" t="s">
        <v>33</v>
      </c>
      <c r="G36" s="77">
        <v>156.20311333526249</v>
      </c>
      <c r="H36" s="76">
        <v>15.963694339058364</v>
      </c>
      <c r="I36" s="76" t="s">
        <v>201</v>
      </c>
      <c r="J36" s="76" t="s">
        <v>201</v>
      </c>
      <c r="K36" s="76" t="s">
        <v>201</v>
      </c>
      <c r="L36" s="76" t="s">
        <v>201</v>
      </c>
      <c r="M36" s="76" t="s">
        <v>201</v>
      </c>
      <c r="N36" s="76" t="s">
        <v>201</v>
      </c>
      <c r="O36" s="76" t="s">
        <v>201</v>
      </c>
      <c r="P36" s="76" t="s">
        <v>201</v>
      </c>
      <c r="Q36" s="76" t="s">
        <v>201</v>
      </c>
      <c r="R36" s="76" t="s">
        <v>201</v>
      </c>
      <c r="S36" s="76" t="s">
        <v>201</v>
      </c>
      <c r="T36" s="76" t="s">
        <v>201</v>
      </c>
      <c r="U36" s="76" t="s">
        <v>201</v>
      </c>
      <c r="V36" s="76" t="s">
        <v>201</v>
      </c>
      <c r="W36" s="77">
        <v>9.1932940259886156</v>
      </c>
      <c r="X36" s="77">
        <v>2.2935650727362904</v>
      </c>
    </row>
    <row r="37" spans="2:24" ht="35.1" customHeight="1" x14ac:dyDescent="0.2">
      <c r="B37" s="87"/>
      <c r="C37" s="30" t="s">
        <v>84</v>
      </c>
      <c r="D37" s="29">
        <v>2</v>
      </c>
      <c r="E37" s="31" t="s">
        <v>85</v>
      </c>
      <c r="F37" s="29" t="s">
        <v>33</v>
      </c>
      <c r="G37" s="77">
        <v>156.20311333526249</v>
      </c>
      <c r="H37" s="76" t="s">
        <v>201</v>
      </c>
      <c r="I37" s="76" t="s">
        <v>201</v>
      </c>
      <c r="J37" s="76" t="s">
        <v>201</v>
      </c>
      <c r="K37" s="76">
        <v>15.938030196771599</v>
      </c>
      <c r="L37" s="76" t="s">
        <v>201</v>
      </c>
      <c r="M37" s="76" t="s">
        <v>201</v>
      </c>
      <c r="N37" s="76" t="s">
        <v>201</v>
      </c>
      <c r="O37" s="76" t="s">
        <v>201</v>
      </c>
      <c r="P37" s="76">
        <v>3.669296524263129</v>
      </c>
      <c r="Q37" s="76" t="s">
        <v>201</v>
      </c>
      <c r="R37" s="76" t="s">
        <v>201</v>
      </c>
      <c r="S37" s="76" t="s">
        <v>201</v>
      </c>
      <c r="T37" s="76" t="s">
        <v>201</v>
      </c>
      <c r="U37" s="76" t="s">
        <v>201</v>
      </c>
      <c r="V37" s="76" t="s">
        <v>201</v>
      </c>
      <c r="W37" s="77">
        <v>9.1932940259886156</v>
      </c>
      <c r="X37" s="77">
        <v>2.2935650727362904</v>
      </c>
    </row>
    <row r="38" spans="2:24" ht="35.1" customHeight="1" x14ac:dyDescent="0.2">
      <c r="B38" s="87"/>
      <c r="C38" s="30" t="s">
        <v>86</v>
      </c>
      <c r="D38" s="29">
        <v>2</v>
      </c>
      <c r="E38" s="31" t="s">
        <v>87</v>
      </c>
      <c r="F38" s="29" t="s">
        <v>33</v>
      </c>
      <c r="G38" s="77">
        <v>156.20311333526249</v>
      </c>
      <c r="H38" s="76" t="s">
        <v>201</v>
      </c>
      <c r="I38" s="76" t="s">
        <v>201</v>
      </c>
      <c r="J38" s="76" t="s">
        <v>201</v>
      </c>
      <c r="K38" s="76">
        <v>15.938030196771599</v>
      </c>
      <c r="L38" s="76" t="s">
        <v>201</v>
      </c>
      <c r="M38" s="76" t="s">
        <v>201</v>
      </c>
      <c r="N38" s="76" t="s">
        <v>201</v>
      </c>
      <c r="O38" s="76" t="s">
        <v>201</v>
      </c>
      <c r="P38" s="76">
        <v>3.669296524263129</v>
      </c>
      <c r="Q38" s="76" t="s">
        <v>201</v>
      </c>
      <c r="R38" s="76" t="s">
        <v>201</v>
      </c>
      <c r="S38" s="76" t="s">
        <v>201</v>
      </c>
      <c r="T38" s="76" t="s">
        <v>201</v>
      </c>
      <c r="U38" s="76" t="s">
        <v>201</v>
      </c>
      <c r="V38" s="76" t="s">
        <v>201</v>
      </c>
      <c r="W38" s="77">
        <v>9.1932940259886156</v>
      </c>
      <c r="X38" s="77">
        <v>2.2935650727362904</v>
      </c>
    </row>
    <row r="39" spans="2:24" ht="35.1" customHeight="1" x14ac:dyDescent="0.2">
      <c r="B39" s="87"/>
      <c r="C39" s="27" t="s">
        <v>88</v>
      </c>
      <c r="D39" s="10">
        <v>7</v>
      </c>
      <c r="E39" s="28" t="s">
        <v>47</v>
      </c>
      <c r="F39" s="10" t="s">
        <v>45</v>
      </c>
      <c r="G39" s="77">
        <v>148.93785224990143</v>
      </c>
      <c r="H39" s="76" t="s">
        <v>201</v>
      </c>
      <c r="I39" s="76" t="s">
        <v>201</v>
      </c>
      <c r="J39" s="76" t="s">
        <v>201</v>
      </c>
      <c r="K39" s="76" t="s">
        <v>201</v>
      </c>
      <c r="L39" s="76" t="s">
        <v>201</v>
      </c>
      <c r="M39" s="76">
        <v>46.925566160944896</v>
      </c>
      <c r="N39" s="76">
        <v>41.061649601516343</v>
      </c>
      <c r="O39" s="76">
        <v>35.936799068862904</v>
      </c>
      <c r="P39" s="76">
        <v>4.0023193681081075</v>
      </c>
      <c r="Q39" s="76" t="s">
        <v>201</v>
      </c>
      <c r="R39" s="76" t="s">
        <v>201</v>
      </c>
      <c r="S39" s="76" t="s">
        <v>201</v>
      </c>
      <c r="T39" s="76" t="s">
        <v>201</v>
      </c>
      <c r="U39" s="76" t="s">
        <v>201</v>
      </c>
      <c r="V39" s="76" t="s">
        <v>201</v>
      </c>
      <c r="W39" s="77" t="s">
        <v>201</v>
      </c>
      <c r="X39" s="77" t="s">
        <v>201</v>
      </c>
    </row>
    <row r="40" spans="2:24" ht="35.1" customHeight="1" x14ac:dyDescent="0.2">
      <c r="B40" s="87"/>
      <c r="C40" s="30" t="s">
        <v>89</v>
      </c>
      <c r="D40" s="29">
        <v>7</v>
      </c>
      <c r="E40" s="31" t="s">
        <v>90</v>
      </c>
      <c r="F40" s="29" t="s">
        <v>45</v>
      </c>
      <c r="G40" s="77">
        <v>148.93785224990143</v>
      </c>
      <c r="H40" s="76" t="s">
        <v>201</v>
      </c>
      <c r="I40" s="76" t="s">
        <v>201</v>
      </c>
      <c r="J40" s="76" t="s">
        <v>201</v>
      </c>
      <c r="K40" s="76" t="s">
        <v>201</v>
      </c>
      <c r="L40" s="76" t="s">
        <v>201</v>
      </c>
      <c r="M40" s="76">
        <v>26.366522162266161</v>
      </c>
      <c r="N40" s="76">
        <v>23.112986306171248</v>
      </c>
      <c r="O40" s="76">
        <v>20.271209964710774</v>
      </c>
      <c r="P40" s="76">
        <v>7.2383556506477813</v>
      </c>
      <c r="Q40" s="76" t="s">
        <v>201</v>
      </c>
      <c r="R40" s="76" t="s">
        <v>201</v>
      </c>
      <c r="S40" s="76" t="s">
        <v>201</v>
      </c>
      <c r="T40" s="76" t="s">
        <v>201</v>
      </c>
      <c r="U40" s="76" t="s">
        <v>201</v>
      </c>
      <c r="V40" s="76" t="s">
        <v>201</v>
      </c>
      <c r="W40" s="77" t="s">
        <v>201</v>
      </c>
      <c r="X40" s="77" t="s">
        <v>201</v>
      </c>
    </row>
    <row r="41" spans="2:24" ht="35.1" customHeight="1" x14ac:dyDescent="0.2">
      <c r="B41" s="87"/>
      <c r="C41" s="27" t="s">
        <v>91</v>
      </c>
      <c r="D41" s="10">
        <v>7</v>
      </c>
      <c r="E41" s="28" t="s">
        <v>49</v>
      </c>
      <c r="F41" s="10" t="s">
        <v>45</v>
      </c>
      <c r="G41" s="77">
        <v>148.93785224990143</v>
      </c>
      <c r="H41" s="76" t="s">
        <v>201</v>
      </c>
      <c r="I41" s="76" t="s">
        <v>201</v>
      </c>
      <c r="J41" s="76" t="s">
        <v>201</v>
      </c>
      <c r="K41" s="76" t="s">
        <v>201</v>
      </c>
      <c r="L41" s="76" t="s">
        <v>201</v>
      </c>
      <c r="M41" s="76">
        <v>26.366522162266161</v>
      </c>
      <c r="N41" s="76">
        <v>23.112986306171248</v>
      </c>
      <c r="O41" s="76">
        <v>20.271209964710774</v>
      </c>
      <c r="P41" s="76">
        <v>7.2383556506477813</v>
      </c>
      <c r="Q41" s="76" t="s">
        <v>201</v>
      </c>
      <c r="R41" s="76" t="s">
        <v>201</v>
      </c>
      <c r="S41" s="76" t="s">
        <v>201</v>
      </c>
      <c r="T41" s="76" t="s">
        <v>201</v>
      </c>
      <c r="U41" s="76" t="s">
        <v>201</v>
      </c>
      <c r="V41" s="76" t="s">
        <v>201</v>
      </c>
      <c r="W41" s="77" t="s">
        <v>201</v>
      </c>
      <c r="X41" s="77" t="s">
        <v>201</v>
      </c>
    </row>
    <row r="42" spans="2:24" ht="5.0999999999999996" customHeight="1" x14ac:dyDescent="0.2">
      <c r="B42" s="32"/>
      <c r="C42" s="33"/>
      <c r="D42" s="34"/>
      <c r="E42" s="35"/>
      <c r="F42" s="34"/>
      <c r="G42" s="3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8"/>
      <c r="W42" s="36"/>
      <c r="X42" s="36"/>
    </row>
    <row r="43" spans="2:24" ht="15" customHeight="1" x14ac:dyDescent="0.2">
      <c r="B43" s="32"/>
      <c r="C43" s="33"/>
      <c r="D43" s="34"/>
      <c r="E43" s="35"/>
      <c r="F43" s="34"/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38"/>
      <c r="W43" s="36"/>
      <c r="X43" s="36"/>
    </row>
    <row r="44" spans="2:24" ht="5.0999999999999996" customHeight="1" x14ac:dyDescent="0.2">
      <c r="B44" s="39"/>
      <c r="C44" s="40"/>
      <c r="D44" s="41"/>
      <c r="E44" s="42"/>
      <c r="F44" s="41"/>
      <c r="G44" s="43"/>
      <c r="H44" s="43"/>
      <c r="I44" s="44"/>
      <c r="J44" s="44"/>
      <c r="K44" s="44"/>
      <c r="L44" s="44"/>
      <c r="M44" s="44"/>
      <c r="N44" s="44"/>
      <c r="O44" s="44"/>
      <c r="P44" s="43"/>
      <c r="Q44" s="44"/>
      <c r="R44" s="44"/>
      <c r="S44" s="44"/>
      <c r="T44" s="44"/>
      <c r="U44" s="43"/>
      <c r="V44" s="43"/>
      <c r="W44" s="43"/>
      <c r="X44" s="43"/>
    </row>
    <row r="45" spans="2:24" ht="61.5" customHeight="1" x14ac:dyDescent="0.2">
      <c r="B45" s="61" t="s">
        <v>14</v>
      </c>
      <c r="C45" s="69" t="s">
        <v>15</v>
      </c>
      <c r="D45" s="69" t="s">
        <v>16</v>
      </c>
      <c r="E45" s="69" t="s">
        <v>17</v>
      </c>
      <c r="F45" s="61" t="s">
        <v>18</v>
      </c>
      <c r="G45" s="61" t="s">
        <v>0</v>
      </c>
      <c r="H45" s="61" t="s">
        <v>1</v>
      </c>
      <c r="I45" s="61" t="s">
        <v>2</v>
      </c>
      <c r="J45" s="61" t="s">
        <v>3</v>
      </c>
      <c r="K45" s="61" t="s">
        <v>4</v>
      </c>
      <c r="L45" s="61" t="s">
        <v>19</v>
      </c>
      <c r="M45" s="61" t="s">
        <v>6</v>
      </c>
      <c r="N45" s="61" t="s">
        <v>7</v>
      </c>
      <c r="O45" s="61" t="s">
        <v>8</v>
      </c>
      <c r="P45" s="61" t="s">
        <v>20</v>
      </c>
      <c r="Q45" s="61" t="s">
        <v>10</v>
      </c>
      <c r="R45" s="61" t="s">
        <v>11</v>
      </c>
      <c r="S45" s="61" t="s">
        <v>12</v>
      </c>
      <c r="T45" s="61" t="s">
        <v>13</v>
      </c>
      <c r="U45" s="61" t="s">
        <v>22</v>
      </c>
      <c r="V45" s="61" t="s">
        <v>23</v>
      </c>
      <c r="W45" s="61" t="s">
        <v>24</v>
      </c>
      <c r="X45" s="61" t="s">
        <v>25</v>
      </c>
    </row>
    <row r="46" spans="2:24" ht="18" customHeight="1" x14ac:dyDescent="0.2">
      <c r="B46" s="62"/>
      <c r="C46" s="70"/>
      <c r="D46" s="70"/>
      <c r="E46" s="70"/>
      <c r="F46" s="62"/>
      <c r="G46" s="62" t="s">
        <v>26</v>
      </c>
      <c r="H46" s="62" t="s">
        <v>27</v>
      </c>
      <c r="I46" s="62" t="s">
        <v>27</v>
      </c>
      <c r="J46" s="62" t="s">
        <v>27</v>
      </c>
      <c r="K46" s="62" t="s">
        <v>27</v>
      </c>
      <c r="L46" s="62" t="s">
        <v>27</v>
      </c>
      <c r="M46" s="62" t="s">
        <v>27</v>
      </c>
      <c r="N46" s="62" t="s">
        <v>27</v>
      </c>
      <c r="O46" s="62" t="s">
        <v>27</v>
      </c>
      <c r="P46" s="62" t="s">
        <v>27</v>
      </c>
      <c r="Q46" s="62" t="s">
        <v>27</v>
      </c>
      <c r="R46" s="62" t="s">
        <v>27</v>
      </c>
      <c r="S46" s="62" t="s">
        <v>27</v>
      </c>
      <c r="T46" s="62" t="s">
        <v>27</v>
      </c>
      <c r="U46" s="62" t="s">
        <v>28</v>
      </c>
      <c r="V46" s="62" t="s">
        <v>28</v>
      </c>
      <c r="W46" s="62" t="s">
        <v>29</v>
      </c>
      <c r="X46" s="62" t="s">
        <v>29</v>
      </c>
    </row>
    <row r="47" spans="2:24" ht="35.1" customHeight="1" x14ac:dyDescent="0.2">
      <c r="B47" s="89" t="s">
        <v>199</v>
      </c>
      <c r="C47" s="27" t="s">
        <v>92</v>
      </c>
      <c r="D47" s="10">
        <v>3</v>
      </c>
      <c r="E47" s="28" t="s">
        <v>93</v>
      </c>
      <c r="F47" s="10" t="s">
        <v>33</v>
      </c>
      <c r="G47" s="77" t="s">
        <v>201</v>
      </c>
      <c r="H47" s="76" t="s">
        <v>201</v>
      </c>
      <c r="I47" s="76" t="s">
        <v>201</v>
      </c>
      <c r="J47" s="76" t="s">
        <v>201</v>
      </c>
      <c r="K47" s="76">
        <v>21.390994496612102</v>
      </c>
      <c r="L47" s="76" t="s">
        <v>201</v>
      </c>
      <c r="M47" s="76" t="s">
        <v>201</v>
      </c>
      <c r="N47" s="76" t="s">
        <v>201</v>
      </c>
      <c r="O47" s="76" t="s">
        <v>201</v>
      </c>
      <c r="P47" s="76">
        <v>10.844889847181534</v>
      </c>
      <c r="Q47" s="76" t="s">
        <v>201</v>
      </c>
      <c r="R47" s="76" t="s">
        <v>201</v>
      </c>
      <c r="S47" s="76" t="s">
        <v>201</v>
      </c>
      <c r="T47" s="76" t="s">
        <v>201</v>
      </c>
      <c r="U47" s="76" t="s">
        <v>201</v>
      </c>
      <c r="V47" s="76" t="s">
        <v>201</v>
      </c>
      <c r="W47" s="77" t="s">
        <v>201</v>
      </c>
      <c r="X47" s="77" t="s">
        <v>201</v>
      </c>
    </row>
    <row r="48" spans="2:24" ht="35.1" customHeight="1" x14ac:dyDescent="0.2">
      <c r="B48" s="89"/>
      <c r="C48" s="30" t="s">
        <v>94</v>
      </c>
      <c r="D48" s="29">
        <v>12</v>
      </c>
      <c r="E48" s="31" t="s">
        <v>95</v>
      </c>
      <c r="F48" s="29" t="s">
        <v>33</v>
      </c>
      <c r="G48" s="84">
        <v>143.93746607045955</v>
      </c>
      <c r="H48" s="76" t="s">
        <v>201</v>
      </c>
      <c r="I48" s="76" t="s">
        <v>201</v>
      </c>
      <c r="J48" s="76" t="s">
        <v>201</v>
      </c>
      <c r="K48" s="76">
        <v>18.546327665095404</v>
      </c>
      <c r="L48" s="76" t="s">
        <v>201</v>
      </c>
      <c r="M48" s="76" t="s">
        <v>201</v>
      </c>
      <c r="N48" s="76" t="s">
        <v>201</v>
      </c>
      <c r="O48" s="76" t="s">
        <v>201</v>
      </c>
      <c r="P48" s="76">
        <v>5.1867267054300772</v>
      </c>
      <c r="Q48" s="76" t="s">
        <v>201</v>
      </c>
      <c r="R48" s="76" t="s">
        <v>201</v>
      </c>
      <c r="S48" s="76" t="s">
        <v>201</v>
      </c>
      <c r="T48" s="76" t="s">
        <v>201</v>
      </c>
      <c r="U48" s="76" t="s">
        <v>201</v>
      </c>
      <c r="V48" s="76" t="s">
        <v>201</v>
      </c>
      <c r="W48" s="77" t="s">
        <v>201</v>
      </c>
      <c r="X48" s="77" t="s">
        <v>201</v>
      </c>
    </row>
    <row r="49" spans="2:24" ht="35.1" customHeight="1" x14ac:dyDescent="0.2">
      <c r="B49" s="89"/>
      <c r="C49" s="27" t="s">
        <v>96</v>
      </c>
      <c r="D49" s="10">
        <v>7</v>
      </c>
      <c r="E49" s="28" t="s">
        <v>97</v>
      </c>
      <c r="F49" s="10" t="s">
        <v>33</v>
      </c>
      <c r="G49" s="84">
        <v>143.93746607045955</v>
      </c>
      <c r="H49" s="76" t="s">
        <v>201</v>
      </c>
      <c r="I49" s="76" t="s">
        <v>201</v>
      </c>
      <c r="J49" s="76" t="s">
        <v>201</v>
      </c>
      <c r="K49" s="76" t="s">
        <v>201</v>
      </c>
      <c r="L49" s="76" t="s">
        <v>201</v>
      </c>
      <c r="M49" s="76">
        <v>49.138410560564509</v>
      </c>
      <c r="N49" s="76">
        <v>42.997821872952535</v>
      </c>
      <c r="O49" s="76">
        <v>37.63128020774122</v>
      </c>
      <c r="P49" s="76">
        <v>2.9872068863466725</v>
      </c>
      <c r="Q49" s="76" t="s">
        <v>201</v>
      </c>
      <c r="R49" s="76" t="s">
        <v>201</v>
      </c>
      <c r="S49" s="76" t="s">
        <v>201</v>
      </c>
      <c r="T49" s="76" t="s">
        <v>201</v>
      </c>
      <c r="U49" s="76" t="s">
        <v>201</v>
      </c>
      <c r="V49" s="76" t="s">
        <v>201</v>
      </c>
      <c r="W49" s="77" t="s">
        <v>201</v>
      </c>
      <c r="X49" s="77" t="s">
        <v>201</v>
      </c>
    </row>
    <row r="50" spans="2:24" ht="35.1" customHeight="1" x14ac:dyDescent="0.2">
      <c r="B50" s="89"/>
      <c r="C50" s="16" t="s">
        <v>98</v>
      </c>
      <c r="D50" s="15">
        <v>18</v>
      </c>
      <c r="E50" s="17" t="s">
        <v>99</v>
      </c>
      <c r="F50" s="15" t="s">
        <v>33</v>
      </c>
      <c r="G50" s="84">
        <v>3467.2997057714656</v>
      </c>
      <c r="H50" s="76" t="s">
        <v>201</v>
      </c>
      <c r="I50" s="76" t="s">
        <v>201</v>
      </c>
      <c r="J50" s="76" t="s">
        <v>201</v>
      </c>
      <c r="K50" s="76">
        <v>14.209931787420979</v>
      </c>
      <c r="L50" s="76">
        <v>10.161502074840183</v>
      </c>
      <c r="M50" s="76" t="s">
        <v>201</v>
      </c>
      <c r="N50" s="76" t="s">
        <v>201</v>
      </c>
      <c r="O50" s="76" t="s">
        <v>201</v>
      </c>
      <c r="P50" s="76">
        <v>4.622339243327394</v>
      </c>
      <c r="Q50" s="76" t="s">
        <v>201</v>
      </c>
      <c r="R50" s="76" t="s">
        <v>201</v>
      </c>
      <c r="S50" s="76" t="s">
        <v>201</v>
      </c>
      <c r="T50" s="76" t="s">
        <v>201</v>
      </c>
      <c r="U50" s="77">
        <v>24.521527685454096</v>
      </c>
      <c r="V50" s="77">
        <v>40.873428302933263</v>
      </c>
      <c r="W50" s="77" t="s">
        <v>201</v>
      </c>
      <c r="X50" s="77" t="s">
        <v>201</v>
      </c>
    </row>
    <row r="51" spans="2:24" ht="35.1" customHeight="1" x14ac:dyDescent="0.2">
      <c r="B51" s="89"/>
      <c r="C51" s="11" t="s">
        <v>100</v>
      </c>
      <c r="D51" s="12">
        <v>18</v>
      </c>
      <c r="E51" s="17" t="s">
        <v>101</v>
      </c>
      <c r="F51" s="12" t="s">
        <v>45</v>
      </c>
      <c r="G51" s="84">
        <v>3467.2997057714656</v>
      </c>
      <c r="H51" s="76" t="s">
        <v>201</v>
      </c>
      <c r="I51" s="76" t="s">
        <v>201</v>
      </c>
      <c r="J51" s="76" t="s">
        <v>201</v>
      </c>
      <c r="K51" s="76">
        <v>14.209931787420979</v>
      </c>
      <c r="L51" s="76">
        <v>10.161502074840183</v>
      </c>
      <c r="M51" s="76" t="s">
        <v>201</v>
      </c>
      <c r="N51" s="76" t="s">
        <v>201</v>
      </c>
      <c r="O51" s="76" t="s">
        <v>201</v>
      </c>
      <c r="P51" s="76">
        <v>4.622339243327394</v>
      </c>
      <c r="Q51" s="76" t="s">
        <v>201</v>
      </c>
      <c r="R51" s="76" t="s">
        <v>201</v>
      </c>
      <c r="S51" s="76" t="s">
        <v>201</v>
      </c>
      <c r="T51" s="76" t="s">
        <v>201</v>
      </c>
      <c r="U51" s="77" t="s">
        <v>201</v>
      </c>
      <c r="V51" s="77" t="s">
        <v>201</v>
      </c>
      <c r="W51" s="77" t="s">
        <v>201</v>
      </c>
      <c r="X51" s="77" t="s">
        <v>201</v>
      </c>
    </row>
    <row r="52" spans="2:24" ht="35.1" customHeight="1" x14ac:dyDescent="0.2">
      <c r="B52" s="90"/>
      <c r="C52" s="11" t="s">
        <v>102</v>
      </c>
      <c r="D52" s="12">
        <v>13</v>
      </c>
      <c r="E52" s="13" t="s">
        <v>103</v>
      </c>
      <c r="F52" s="12" t="s">
        <v>45</v>
      </c>
      <c r="G52" s="84">
        <v>3467.2997057714656</v>
      </c>
      <c r="H52" s="76" t="s">
        <v>201</v>
      </c>
      <c r="I52" s="76" t="s">
        <v>201</v>
      </c>
      <c r="J52" s="76" t="s">
        <v>201</v>
      </c>
      <c r="K52" s="76">
        <v>11.300261053242856</v>
      </c>
      <c r="L52" s="76">
        <v>7.8757106922915128</v>
      </c>
      <c r="M52" s="76" t="s">
        <v>201</v>
      </c>
      <c r="N52" s="76" t="s">
        <v>201</v>
      </c>
      <c r="O52" s="76" t="s">
        <v>201</v>
      </c>
      <c r="P52" s="76">
        <v>4.8985795350587331</v>
      </c>
      <c r="Q52" s="76" t="s">
        <v>201</v>
      </c>
      <c r="R52" s="76" t="s">
        <v>201</v>
      </c>
      <c r="S52" s="76" t="s">
        <v>201</v>
      </c>
      <c r="T52" s="76" t="s">
        <v>201</v>
      </c>
      <c r="U52" s="77">
        <v>24.521527685454096</v>
      </c>
      <c r="V52" s="77">
        <v>40.873428302933263</v>
      </c>
      <c r="W52" s="77" t="s">
        <v>201</v>
      </c>
      <c r="X52" s="77" t="s">
        <v>201</v>
      </c>
    </row>
    <row r="53" spans="2:24" ht="35.1" customHeight="1" x14ac:dyDescent="0.2">
      <c r="B53" s="87" t="s">
        <v>198</v>
      </c>
      <c r="C53" s="16" t="s">
        <v>104</v>
      </c>
      <c r="D53" s="15">
        <v>13</v>
      </c>
      <c r="E53" s="17" t="s">
        <v>105</v>
      </c>
      <c r="F53" s="15" t="s">
        <v>33</v>
      </c>
      <c r="G53" s="84">
        <v>7751.7943618051477</v>
      </c>
      <c r="H53" s="76" t="s">
        <v>201</v>
      </c>
      <c r="I53" s="76" t="s">
        <v>201</v>
      </c>
      <c r="J53" s="76" t="s">
        <v>201</v>
      </c>
      <c r="K53" s="76">
        <v>4.0529933461802363</v>
      </c>
      <c r="L53" s="76">
        <v>2.7462495860364391</v>
      </c>
      <c r="M53" s="76" t="s">
        <v>201</v>
      </c>
      <c r="N53" s="76" t="s">
        <v>201</v>
      </c>
      <c r="O53" s="76" t="s">
        <v>201</v>
      </c>
      <c r="P53" s="76">
        <v>1.5663923576582564</v>
      </c>
      <c r="Q53" s="76" t="s">
        <v>201</v>
      </c>
      <c r="R53" s="76" t="s">
        <v>201</v>
      </c>
      <c r="S53" s="76" t="s">
        <v>201</v>
      </c>
      <c r="T53" s="76" t="s">
        <v>201</v>
      </c>
      <c r="U53" s="77">
        <v>59.540656290641628</v>
      </c>
      <c r="V53" s="77">
        <v>99.857933634548843</v>
      </c>
      <c r="W53" s="77" t="s">
        <v>201</v>
      </c>
      <c r="X53" s="77" t="s">
        <v>201</v>
      </c>
    </row>
    <row r="54" spans="2:24" ht="35.1" customHeight="1" x14ac:dyDescent="0.2">
      <c r="B54" s="87"/>
      <c r="C54" s="11" t="s">
        <v>106</v>
      </c>
      <c r="D54" s="12">
        <v>13</v>
      </c>
      <c r="E54" s="17" t="s">
        <v>107</v>
      </c>
      <c r="F54" s="12" t="s">
        <v>45</v>
      </c>
      <c r="G54" s="84">
        <v>7751.7943618051477</v>
      </c>
      <c r="H54" s="76" t="s">
        <v>201</v>
      </c>
      <c r="I54" s="76" t="s">
        <v>201</v>
      </c>
      <c r="J54" s="76" t="s">
        <v>201</v>
      </c>
      <c r="K54" s="76">
        <v>4.0529933461802363</v>
      </c>
      <c r="L54" s="76">
        <v>2.7462495860364391</v>
      </c>
      <c r="M54" s="76" t="s">
        <v>201</v>
      </c>
      <c r="N54" s="76" t="s">
        <v>201</v>
      </c>
      <c r="O54" s="76" t="s">
        <v>201</v>
      </c>
      <c r="P54" s="76">
        <v>1.5663923576582564</v>
      </c>
      <c r="Q54" s="76" t="s">
        <v>201</v>
      </c>
      <c r="R54" s="76" t="s">
        <v>201</v>
      </c>
      <c r="S54" s="76" t="s">
        <v>201</v>
      </c>
      <c r="T54" s="76" t="s">
        <v>201</v>
      </c>
      <c r="U54" s="77" t="s">
        <v>201</v>
      </c>
      <c r="V54" s="77" t="s">
        <v>201</v>
      </c>
      <c r="W54" s="77" t="s">
        <v>201</v>
      </c>
      <c r="X54" s="77" t="s">
        <v>201</v>
      </c>
    </row>
    <row r="55" spans="2:24" ht="35.1" customHeight="1" x14ac:dyDescent="0.2">
      <c r="B55" s="87"/>
      <c r="C55" s="11" t="s">
        <v>108</v>
      </c>
      <c r="D55" s="12">
        <v>13</v>
      </c>
      <c r="E55" s="13" t="s">
        <v>109</v>
      </c>
      <c r="F55" s="12" t="s">
        <v>33</v>
      </c>
      <c r="G55" s="84">
        <v>7751.7943618051477</v>
      </c>
      <c r="H55" s="76" t="s">
        <v>201</v>
      </c>
      <c r="I55" s="76" t="s">
        <v>201</v>
      </c>
      <c r="J55" s="76" t="s">
        <v>201</v>
      </c>
      <c r="K55" s="76">
        <v>3.7804841113414218</v>
      </c>
      <c r="L55" s="76">
        <v>2.4775605082034322</v>
      </c>
      <c r="M55" s="76" t="s">
        <v>201</v>
      </c>
      <c r="N55" s="76" t="s">
        <v>201</v>
      </c>
      <c r="O55" s="76" t="s">
        <v>201</v>
      </c>
      <c r="P55" s="76">
        <v>1.4048465648318116</v>
      </c>
      <c r="Q55" s="76" t="s">
        <v>201</v>
      </c>
      <c r="R55" s="76" t="s">
        <v>201</v>
      </c>
      <c r="S55" s="76" t="s">
        <v>201</v>
      </c>
      <c r="T55" s="76" t="s">
        <v>201</v>
      </c>
      <c r="U55" s="77">
        <v>62.081023922655852</v>
      </c>
      <c r="V55" s="77">
        <v>104.98922347831883</v>
      </c>
      <c r="W55" s="77" t="s">
        <v>201</v>
      </c>
      <c r="X55" s="77" t="s">
        <v>201</v>
      </c>
    </row>
    <row r="56" spans="2:24" ht="35.1" customHeight="1" x14ac:dyDescent="0.2">
      <c r="B56" s="87"/>
      <c r="C56" s="16" t="s">
        <v>110</v>
      </c>
      <c r="D56" s="15">
        <v>13</v>
      </c>
      <c r="E56" s="17" t="s">
        <v>111</v>
      </c>
      <c r="F56" s="15" t="s">
        <v>33</v>
      </c>
      <c r="G56" s="84">
        <v>7751.7943618051477</v>
      </c>
      <c r="H56" s="76" t="s">
        <v>201</v>
      </c>
      <c r="I56" s="76" t="s">
        <v>201</v>
      </c>
      <c r="J56" s="76" t="s">
        <v>201</v>
      </c>
      <c r="K56" s="76">
        <v>3.7130670012475471</v>
      </c>
      <c r="L56" s="76">
        <v>2.4492996601938941</v>
      </c>
      <c r="M56" s="76" t="s">
        <v>201</v>
      </c>
      <c r="N56" s="76" t="s">
        <v>201</v>
      </c>
      <c r="O56" s="76" t="s">
        <v>201</v>
      </c>
      <c r="P56" s="76">
        <v>1.3260773019636889</v>
      </c>
      <c r="Q56" s="76" t="s">
        <v>201</v>
      </c>
      <c r="R56" s="76" t="s">
        <v>201</v>
      </c>
      <c r="S56" s="76" t="s">
        <v>201</v>
      </c>
      <c r="T56" s="76" t="s">
        <v>201</v>
      </c>
      <c r="U56" s="77">
        <v>68.059102977097282</v>
      </c>
      <c r="V56" s="77">
        <v>112.9768470774879</v>
      </c>
      <c r="W56" s="77" t="s">
        <v>201</v>
      </c>
      <c r="X56" s="77" t="s">
        <v>201</v>
      </c>
    </row>
    <row r="57" spans="2:24" ht="35.1" customHeight="1" x14ac:dyDescent="0.2">
      <c r="B57" s="87"/>
      <c r="C57" s="11" t="s">
        <v>112</v>
      </c>
      <c r="D57" s="12">
        <v>13</v>
      </c>
      <c r="E57" s="13" t="s">
        <v>113</v>
      </c>
      <c r="F57" s="12" t="s">
        <v>33</v>
      </c>
      <c r="G57" s="84">
        <v>7751.7943618051477</v>
      </c>
      <c r="H57" s="76" t="s">
        <v>201</v>
      </c>
      <c r="I57" s="76" t="s">
        <v>201</v>
      </c>
      <c r="J57" s="76" t="s">
        <v>201</v>
      </c>
      <c r="K57" s="76">
        <v>3.3287124149718483</v>
      </c>
      <c r="L57" s="76">
        <v>2.1969958378392689</v>
      </c>
      <c r="M57" s="76" t="s">
        <v>201</v>
      </c>
      <c r="N57" s="76" t="s">
        <v>201</v>
      </c>
      <c r="O57" s="76" t="s">
        <v>201</v>
      </c>
      <c r="P57" s="76">
        <v>1.148959850098076</v>
      </c>
      <c r="Q57" s="76" t="s">
        <v>201</v>
      </c>
      <c r="R57" s="76" t="s">
        <v>201</v>
      </c>
      <c r="S57" s="76" t="s">
        <v>201</v>
      </c>
      <c r="T57" s="76" t="s">
        <v>201</v>
      </c>
      <c r="U57" s="77">
        <v>74.871332597274701</v>
      </c>
      <c r="V57" s="77">
        <v>123.87135901179764</v>
      </c>
      <c r="W57" s="77" t="s">
        <v>201</v>
      </c>
      <c r="X57" s="77" t="s">
        <v>201</v>
      </c>
    </row>
    <row r="58" spans="2:24" ht="35.1" customHeight="1" x14ac:dyDescent="0.2">
      <c r="B58" s="91" t="s">
        <v>114</v>
      </c>
      <c r="C58" s="16" t="s">
        <v>115</v>
      </c>
      <c r="D58" s="15">
        <v>14</v>
      </c>
      <c r="E58" s="17" t="s">
        <v>116</v>
      </c>
      <c r="F58" s="15" t="s">
        <v>33</v>
      </c>
      <c r="G58" s="84">
        <v>7751.7943618051477</v>
      </c>
      <c r="H58" s="76" t="s">
        <v>201</v>
      </c>
      <c r="I58" s="76" t="s">
        <v>201</v>
      </c>
      <c r="J58" s="76" t="s">
        <v>201</v>
      </c>
      <c r="K58" s="76">
        <v>0.72511645671117608</v>
      </c>
      <c r="L58" s="76" t="s">
        <v>201</v>
      </c>
      <c r="M58" s="76" t="s">
        <v>201</v>
      </c>
      <c r="N58" s="76" t="s">
        <v>201</v>
      </c>
      <c r="O58" s="76" t="s">
        <v>201</v>
      </c>
      <c r="P58" s="76">
        <v>0.29334256657861213</v>
      </c>
      <c r="Q58" s="76" t="s">
        <v>201</v>
      </c>
      <c r="R58" s="76" t="s">
        <v>201</v>
      </c>
      <c r="S58" s="76" t="s">
        <v>201</v>
      </c>
      <c r="T58" s="76" t="s">
        <v>201</v>
      </c>
      <c r="U58" s="77">
        <v>49.201481218851647</v>
      </c>
      <c r="V58" s="77">
        <v>80.636113403297188</v>
      </c>
      <c r="W58" s="77" t="s">
        <v>201</v>
      </c>
      <c r="X58" s="77" t="s">
        <v>201</v>
      </c>
    </row>
    <row r="59" spans="2:24" ht="35.1" customHeight="1" x14ac:dyDescent="0.2">
      <c r="B59" s="89"/>
      <c r="C59" s="11" t="s">
        <v>117</v>
      </c>
      <c r="D59" s="12">
        <v>13</v>
      </c>
      <c r="E59" s="13" t="s">
        <v>118</v>
      </c>
      <c r="F59" s="12" t="s">
        <v>33</v>
      </c>
      <c r="G59" s="84">
        <v>7751.7943618051477</v>
      </c>
      <c r="H59" s="76" t="s">
        <v>201</v>
      </c>
      <c r="I59" s="76" t="s">
        <v>201</v>
      </c>
      <c r="J59" s="76" t="s">
        <v>201</v>
      </c>
      <c r="K59" s="76">
        <v>0.65138029033806599</v>
      </c>
      <c r="L59" s="76">
        <v>0.65138029033806599</v>
      </c>
      <c r="M59" s="76" t="s">
        <v>201</v>
      </c>
      <c r="N59" s="76" t="s">
        <v>201</v>
      </c>
      <c r="O59" s="76" t="s">
        <v>201</v>
      </c>
      <c r="P59" s="76">
        <v>0.55495928256773575</v>
      </c>
      <c r="Q59" s="76" t="s">
        <v>201</v>
      </c>
      <c r="R59" s="76" t="s">
        <v>201</v>
      </c>
      <c r="S59" s="76" t="s">
        <v>201</v>
      </c>
      <c r="T59" s="76" t="s">
        <v>201</v>
      </c>
      <c r="U59" s="77">
        <v>45.102415334485094</v>
      </c>
      <c r="V59" s="77">
        <v>73.808567131504006</v>
      </c>
      <c r="W59" s="77" t="s">
        <v>201</v>
      </c>
      <c r="X59" s="77" t="s">
        <v>201</v>
      </c>
    </row>
    <row r="60" spans="2:24" ht="35.1" customHeight="1" x14ac:dyDescent="0.2">
      <c r="B60" s="89"/>
      <c r="C60" s="16" t="s">
        <v>119</v>
      </c>
      <c r="D60" s="15">
        <v>13</v>
      </c>
      <c r="E60" s="17" t="s">
        <v>120</v>
      </c>
      <c r="F60" s="15" t="s">
        <v>33</v>
      </c>
      <c r="G60" s="84">
        <v>7751.7943618051477</v>
      </c>
      <c r="H60" s="76" t="s">
        <v>201</v>
      </c>
      <c r="I60" s="76" t="s">
        <v>201</v>
      </c>
      <c r="J60" s="76" t="s">
        <v>201</v>
      </c>
      <c r="K60" s="76">
        <v>11.92010932613112</v>
      </c>
      <c r="L60" s="76">
        <v>4.1710625625515494</v>
      </c>
      <c r="M60" s="76" t="s">
        <v>201</v>
      </c>
      <c r="N60" s="76" t="s">
        <v>201</v>
      </c>
      <c r="O60" s="76" t="s">
        <v>201</v>
      </c>
      <c r="P60" s="76">
        <v>1.2989181857856995</v>
      </c>
      <c r="Q60" s="76" t="s">
        <v>201</v>
      </c>
      <c r="R60" s="76" t="s">
        <v>201</v>
      </c>
      <c r="S60" s="76" t="s">
        <v>201</v>
      </c>
      <c r="T60" s="76" t="s">
        <v>201</v>
      </c>
      <c r="U60" s="77">
        <v>5.2436294452397174</v>
      </c>
      <c r="V60" s="77">
        <v>8.6633877790917087</v>
      </c>
      <c r="W60" s="77" t="s">
        <v>201</v>
      </c>
      <c r="X60" s="77" t="s">
        <v>201</v>
      </c>
    </row>
    <row r="61" spans="2:24" ht="35.1" customHeight="1" x14ac:dyDescent="0.2">
      <c r="B61" s="90"/>
      <c r="C61" s="11" t="s">
        <v>121</v>
      </c>
      <c r="D61" s="12">
        <v>14</v>
      </c>
      <c r="E61" s="17" t="s">
        <v>122</v>
      </c>
      <c r="F61" s="12" t="s">
        <v>33</v>
      </c>
      <c r="G61" s="84">
        <v>7751.7943618051477</v>
      </c>
      <c r="H61" s="76" t="s">
        <v>201</v>
      </c>
      <c r="I61" s="76" t="s">
        <v>201</v>
      </c>
      <c r="J61" s="76" t="s">
        <v>201</v>
      </c>
      <c r="K61" s="76">
        <v>0.72511645671117608</v>
      </c>
      <c r="L61" s="76" t="s">
        <v>201</v>
      </c>
      <c r="M61" s="76" t="s">
        <v>201</v>
      </c>
      <c r="N61" s="76" t="s">
        <v>201</v>
      </c>
      <c r="O61" s="76" t="s">
        <v>201</v>
      </c>
      <c r="P61" s="76">
        <v>0.29334256657861213</v>
      </c>
      <c r="Q61" s="76" t="s">
        <v>201</v>
      </c>
      <c r="R61" s="76" t="s">
        <v>201</v>
      </c>
      <c r="S61" s="76" t="s">
        <v>201</v>
      </c>
      <c r="T61" s="76" t="s">
        <v>201</v>
      </c>
      <c r="U61" s="77">
        <v>49.201481218851647</v>
      </c>
      <c r="V61" s="77">
        <v>80.636113403297188</v>
      </c>
      <c r="W61" s="77" t="s">
        <v>201</v>
      </c>
      <c r="X61" s="77" t="s">
        <v>201</v>
      </c>
    </row>
    <row r="62" spans="2:24" ht="35.1" customHeight="1" x14ac:dyDescent="0.2">
      <c r="B62" s="87" t="s">
        <v>123</v>
      </c>
      <c r="C62" s="11" t="s">
        <v>124</v>
      </c>
      <c r="D62" s="12">
        <v>14</v>
      </c>
      <c r="E62" s="13" t="s">
        <v>125</v>
      </c>
      <c r="F62" s="12" t="s">
        <v>33</v>
      </c>
      <c r="G62" s="84">
        <v>27628.259890811922</v>
      </c>
      <c r="H62" s="76" t="s">
        <v>201</v>
      </c>
      <c r="I62" s="76" t="s">
        <v>201</v>
      </c>
      <c r="J62" s="76" t="s">
        <v>201</v>
      </c>
      <c r="K62" s="76">
        <v>0.6568123433128833</v>
      </c>
      <c r="L62" s="76" t="s">
        <v>201</v>
      </c>
      <c r="M62" s="76" t="s">
        <v>201</v>
      </c>
      <c r="N62" s="76" t="s">
        <v>201</v>
      </c>
      <c r="O62" s="76" t="s">
        <v>201</v>
      </c>
      <c r="P62" s="76">
        <v>6.1758077752733502E-2</v>
      </c>
      <c r="Q62" s="76" t="s">
        <v>201</v>
      </c>
      <c r="R62" s="76" t="s">
        <v>201</v>
      </c>
      <c r="S62" s="76" t="s">
        <v>201</v>
      </c>
      <c r="T62" s="76" t="s">
        <v>201</v>
      </c>
      <c r="U62" s="77">
        <v>3.2788735555299917</v>
      </c>
      <c r="V62" s="77">
        <v>5.4057104564143081</v>
      </c>
      <c r="W62" s="77" t="s">
        <v>201</v>
      </c>
      <c r="X62" s="77" t="s">
        <v>201</v>
      </c>
    </row>
    <row r="63" spans="2:24" ht="35.1" customHeight="1" x14ac:dyDescent="0.2">
      <c r="B63" s="87"/>
      <c r="C63" s="11" t="s">
        <v>126</v>
      </c>
      <c r="D63" s="12">
        <v>3</v>
      </c>
      <c r="E63" s="13" t="s">
        <v>127</v>
      </c>
      <c r="F63" s="12" t="s">
        <v>45</v>
      </c>
      <c r="G63" s="84" t="s">
        <v>201</v>
      </c>
      <c r="H63" s="76" t="s">
        <v>201</v>
      </c>
      <c r="I63" s="76" t="s">
        <v>201</v>
      </c>
      <c r="J63" s="76" t="s">
        <v>201</v>
      </c>
      <c r="K63" s="76">
        <v>1.2920940184137992</v>
      </c>
      <c r="L63" s="76" t="s">
        <v>201</v>
      </c>
      <c r="M63" s="76" t="s">
        <v>201</v>
      </c>
      <c r="N63" s="76" t="s">
        <v>201</v>
      </c>
      <c r="O63" s="76" t="s">
        <v>201</v>
      </c>
      <c r="P63" s="76">
        <v>1.2920940184137992</v>
      </c>
      <c r="Q63" s="76" t="s">
        <v>201</v>
      </c>
      <c r="R63" s="76" t="s">
        <v>201</v>
      </c>
      <c r="S63" s="76" t="s">
        <v>201</v>
      </c>
      <c r="T63" s="76" t="s">
        <v>201</v>
      </c>
      <c r="U63" s="77" t="s">
        <v>201</v>
      </c>
      <c r="V63" s="77" t="s">
        <v>201</v>
      </c>
      <c r="W63" s="77" t="s">
        <v>201</v>
      </c>
      <c r="X63" s="77" t="s">
        <v>201</v>
      </c>
    </row>
    <row r="64" spans="2:24" ht="35.1" customHeight="1" x14ac:dyDescent="0.2">
      <c r="B64" s="87"/>
      <c r="C64" s="16" t="s">
        <v>128</v>
      </c>
      <c r="D64" s="15">
        <v>14</v>
      </c>
      <c r="E64" s="17" t="s">
        <v>129</v>
      </c>
      <c r="F64" s="15" t="s">
        <v>33</v>
      </c>
      <c r="G64" s="84">
        <v>27628.259890811922</v>
      </c>
      <c r="H64" s="76" t="s">
        <v>201</v>
      </c>
      <c r="I64" s="76" t="s">
        <v>201</v>
      </c>
      <c r="J64" s="76" t="s">
        <v>201</v>
      </c>
      <c r="K64" s="76">
        <v>0.61225545734397613</v>
      </c>
      <c r="L64" s="76" t="s">
        <v>201</v>
      </c>
      <c r="M64" s="76" t="s">
        <v>201</v>
      </c>
      <c r="N64" s="76" t="s">
        <v>201</v>
      </c>
      <c r="O64" s="76" t="s">
        <v>201</v>
      </c>
      <c r="P64" s="76">
        <v>3.9320321478482002E-2</v>
      </c>
      <c r="Q64" s="76" t="s">
        <v>201</v>
      </c>
      <c r="R64" s="76" t="s">
        <v>201</v>
      </c>
      <c r="S64" s="76" t="s">
        <v>201</v>
      </c>
      <c r="T64" s="76" t="s">
        <v>201</v>
      </c>
      <c r="U64" s="77">
        <v>2.4433304873254373</v>
      </c>
      <c r="V64" s="77">
        <v>4.0637776499039662</v>
      </c>
      <c r="W64" s="77" t="s">
        <v>201</v>
      </c>
      <c r="X64" s="77" t="s">
        <v>201</v>
      </c>
    </row>
    <row r="65" spans="2:24" ht="35.1" customHeight="1" x14ac:dyDescent="0.2">
      <c r="B65" s="87"/>
      <c r="C65" s="16" t="s">
        <v>130</v>
      </c>
      <c r="D65" s="15">
        <v>14</v>
      </c>
      <c r="E65" s="17" t="s">
        <v>131</v>
      </c>
      <c r="F65" s="15" t="s">
        <v>33</v>
      </c>
      <c r="G65" s="85" t="s">
        <v>200</v>
      </c>
      <c r="H65" s="76" t="s">
        <v>201</v>
      </c>
      <c r="I65" s="76" t="s">
        <v>201</v>
      </c>
      <c r="J65" s="76" t="s">
        <v>201</v>
      </c>
      <c r="K65" s="85" t="s">
        <v>200</v>
      </c>
      <c r="L65" s="76" t="s">
        <v>201</v>
      </c>
      <c r="M65" s="76" t="s">
        <v>201</v>
      </c>
      <c r="N65" s="76" t="s">
        <v>201</v>
      </c>
      <c r="O65" s="76" t="s">
        <v>201</v>
      </c>
      <c r="P65" s="85" t="s">
        <v>200</v>
      </c>
      <c r="Q65" s="76" t="s">
        <v>201</v>
      </c>
      <c r="R65" s="76" t="s">
        <v>201</v>
      </c>
      <c r="S65" s="76" t="s">
        <v>201</v>
      </c>
      <c r="T65" s="76" t="s">
        <v>201</v>
      </c>
      <c r="U65" s="85" t="s">
        <v>200</v>
      </c>
      <c r="V65" s="85" t="s">
        <v>200</v>
      </c>
      <c r="W65" s="77" t="s">
        <v>201</v>
      </c>
      <c r="X65" s="77" t="s">
        <v>201</v>
      </c>
    </row>
    <row r="66" spans="2:24" ht="35.1" customHeight="1" x14ac:dyDescent="0.2">
      <c r="B66" s="87"/>
      <c r="C66" s="11" t="s">
        <v>132</v>
      </c>
      <c r="D66" s="12">
        <v>14</v>
      </c>
      <c r="E66" s="13" t="s">
        <v>133</v>
      </c>
      <c r="F66" s="12" t="s">
        <v>33</v>
      </c>
      <c r="G66" s="84">
        <v>27628.259890811922</v>
      </c>
      <c r="H66" s="76" t="s">
        <v>201</v>
      </c>
      <c r="I66" s="76" t="s">
        <v>201</v>
      </c>
      <c r="J66" s="76" t="s">
        <v>201</v>
      </c>
      <c r="K66" s="76">
        <v>0.70413845768022432</v>
      </c>
      <c r="L66" s="76" t="s">
        <v>201</v>
      </c>
      <c r="M66" s="76" t="s">
        <v>201</v>
      </c>
      <c r="N66" s="76" t="s">
        <v>201</v>
      </c>
      <c r="O66" s="76" t="s">
        <v>201</v>
      </c>
      <c r="P66" s="76">
        <v>8.8630175444484566E-2</v>
      </c>
      <c r="Q66" s="76" t="s">
        <v>201</v>
      </c>
      <c r="R66" s="76" t="s">
        <v>201</v>
      </c>
      <c r="S66" s="76" t="s">
        <v>201</v>
      </c>
      <c r="T66" s="76" t="s">
        <v>201</v>
      </c>
      <c r="U66" s="77">
        <v>5.0765571265155449</v>
      </c>
      <c r="V66" s="77">
        <v>8.4313891427914065</v>
      </c>
      <c r="W66" s="77" t="s">
        <v>201</v>
      </c>
      <c r="X66" s="77" t="s">
        <v>201</v>
      </c>
    </row>
    <row r="67" spans="2:24" ht="35.1" customHeight="1" x14ac:dyDescent="0.2">
      <c r="B67" s="87"/>
      <c r="C67" s="11" t="s">
        <v>134</v>
      </c>
      <c r="D67" s="12">
        <v>14</v>
      </c>
      <c r="E67" s="17" t="s">
        <v>135</v>
      </c>
      <c r="F67" s="12" t="s">
        <v>33</v>
      </c>
      <c r="G67" s="84">
        <v>27628.259890811922</v>
      </c>
      <c r="H67" s="76" t="s">
        <v>201</v>
      </c>
      <c r="I67" s="76" t="s">
        <v>201</v>
      </c>
      <c r="J67" s="76" t="s">
        <v>201</v>
      </c>
      <c r="K67" s="76">
        <v>0.70413845768022432</v>
      </c>
      <c r="L67" s="76" t="s">
        <v>201</v>
      </c>
      <c r="M67" s="76" t="s">
        <v>201</v>
      </c>
      <c r="N67" s="76" t="s">
        <v>201</v>
      </c>
      <c r="O67" s="76" t="s">
        <v>201</v>
      </c>
      <c r="P67" s="76">
        <v>8.8630175444484566E-2</v>
      </c>
      <c r="Q67" s="76" t="s">
        <v>201</v>
      </c>
      <c r="R67" s="76" t="s">
        <v>201</v>
      </c>
      <c r="S67" s="76" t="s">
        <v>201</v>
      </c>
      <c r="T67" s="76" t="s">
        <v>201</v>
      </c>
      <c r="U67" s="77">
        <v>5.0765571265155449</v>
      </c>
      <c r="V67" s="77">
        <v>8.4313891427914065</v>
      </c>
      <c r="W67" s="77" t="s">
        <v>201</v>
      </c>
      <c r="X67" s="77" t="s">
        <v>201</v>
      </c>
    </row>
    <row r="68" spans="2:24" ht="5.0999999999999996" customHeight="1" x14ac:dyDescent="0.2"/>
  </sheetData>
  <mergeCells count="6">
    <mergeCell ref="B62:B67"/>
    <mergeCell ref="B7:B20"/>
    <mergeCell ref="B27:B41"/>
    <mergeCell ref="B47:B52"/>
    <mergeCell ref="B53:B57"/>
    <mergeCell ref="B58:B61"/>
  </mergeCells>
  <pageMargins left="0.25" right="0.25" top="0.75" bottom="0.75" header="0.3" footer="0.3"/>
  <pageSetup paperSize="9" scale="26" orientation="landscape" r:id="rId1"/>
  <headerFooter>
    <oddFooter>&amp;C_x000D_&amp;1#&amp;"Century Gothic"&amp;7&amp;K7F7F7F BUSINESS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B313-677D-40A8-BB5C-50BA544FB356}">
  <sheetPr codeName="Sheet3">
    <tabColor rgb="FF26B67C"/>
    <pageSetUpPr fitToPage="1"/>
  </sheetPr>
  <dimension ref="B1:AB68"/>
  <sheetViews>
    <sheetView topLeftCell="A2" zoomScale="70" zoomScaleNormal="70" workbookViewId="0">
      <selection activeCell="K10" sqref="K10"/>
    </sheetView>
  </sheetViews>
  <sheetFormatPr defaultColWidth="9.140625" defaultRowHeight="12.75" x14ac:dyDescent="0.2"/>
  <cols>
    <col min="1" max="1" width="0.85546875" style="2" customWidth="1"/>
    <col min="2" max="2" width="17.5703125" style="2" customWidth="1"/>
    <col min="3" max="3" width="19.7109375" style="2" customWidth="1"/>
    <col min="4" max="4" width="12.5703125" style="2" customWidth="1"/>
    <col min="5" max="5" width="44.7109375" style="2" customWidth="1"/>
    <col min="6" max="24" width="12.28515625" style="2" customWidth="1"/>
    <col min="25" max="25" width="0.85546875" style="2" customWidth="1"/>
    <col min="26" max="16384" width="9.140625" style="2"/>
  </cols>
  <sheetData>
    <row r="1" spans="2:28" x14ac:dyDescent="0.2"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2:28" ht="35.1" customHeight="1" x14ac:dyDescent="0.4">
      <c r="B2" s="1" t="s">
        <v>188</v>
      </c>
    </row>
    <row r="3" spans="2:28" ht="15" customHeight="1" x14ac:dyDescent="0.2">
      <c r="B3" s="3" t="s">
        <v>186</v>
      </c>
      <c r="G3" s="2" t="s">
        <v>190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191</v>
      </c>
      <c r="Q3" s="2" t="s">
        <v>192</v>
      </c>
      <c r="R3" s="2" t="s">
        <v>11</v>
      </c>
      <c r="S3" s="2" t="s">
        <v>12</v>
      </c>
      <c r="T3" s="2" t="s">
        <v>13</v>
      </c>
      <c r="U3" s="2" t="s">
        <v>22</v>
      </c>
      <c r="V3" s="2" t="s">
        <v>193</v>
      </c>
      <c r="W3" s="2" t="s">
        <v>194</v>
      </c>
      <c r="X3" s="2" t="s">
        <v>195</v>
      </c>
    </row>
    <row r="4" spans="2:28" ht="5.0999999999999996" customHeight="1" x14ac:dyDescent="0.2"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2:28" ht="62.1" customHeight="1" x14ac:dyDescent="0.2">
      <c r="B5" s="63" t="s">
        <v>14</v>
      </c>
      <c r="C5" s="71" t="s">
        <v>15</v>
      </c>
      <c r="D5" s="71" t="s">
        <v>16</v>
      </c>
      <c r="E5" s="71" t="s">
        <v>17</v>
      </c>
      <c r="F5" s="63" t="s">
        <v>18</v>
      </c>
      <c r="G5" s="63" t="s">
        <v>0</v>
      </c>
      <c r="H5" s="63" t="s">
        <v>1</v>
      </c>
      <c r="I5" s="63" t="s">
        <v>2</v>
      </c>
      <c r="J5" s="63" t="s">
        <v>3</v>
      </c>
      <c r="K5" s="63" t="s">
        <v>4</v>
      </c>
      <c r="L5" s="63" t="s">
        <v>19</v>
      </c>
      <c r="M5" s="63" t="s">
        <v>6</v>
      </c>
      <c r="N5" s="63" t="s">
        <v>7</v>
      </c>
      <c r="O5" s="63" t="s">
        <v>8</v>
      </c>
      <c r="P5" s="63" t="s">
        <v>20</v>
      </c>
      <c r="Q5" s="63" t="s">
        <v>10</v>
      </c>
      <c r="R5" s="63" t="s">
        <v>11</v>
      </c>
      <c r="S5" s="63" t="s">
        <v>21</v>
      </c>
      <c r="T5" s="63" t="s">
        <v>13</v>
      </c>
      <c r="U5" s="63" t="s">
        <v>22</v>
      </c>
      <c r="V5" s="63" t="s">
        <v>23</v>
      </c>
      <c r="W5" s="63" t="s">
        <v>24</v>
      </c>
      <c r="X5" s="63" t="s">
        <v>25</v>
      </c>
    </row>
    <row r="6" spans="2:28" ht="18" customHeight="1" x14ac:dyDescent="0.2">
      <c r="B6" s="64"/>
      <c r="C6" s="72"/>
      <c r="D6" s="72"/>
      <c r="E6" s="72"/>
      <c r="F6" s="64"/>
      <c r="G6" s="65" t="s">
        <v>26</v>
      </c>
      <c r="H6" s="65" t="s">
        <v>27</v>
      </c>
      <c r="I6" s="65" t="s">
        <v>27</v>
      </c>
      <c r="J6" s="65" t="s">
        <v>27</v>
      </c>
      <c r="K6" s="65" t="s">
        <v>27</v>
      </c>
      <c r="L6" s="65" t="s">
        <v>27</v>
      </c>
      <c r="M6" s="65" t="s">
        <v>27</v>
      </c>
      <c r="N6" s="65" t="s">
        <v>27</v>
      </c>
      <c r="O6" s="65" t="s">
        <v>27</v>
      </c>
      <c r="P6" s="65" t="s">
        <v>27</v>
      </c>
      <c r="Q6" s="65" t="s">
        <v>27</v>
      </c>
      <c r="R6" s="65" t="s">
        <v>27</v>
      </c>
      <c r="S6" s="65" t="s">
        <v>27</v>
      </c>
      <c r="T6" s="65" t="s">
        <v>27</v>
      </c>
      <c r="U6" s="65" t="s">
        <v>28</v>
      </c>
      <c r="V6" s="65" t="s">
        <v>28</v>
      </c>
      <c r="W6" s="65" t="s">
        <v>29</v>
      </c>
      <c r="X6" s="65" t="s">
        <v>29</v>
      </c>
    </row>
    <row r="7" spans="2:28" ht="35.1" customHeight="1" x14ac:dyDescent="0.2">
      <c r="B7" s="88" t="s">
        <v>30</v>
      </c>
      <c r="C7" s="11" t="s">
        <v>31</v>
      </c>
      <c r="D7" s="12">
        <v>1</v>
      </c>
      <c r="E7" s="13" t="s">
        <v>32</v>
      </c>
      <c r="F7" s="12" t="s">
        <v>33</v>
      </c>
      <c r="G7" s="77" t="s">
        <v>201</v>
      </c>
      <c r="H7" s="76" t="s">
        <v>201</v>
      </c>
      <c r="I7" s="76">
        <v>3.2733434607167822</v>
      </c>
      <c r="J7" s="76">
        <v>3.2733434607167822</v>
      </c>
      <c r="K7" s="76" t="s">
        <v>201</v>
      </c>
      <c r="L7" s="76" t="s">
        <v>201</v>
      </c>
      <c r="M7" s="76" t="s">
        <v>201</v>
      </c>
      <c r="N7" s="76" t="s">
        <v>201</v>
      </c>
      <c r="O7" s="76" t="s">
        <v>201</v>
      </c>
      <c r="P7" s="76" t="s">
        <v>201</v>
      </c>
      <c r="Q7" s="76" t="s">
        <v>201</v>
      </c>
      <c r="R7" s="76" t="s">
        <v>201</v>
      </c>
      <c r="S7" s="76" t="s">
        <v>201</v>
      </c>
      <c r="T7" s="77" t="s">
        <v>201</v>
      </c>
      <c r="U7" s="77" t="s">
        <v>201</v>
      </c>
      <c r="V7" s="77" t="s">
        <v>201</v>
      </c>
      <c r="W7" s="77" t="s">
        <v>201</v>
      </c>
      <c r="X7" s="77" t="s">
        <v>201</v>
      </c>
    </row>
    <row r="8" spans="2:28" ht="35.1" customHeight="1" x14ac:dyDescent="0.2">
      <c r="B8" s="88"/>
      <c r="C8" s="11" t="s">
        <v>34</v>
      </c>
      <c r="D8" s="12">
        <v>1</v>
      </c>
      <c r="E8" s="13" t="s">
        <v>35</v>
      </c>
      <c r="F8" s="12" t="s">
        <v>33</v>
      </c>
      <c r="G8" s="77" t="s">
        <v>201</v>
      </c>
      <c r="H8" s="76" t="s">
        <v>201</v>
      </c>
      <c r="I8" s="76">
        <v>3.2733434607167822</v>
      </c>
      <c r="J8" s="76">
        <v>3.2733434607167822</v>
      </c>
      <c r="K8" s="76" t="s">
        <v>201</v>
      </c>
      <c r="L8" s="76" t="s">
        <v>201</v>
      </c>
      <c r="M8" s="76" t="s">
        <v>201</v>
      </c>
      <c r="N8" s="76" t="s">
        <v>201</v>
      </c>
      <c r="O8" s="76" t="s">
        <v>201</v>
      </c>
      <c r="P8" s="76" t="s">
        <v>201</v>
      </c>
      <c r="Q8" s="76" t="s">
        <v>201</v>
      </c>
      <c r="R8" s="76" t="s">
        <v>201</v>
      </c>
      <c r="S8" s="76" t="s">
        <v>201</v>
      </c>
      <c r="T8" s="77" t="s">
        <v>201</v>
      </c>
      <c r="U8" s="77" t="s">
        <v>201</v>
      </c>
      <c r="V8" s="77" t="s">
        <v>201</v>
      </c>
      <c r="W8" s="77" t="s">
        <v>201</v>
      </c>
      <c r="X8" s="77" t="s">
        <v>201</v>
      </c>
    </row>
    <row r="9" spans="2:28" ht="35.1" customHeight="1" x14ac:dyDescent="0.2">
      <c r="B9" s="88"/>
      <c r="C9" s="11" t="s">
        <v>36</v>
      </c>
      <c r="D9" s="12" t="s">
        <v>37</v>
      </c>
      <c r="E9" s="13" t="s">
        <v>38</v>
      </c>
      <c r="F9" s="12" t="s">
        <v>33</v>
      </c>
      <c r="G9" s="77" t="s">
        <v>201</v>
      </c>
      <c r="H9" s="76" t="s">
        <v>201</v>
      </c>
      <c r="I9" s="76">
        <v>3.2733434607167822</v>
      </c>
      <c r="J9" s="76">
        <v>3.2733434607167822</v>
      </c>
      <c r="K9" s="76" t="s">
        <v>201</v>
      </c>
      <c r="L9" s="76" t="s">
        <v>201</v>
      </c>
      <c r="M9" s="76" t="s">
        <v>201</v>
      </c>
      <c r="N9" s="76" t="s">
        <v>201</v>
      </c>
      <c r="O9" s="76" t="s">
        <v>201</v>
      </c>
      <c r="P9" s="76" t="s">
        <v>201</v>
      </c>
      <c r="Q9" s="76">
        <v>0.91290615164033018</v>
      </c>
      <c r="R9" s="76" t="s">
        <v>201</v>
      </c>
      <c r="S9" s="76" t="s">
        <v>201</v>
      </c>
      <c r="T9" s="77" t="s">
        <v>201</v>
      </c>
      <c r="U9" s="77" t="s">
        <v>201</v>
      </c>
      <c r="V9" s="77" t="s">
        <v>201</v>
      </c>
      <c r="W9" s="77" t="s">
        <v>201</v>
      </c>
      <c r="X9" s="77" t="s">
        <v>201</v>
      </c>
      <c r="Y9" s="14"/>
    </row>
    <row r="10" spans="2:28" ht="35.1" customHeight="1" x14ac:dyDescent="0.2">
      <c r="B10" s="88"/>
      <c r="C10" s="11" t="s">
        <v>182</v>
      </c>
      <c r="D10" s="83">
        <v>21</v>
      </c>
      <c r="E10" s="13" t="s">
        <v>39</v>
      </c>
      <c r="F10" s="12" t="s">
        <v>33</v>
      </c>
      <c r="G10" s="77" t="s">
        <v>201</v>
      </c>
      <c r="H10" s="76" t="s">
        <v>201</v>
      </c>
      <c r="I10" s="76" t="s">
        <v>201</v>
      </c>
      <c r="J10" s="76" t="s">
        <v>201</v>
      </c>
      <c r="K10" s="76">
        <v>3.2733434607167822</v>
      </c>
      <c r="L10" s="76" t="s">
        <v>201</v>
      </c>
      <c r="M10" s="76" t="s">
        <v>201</v>
      </c>
      <c r="N10" s="76" t="s">
        <v>201</v>
      </c>
      <c r="O10" s="76" t="s">
        <v>201</v>
      </c>
      <c r="P10" s="76">
        <v>0.91290615164033018</v>
      </c>
      <c r="Q10" s="76" t="s">
        <v>201</v>
      </c>
      <c r="R10" s="76" t="s">
        <v>201</v>
      </c>
      <c r="S10" s="76" t="s">
        <v>201</v>
      </c>
      <c r="T10" s="77" t="s">
        <v>201</v>
      </c>
      <c r="U10" s="77" t="s">
        <v>201</v>
      </c>
      <c r="V10" s="77" t="s">
        <v>201</v>
      </c>
      <c r="W10" s="77" t="s">
        <v>201</v>
      </c>
      <c r="X10" s="77" t="s">
        <v>201</v>
      </c>
      <c r="AB10" s="2" t="s">
        <v>196</v>
      </c>
    </row>
    <row r="11" spans="2:28" ht="35.1" customHeight="1" x14ac:dyDescent="0.2">
      <c r="B11" s="88"/>
      <c r="C11" s="11" t="s">
        <v>183</v>
      </c>
      <c r="D11" s="83">
        <v>21</v>
      </c>
      <c r="E11" s="13" t="s">
        <v>40</v>
      </c>
      <c r="F11" s="12" t="s">
        <v>33</v>
      </c>
      <c r="G11" s="77" t="s">
        <v>201</v>
      </c>
      <c r="H11" s="76" t="s">
        <v>201</v>
      </c>
      <c r="I11" s="76" t="s">
        <v>201</v>
      </c>
      <c r="J11" s="76" t="s">
        <v>201</v>
      </c>
      <c r="K11" s="76">
        <v>3.2733434607167822</v>
      </c>
      <c r="L11" s="76" t="s">
        <v>201</v>
      </c>
      <c r="M11" s="76" t="s">
        <v>201</v>
      </c>
      <c r="N11" s="76" t="s">
        <v>201</v>
      </c>
      <c r="O11" s="76" t="s">
        <v>201</v>
      </c>
      <c r="P11" s="76">
        <v>0.91290615164033018</v>
      </c>
      <c r="Q11" s="76" t="s">
        <v>201</v>
      </c>
      <c r="R11" s="76" t="s">
        <v>201</v>
      </c>
      <c r="S11" s="76" t="s">
        <v>201</v>
      </c>
      <c r="T11" s="77" t="s">
        <v>201</v>
      </c>
      <c r="U11" s="77" t="s">
        <v>201</v>
      </c>
      <c r="V11" s="77" t="s">
        <v>201</v>
      </c>
      <c r="W11" s="77" t="s">
        <v>201</v>
      </c>
      <c r="X11" s="77" t="s">
        <v>201</v>
      </c>
      <c r="AB11" s="2" t="s">
        <v>197</v>
      </c>
    </row>
    <row r="12" spans="2:28" ht="35.1" customHeight="1" x14ac:dyDescent="0.2">
      <c r="B12" s="88"/>
      <c r="C12" s="11" t="s">
        <v>41</v>
      </c>
      <c r="D12" s="12" t="s">
        <v>184</v>
      </c>
      <c r="E12" s="13" t="s">
        <v>42</v>
      </c>
      <c r="F12" s="15" t="s">
        <v>33</v>
      </c>
      <c r="G12" s="77" t="s">
        <v>201</v>
      </c>
      <c r="H12" s="76" t="s">
        <v>201</v>
      </c>
      <c r="I12" s="76" t="s">
        <v>201</v>
      </c>
      <c r="J12" s="76" t="s">
        <v>201</v>
      </c>
      <c r="K12" s="76">
        <v>3.2733434607167822</v>
      </c>
      <c r="L12" s="76" t="s">
        <v>201</v>
      </c>
      <c r="M12" s="76" t="s">
        <v>201</v>
      </c>
      <c r="N12" s="76" t="s">
        <v>201</v>
      </c>
      <c r="O12" s="76" t="s">
        <v>201</v>
      </c>
      <c r="P12" s="76">
        <v>0.91290615164033018</v>
      </c>
      <c r="Q12" s="76">
        <v>0.91290615164033018</v>
      </c>
      <c r="R12" s="76" t="s">
        <v>201</v>
      </c>
      <c r="S12" s="76" t="s">
        <v>201</v>
      </c>
      <c r="T12" s="77" t="s">
        <v>201</v>
      </c>
      <c r="U12" s="77" t="s">
        <v>201</v>
      </c>
      <c r="V12" s="77" t="s">
        <v>201</v>
      </c>
      <c r="W12" s="77" t="s">
        <v>201</v>
      </c>
      <c r="X12" s="77" t="s">
        <v>201</v>
      </c>
    </row>
    <row r="13" spans="2:28" ht="35.1" customHeight="1" x14ac:dyDescent="0.2">
      <c r="B13" s="88"/>
      <c r="C13" s="16" t="s">
        <v>43</v>
      </c>
      <c r="D13" s="15">
        <v>4</v>
      </c>
      <c r="E13" s="17" t="s">
        <v>44</v>
      </c>
      <c r="F13" s="12" t="s">
        <v>45</v>
      </c>
      <c r="G13" s="77" t="s">
        <v>201</v>
      </c>
      <c r="H13" s="76" t="s">
        <v>201</v>
      </c>
      <c r="I13" s="76" t="s">
        <v>201</v>
      </c>
      <c r="J13" s="76" t="s">
        <v>201</v>
      </c>
      <c r="K13" s="76">
        <v>3.2733434607167822</v>
      </c>
      <c r="L13" s="76" t="s">
        <v>201</v>
      </c>
      <c r="M13" s="76" t="s">
        <v>201</v>
      </c>
      <c r="N13" s="76" t="s">
        <v>201</v>
      </c>
      <c r="O13" s="76" t="s">
        <v>201</v>
      </c>
      <c r="P13" s="76">
        <v>0.91290615164033018</v>
      </c>
      <c r="Q13" s="76" t="s">
        <v>201</v>
      </c>
      <c r="R13" s="76" t="s">
        <v>201</v>
      </c>
      <c r="S13" s="76" t="s">
        <v>201</v>
      </c>
      <c r="T13" s="77" t="s">
        <v>201</v>
      </c>
      <c r="U13" s="77" t="s">
        <v>201</v>
      </c>
      <c r="V13" s="77" t="s">
        <v>201</v>
      </c>
      <c r="W13" s="77" t="s">
        <v>201</v>
      </c>
      <c r="X13" s="77" t="s">
        <v>201</v>
      </c>
    </row>
    <row r="14" spans="2:28" ht="35.1" customHeight="1" x14ac:dyDescent="0.2">
      <c r="B14" s="88"/>
      <c r="C14" s="16" t="s">
        <v>46</v>
      </c>
      <c r="D14" s="15">
        <v>7</v>
      </c>
      <c r="E14" s="17" t="s">
        <v>47</v>
      </c>
      <c r="F14" s="12" t="s">
        <v>45</v>
      </c>
      <c r="G14" s="77" t="s">
        <v>201</v>
      </c>
      <c r="H14" s="76" t="s">
        <v>201</v>
      </c>
      <c r="I14" s="76" t="s">
        <v>201</v>
      </c>
      <c r="J14" s="76" t="s">
        <v>201</v>
      </c>
      <c r="K14" s="76" t="s">
        <v>201</v>
      </c>
      <c r="L14" s="76" t="s">
        <v>201</v>
      </c>
      <c r="M14" s="76">
        <v>3.2733434607167822</v>
      </c>
      <c r="N14" s="76">
        <v>3.2733434607167822</v>
      </c>
      <c r="O14" s="76">
        <v>3.2733434607167822</v>
      </c>
      <c r="P14" s="76">
        <v>0.91290615164033018</v>
      </c>
      <c r="Q14" s="76" t="s">
        <v>201</v>
      </c>
      <c r="R14" s="76" t="s">
        <v>201</v>
      </c>
      <c r="S14" s="76" t="s">
        <v>201</v>
      </c>
      <c r="T14" s="77" t="s">
        <v>201</v>
      </c>
      <c r="U14" s="77" t="s">
        <v>201</v>
      </c>
      <c r="V14" s="77" t="s">
        <v>201</v>
      </c>
      <c r="W14" s="77" t="s">
        <v>201</v>
      </c>
      <c r="X14" s="77" t="s">
        <v>201</v>
      </c>
    </row>
    <row r="15" spans="2:28" ht="35.1" customHeight="1" x14ac:dyDescent="0.2">
      <c r="B15" s="88"/>
      <c r="C15" s="16" t="s">
        <v>48</v>
      </c>
      <c r="D15" s="15">
        <v>7</v>
      </c>
      <c r="E15" s="17" t="s">
        <v>49</v>
      </c>
      <c r="F15" s="12" t="s">
        <v>45</v>
      </c>
      <c r="G15" s="77" t="s">
        <v>201</v>
      </c>
      <c r="H15" s="76" t="s">
        <v>201</v>
      </c>
      <c r="I15" s="76" t="s">
        <v>201</v>
      </c>
      <c r="J15" s="76" t="s">
        <v>201</v>
      </c>
      <c r="K15" s="76" t="s">
        <v>201</v>
      </c>
      <c r="L15" s="76" t="s">
        <v>201</v>
      </c>
      <c r="M15" s="76">
        <v>3.2733434607167822</v>
      </c>
      <c r="N15" s="76">
        <v>3.2733434607167822</v>
      </c>
      <c r="O15" s="76">
        <v>3.2733434607167822</v>
      </c>
      <c r="P15" s="76">
        <v>0.91290615164033018</v>
      </c>
      <c r="Q15" s="76" t="s">
        <v>201</v>
      </c>
      <c r="R15" s="76" t="s">
        <v>201</v>
      </c>
      <c r="S15" s="76" t="s">
        <v>201</v>
      </c>
      <c r="T15" s="77" t="s">
        <v>201</v>
      </c>
      <c r="U15" s="77" t="s">
        <v>201</v>
      </c>
      <c r="V15" s="77" t="s">
        <v>201</v>
      </c>
      <c r="W15" s="77" t="s">
        <v>201</v>
      </c>
      <c r="X15" s="77" t="s">
        <v>201</v>
      </c>
    </row>
    <row r="16" spans="2:28" ht="35.1" customHeight="1" x14ac:dyDescent="0.2">
      <c r="B16" s="88"/>
      <c r="C16" s="11" t="s">
        <v>50</v>
      </c>
      <c r="D16" s="12">
        <v>9</v>
      </c>
      <c r="E16" s="13" t="s">
        <v>51</v>
      </c>
      <c r="F16" s="12" t="s">
        <v>45</v>
      </c>
      <c r="G16" s="77" t="s">
        <v>201</v>
      </c>
      <c r="H16" s="76" t="s">
        <v>201</v>
      </c>
      <c r="I16" s="76" t="s">
        <v>201</v>
      </c>
      <c r="J16" s="76" t="s">
        <v>201</v>
      </c>
      <c r="K16" s="76" t="s">
        <v>201</v>
      </c>
      <c r="L16" s="76" t="s">
        <v>201</v>
      </c>
      <c r="M16" s="76" t="s">
        <v>201</v>
      </c>
      <c r="N16" s="76" t="s">
        <v>201</v>
      </c>
      <c r="O16" s="76" t="s">
        <v>201</v>
      </c>
      <c r="P16" s="76" t="s">
        <v>201</v>
      </c>
      <c r="Q16" s="76">
        <v>0.91290615164033018</v>
      </c>
      <c r="R16" s="76" t="s">
        <v>201</v>
      </c>
      <c r="S16" s="76" t="s">
        <v>201</v>
      </c>
      <c r="T16" s="77" t="s">
        <v>201</v>
      </c>
      <c r="U16" s="77" t="s">
        <v>201</v>
      </c>
      <c r="V16" s="77" t="s">
        <v>201</v>
      </c>
      <c r="W16" s="77" t="s">
        <v>201</v>
      </c>
      <c r="X16" s="77" t="s">
        <v>201</v>
      </c>
    </row>
    <row r="17" spans="2:24" ht="35.1" customHeight="1" x14ac:dyDescent="0.2">
      <c r="B17" s="88"/>
      <c r="C17" s="11" t="s">
        <v>52</v>
      </c>
      <c r="D17" s="12">
        <v>10</v>
      </c>
      <c r="E17" s="13" t="s">
        <v>53</v>
      </c>
      <c r="F17" s="12" t="s">
        <v>45</v>
      </c>
      <c r="G17" s="77" t="s">
        <v>201</v>
      </c>
      <c r="H17" s="76" t="s">
        <v>201</v>
      </c>
      <c r="I17" s="76" t="s">
        <v>201</v>
      </c>
      <c r="J17" s="76" t="s">
        <v>201</v>
      </c>
      <c r="K17" s="76" t="s">
        <v>201</v>
      </c>
      <c r="L17" s="76" t="s">
        <v>201</v>
      </c>
      <c r="M17" s="76" t="s">
        <v>201</v>
      </c>
      <c r="N17" s="76" t="s">
        <v>201</v>
      </c>
      <c r="O17" s="76" t="s">
        <v>201</v>
      </c>
      <c r="P17" s="76" t="s">
        <v>201</v>
      </c>
      <c r="Q17" s="76">
        <v>0.91290615164033018</v>
      </c>
      <c r="R17" s="76" t="s">
        <v>201</v>
      </c>
      <c r="S17" s="76" t="s">
        <v>201</v>
      </c>
      <c r="T17" s="77" t="s">
        <v>201</v>
      </c>
      <c r="U17" s="77" t="s">
        <v>201</v>
      </c>
      <c r="V17" s="77" t="s">
        <v>201</v>
      </c>
      <c r="W17" s="77" t="s">
        <v>201</v>
      </c>
      <c r="X17" s="77" t="s">
        <v>201</v>
      </c>
    </row>
    <row r="18" spans="2:24" ht="35.1" customHeight="1" x14ac:dyDescent="0.2">
      <c r="B18" s="88"/>
      <c r="C18" s="11" t="s">
        <v>54</v>
      </c>
      <c r="D18" s="12">
        <v>11</v>
      </c>
      <c r="E18" s="13" t="s">
        <v>55</v>
      </c>
      <c r="F18" s="12" t="s">
        <v>45</v>
      </c>
      <c r="G18" s="77" t="s">
        <v>201</v>
      </c>
      <c r="H18" s="76" t="s">
        <v>201</v>
      </c>
      <c r="I18" s="76" t="s">
        <v>201</v>
      </c>
      <c r="J18" s="76" t="s">
        <v>201</v>
      </c>
      <c r="K18" s="76" t="s">
        <v>201</v>
      </c>
      <c r="L18" s="76" t="s">
        <v>201</v>
      </c>
      <c r="M18" s="76" t="s">
        <v>201</v>
      </c>
      <c r="N18" s="76" t="s">
        <v>201</v>
      </c>
      <c r="O18" s="76" t="s">
        <v>201</v>
      </c>
      <c r="P18" s="76" t="s">
        <v>201</v>
      </c>
      <c r="Q18" s="76">
        <v>0.91290615164033018</v>
      </c>
      <c r="R18" s="76" t="s">
        <v>201</v>
      </c>
      <c r="S18" s="76" t="s">
        <v>201</v>
      </c>
      <c r="T18" s="77" t="s">
        <v>201</v>
      </c>
      <c r="U18" s="77" t="s">
        <v>201</v>
      </c>
      <c r="V18" s="77" t="s">
        <v>201</v>
      </c>
      <c r="W18" s="77" t="s">
        <v>201</v>
      </c>
      <c r="X18" s="77" t="s">
        <v>201</v>
      </c>
    </row>
    <row r="19" spans="2:24" ht="35.1" customHeight="1" x14ac:dyDescent="0.2">
      <c r="B19" s="88"/>
      <c r="C19" s="11" t="s">
        <v>56</v>
      </c>
      <c r="D19" s="12">
        <v>19</v>
      </c>
      <c r="E19" s="13" t="s">
        <v>57</v>
      </c>
      <c r="F19" s="12" t="s">
        <v>45</v>
      </c>
      <c r="G19" s="77" t="s">
        <v>201</v>
      </c>
      <c r="H19" s="76" t="s">
        <v>201</v>
      </c>
      <c r="I19" s="76" t="s">
        <v>201</v>
      </c>
      <c r="J19" s="76" t="s">
        <v>201</v>
      </c>
      <c r="K19" s="76" t="s">
        <v>201</v>
      </c>
      <c r="L19" s="76" t="s">
        <v>201</v>
      </c>
      <c r="M19" s="76" t="s">
        <v>201</v>
      </c>
      <c r="N19" s="76" t="s">
        <v>201</v>
      </c>
      <c r="O19" s="76" t="s">
        <v>201</v>
      </c>
      <c r="P19" s="76" t="s">
        <v>201</v>
      </c>
      <c r="Q19" s="76">
        <v>0.91290615164033018</v>
      </c>
      <c r="R19" s="76" t="s">
        <v>201</v>
      </c>
      <c r="S19" s="76" t="s">
        <v>201</v>
      </c>
      <c r="T19" s="77" t="s">
        <v>201</v>
      </c>
      <c r="U19" s="77" t="s">
        <v>201</v>
      </c>
      <c r="V19" s="77" t="s">
        <v>201</v>
      </c>
      <c r="W19" s="77" t="s">
        <v>201</v>
      </c>
      <c r="X19" s="77" t="s">
        <v>201</v>
      </c>
    </row>
    <row r="20" spans="2:24" ht="35.1" customHeight="1" x14ac:dyDescent="0.2">
      <c r="B20" s="88"/>
      <c r="C20" s="11" t="s">
        <v>58</v>
      </c>
      <c r="D20" s="12">
        <v>20</v>
      </c>
      <c r="E20" s="13" t="s">
        <v>59</v>
      </c>
      <c r="F20" s="12" t="s">
        <v>33</v>
      </c>
      <c r="G20" s="77" t="s">
        <v>201</v>
      </c>
      <c r="H20" s="76" t="s">
        <v>201</v>
      </c>
      <c r="I20" s="76" t="s">
        <v>201</v>
      </c>
      <c r="J20" s="76" t="s">
        <v>201</v>
      </c>
      <c r="K20" s="76">
        <v>3.2733434607167822</v>
      </c>
      <c r="L20" s="76" t="s">
        <v>201</v>
      </c>
      <c r="M20" s="76" t="s">
        <v>201</v>
      </c>
      <c r="N20" s="76" t="s">
        <v>201</v>
      </c>
      <c r="O20" s="76" t="s">
        <v>201</v>
      </c>
      <c r="P20" s="76">
        <v>0.91290615164033018</v>
      </c>
      <c r="Q20" s="76" t="s">
        <v>201</v>
      </c>
      <c r="R20" s="76" t="s">
        <v>201</v>
      </c>
      <c r="S20" s="76" t="s">
        <v>201</v>
      </c>
      <c r="T20" s="77" t="s">
        <v>201</v>
      </c>
      <c r="U20" s="77" t="s">
        <v>201</v>
      </c>
      <c r="V20" s="77" t="s">
        <v>201</v>
      </c>
      <c r="W20" s="77" t="s">
        <v>201</v>
      </c>
      <c r="X20" s="77" t="s">
        <v>201</v>
      </c>
    </row>
    <row r="21" spans="2:24" ht="4.5" customHeight="1" x14ac:dyDescent="0.3">
      <c r="B21" s="18"/>
      <c r="C21" s="18"/>
      <c r="D21" s="19"/>
      <c r="E21" s="18"/>
      <c r="F21" s="19"/>
      <c r="G21" s="20"/>
      <c r="H21" s="20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0"/>
      <c r="X21" s="20"/>
    </row>
    <row r="22" spans="2:24" ht="16.5" x14ac:dyDescent="0.3">
      <c r="B22" s="22" t="s">
        <v>60</v>
      </c>
      <c r="C22" s="18"/>
      <c r="D22" s="19"/>
      <c r="E22" s="18"/>
      <c r="F22" s="19"/>
      <c r="G22" s="20"/>
      <c r="H22" s="2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0"/>
      <c r="X22" s="20"/>
    </row>
    <row r="23" spans="2:24" ht="12.75" customHeight="1" x14ac:dyDescent="0.25">
      <c r="B23" s="22" t="s">
        <v>61</v>
      </c>
      <c r="C23" s="22"/>
      <c r="D23" s="23"/>
      <c r="E23" s="22"/>
      <c r="F23" s="23"/>
      <c r="G23" s="24"/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4"/>
      <c r="X23" s="24"/>
    </row>
    <row r="24" spans="2:24" ht="5.0999999999999996" customHeight="1" x14ac:dyDescent="0.25">
      <c r="B24" s="22"/>
      <c r="C24" s="22"/>
      <c r="D24" s="22"/>
      <c r="E24" s="22"/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6"/>
      <c r="S24" s="26"/>
      <c r="T24" s="26"/>
      <c r="U24" s="23"/>
      <c r="V24" s="23"/>
      <c r="W24" s="23"/>
      <c r="X24" s="23"/>
    </row>
    <row r="25" spans="2:24" ht="62.1" customHeight="1" x14ac:dyDescent="0.2">
      <c r="B25" s="63" t="s">
        <v>14</v>
      </c>
      <c r="C25" s="71" t="s">
        <v>15</v>
      </c>
      <c r="D25" s="71" t="s">
        <v>16</v>
      </c>
      <c r="E25" s="71" t="s">
        <v>17</v>
      </c>
      <c r="F25" s="63" t="s">
        <v>18</v>
      </c>
      <c r="G25" s="63" t="s">
        <v>0</v>
      </c>
      <c r="H25" s="63" t="s">
        <v>1</v>
      </c>
      <c r="I25" s="63" t="s">
        <v>2</v>
      </c>
      <c r="J25" s="63" t="s">
        <v>3</v>
      </c>
      <c r="K25" s="63" t="s">
        <v>4</v>
      </c>
      <c r="L25" s="63" t="s">
        <v>19</v>
      </c>
      <c r="M25" s="63" t="s">
        <v>6</v>
      </c>
      <c r="N25" s="63" t="s">
        <v>7</v>
      </c>
      <c r="O25" s="63" t="s">
        <v>8</v>
      </c>
      <c r="P25" s="63" t="s">
        <v>20</v>
      </c>
      <c r="Q25" s="63" t="s">
        <v>10</v>
      </c>
      <c r="R25" s="63" t="s">
        <v>11</v>
      </c>
      <c r="S25" s="63" t="s">
        <v>12</v>
      </c>
      <c r="T25" s="63" t="s">
        <v>13</v>
      </c>
      <c r="U25" s="63" t="s">
        <v>22</v>
      </c>
      <c r="V25" s="63" t="s">
        <v>23</v>
      </c>
      <c r="W25" s="63" t="s">
        <v>24</v>
      </c>
      <c r="X25" s="63" t="s">
        <v>25</v>
      </c>
    </row>
    <row r="26" spans="2:24" ht="18" customHeight="1" x14ac:dyDescent="0.2">
      <c r="B26" s="64"/>
      <c r="C26" s="72"/>
      <c r="D26" s="72"/>
      <c r="E26" s="72"/>
      <c r="F26" s="64"/>
      <c r="G26" s="65" t="s">
        <v>26</v>
      </c>
      <c r="H26" s="65" t="s">
        <v>27</v>
      </c>
      <c r="I26" s="65" t="s">
        <v>27</v>
      </c>
      <c r="J26" s="65" t="s">
        <v>27</v>
      </c>
      <c r="K26" s="65" t="s">
        <v>27</v>
      </c>
      <c r="L26" s="65" t="s">
        <v>27</v>
      </c>
      <c r="M26" s="65" t="s">
        <v>27</v>
      </c>
      <c r="N26" s="65" t="s">
        <v>27</v>
      </c>
      <c r="O26" s="65" t="s">
        <v>27</v>
      </c>
      <c r="P26" s="65" t="s">
        <v>27</v>
      </c>
      <c r="Q26" s="65" t="s">
        <v>27</v>
      </c>
      <c r="R26" s="65" t="s">
        <v>27</v>
      </c>
      <c r="S26" s="65" t="s">
        <v>27</v>
      </c>
      <c r="T26" s="65" t="s">
        <v>27</v>
      </c>
      <c r="U26" s="65" t="s">
        <v>28</v>
      </c>
      <c r="V26" s="65" t="s">
        <v>28</v>
      </c>
      <c r="W26" s="65" t="s">
        <v>29</v>
      </c>
      <c r="X26" s="65" t="s">
        <v>29</v>
      </c>
    </row>
    <row r="27" spans="2:24" ht="35.1" customHeight="1" x14ac:dyDescent="0.2">
      <c r="B27" s="87" t="s">
        <v>62</v>
      </c>
      <c r="C27" s="27" t="s">
        <v>63</v>
      </c>
      <c r="D27" s="10">
        <v>1</v>
      </c>
      <c r="E27" s="28" t="s">
        <v>32</v>
      </c>
      <c r="F27" s="10" t="s">
        <v>33</v>
      </c>
      <c r="G27" s="77" t="s">
        <v>201</v>
      </c>
      <c r="H27" s="76" t="s">
        <v>201</v>
      </c>
      <c r="I27" s="76">
        <v>3.2733434607167822</v>
      </c>
      <c r="J27" s="76">
        <v>3.2733434607167822</v>
      </c>
      <c r="K27" s="76" t="s">
        <v>201</v>
      </c>
      <c r="L27" s="76" t="s">
        <v>201</v>
      </c>
      <c r="M27" s="76" t="s">
        <v>201</v>
      </c>
      <c r="N27" s="76" t="s">
        <v>201</v>
      </c>
      <c r="O27" s="76" t="s">
        <v>201</v>
      </c>
      <c r="P27" s="76" t="s">
        <v>201</v>
      </c>
      <c r="Q27" s="76" t="s">
        <v>201</v>
      </c>
      <c r="R27" s="76" t="s">
        <v>201</v>
      </c>
      <c r="S27" s="77" t="s">
        <v>201</v>
      </c>
      <c r="T27" s="77" t="s">
        <v>201</v>
      </c>
      <c r="U27" s="77" t="s">
        <v>201</v>
      </c>
      <c r="V27" s="77" t="s">
        <v>201</v>
      </c>
      <c r="W27" s="77" t="s">
        <v>201</v>
      </c>
      <c r="X27" s="77" t="s">
        <v>201</v>
      </c>
    </row>
    <row r="28" spans="2:24" ht="35.1" customHeight="1" x14ac:dyDescent="0.2">
      <c r="B28" s="87"/>
      <c r="C28" s="27" t="s">
        <v>64</v>
      </c>
      <c r="D28" s="10">
        <v>1</v>
      </c>
      <c r="E28" s="28" t="s">
        <v>35</v>
      </c>
      <c r="F28" s="10" t="s">
        <v>33</v>
      </c>
      <c r="G28" s="77" t="s">
        <v>201</v>
      </c>
      <c r="H28" s="76" t="s">
        <v>201</v>
      </c>
      <c r="I28" s="76">
        <v>3.2733434607167822</v>
      </c>
      <c r="J28" s="76">
        <v>3.2733434607167822</v>
      </c>
      <c r="K28" s="76" t="s">
        <v>201</v>
      </c>
      <c r="L28" s="76" t="s">
        <v>201</v>
      </c>
      <c r="M28" s="76" t="s">
        <v>201</v>
      </c>
      <c r="N28" s="76" t="s">
        <v>201</v>
      </c>
      <c r="O28" s="76" t="s">
        <v>201</v>
      </c>
      <c r="P28" s="76" t="s">
        <v>201</v>
      </c>
      <c r="Q28" s="76" t="s">
        <v>201</v>
      </c>
      <c r="R28" s="76" t="s">
        <v>201</v>
      </c>
      <c r="S28" s="77" t="s">
        <v>201</v>
      </c>
      <c r="T28" s="77" t="s">
        <v>201</v>
      </c>
      <c r="U28" s="77" t="s">
        <v>201</v>
      </c>
      <c r="V28" s="77" t="s">
        <v>201</v>
      </c>
      <c r="W28" s="77" t="s">
        <v>201</v>
      </c>
      <c r="X28" s="77" t="s">
        <v>201</v>
      </c>
    </row>
    <row r="29" spans="2:24" ht="35.1" customHeight="1" x14ac:dyDescent="0.2">
      <c r="B29" s="87"/>
      <c r="C29" s="27" t="s">
        <v>65</v>
      </c>
      <c r="D29" s="10" t="s">
        <v>66</v>
      </c>
      <c r="E29" s="28" t="s">
        <v>67</v>
      </c>
      <c r="F29" s="10" t="s">
        <v>45</v>
      </c>
      <c r="G29" s="77" t="s">
        <v>201</v>
      </c>
      <c r="H29" s="76" t="s">
        <v>201</v>
      </c>
      <c r="I29" s="76">
        <v>3.2733434607167822</v>
      </c>
      <c r="J29" s="76">
        <v>3.2733434607167822</v>
      </c>
      <c r="K29" s="76" t="s">
        <v>201</v>
      </c>
      <c r="L29" s="76" t="s">
        <v>201</v>
      </c>
      <c r="M29" s="76" t="s">
        <v>201</v>
      </c>
      <c r="N29" s="76" t="s">
        <v>201</v>
      </c>
      <c r="O29" s="76" t="s">
        <v>201</v>
      </c>
      <c r="P29" s="76" t="s">
        <v>201</v>
      </c>
      <c r="Q29" s="76">
        <v>0.91290615164033018</v>
      </c>
      <c r="R29" s="76" t="s">
        <v>201</v>
      </c>
      <c r="S29" s="77" t="s">
        <v>201</v>
      </c>
      <c r="T29" s="77" t="s">
        <v>201</v>
      </c>
      <c r="U29" s="77" t="s">
        <v>201</v>
      </c>
      <c r="V29" s="77" t="s">
        <v>201</v>
      </c>
      <c r="W29" s="77" t="s">
        <v>201</v>
      </c>
      <c r="X29" s="77" t="s">
        <v>201</v>
      </c>
    </row>
    <row r="30" spans="2:24" ht="35.1" customHeight="1" x14ac:dyDescent="0.2">
      <c r="B30" s="87"/>
      <c r="C30" s="27" t="s">
        <v>68</v>
      </c>
      <c r="D30" s="10" t="s">
        <v>69</v>
      </c>
      <c r="E30" s="28" t="s">
        <v>70</v>
      </c>
      <c r="F30" s="10" t="s">
        <v>45</v>
      </c>
      <c r="G30" s="77" t="s">
        <v>201</v>
      </c>
      <c r="H30" s="76" t="s">
        <v>201</v>
      </c>
      <c r="I30" s="76">
        <v>3.2733434607167822</v>
      </c>
      <c r="J30" s="76">
        <v>3.2733434607167822</v>
      </c>
      <c r="K30" s="76" t="s">
        <v>201</v>
      </c>
      <c r="L30" s="76" t="s">
        <v>201</v>
      </c>
      <c r="M30" s="76" t="s">
        <v>201</v>
      </c>
      <c r="N30" s="76" t="s">
        <v>201</v>
      </c>
      <c r="O30" s="76" t="s">
        <v>201</v>
      </c>
      <c r="P30" s="76" t="s">
        <v>201</v>
      </c>
      <c r="Q30" s="76">
        <v>0.91290615164033018</v>
      </c>
      <c r="R30" s="76" t="s">
        <v>201</v>
      </c>
      <c r="S30" s="77" t="s">
        <v>201</v>
      </c>
      <c r="T30" s="77" t="s">
        <v>201</v>
      </c>
      <c r="U30" s="77" t="s">
        <v>201</v>
      </c>
      <c r="V30" s="77" t="s">
        <v>201</v>
      </c>
      <c r="W30" s="77" t="s">
        <v>201</v>
      </c>
      <c r="X30" s="77" t="s">
        <v>201</v>
      </c>
    </row>
    <row r="31" spans="2:24" ht="35.1" customHeight="1" x14ac:dyDescent="0.2">
      <c r="B31" s="87"/>
      <c r="C31" s="27" t="s">
        <v>71</v>
      </c>
      <c r="D31" s="10" t="s">
        <v>72</v>
      </c>
      <c r="E31" s="28" t="s">
        <v>73</v>
      </c>
      <c r="F31" s="10" t="s">
        <v>45</v>
      </c>
      <c r="G31" s="77" t="s">
        <v>201</v>
      </c>
      <c r="H31" s="76" t="s">
        <v>201</v>
      </c>
      <c r="I31" s="76">
        <v>3.2733434607167822</v>
      </c>
      <c r="J31" s="76">
        <v>3.2733434607167822</v>
      </c>
      <c r="K31" s="76" t="s">
        <v>201</v>
      </c>
      <c r="L31" s="76" t="s">
        <v>201</v>
      </c>
      <c r="M31" s="76" t="s">
        <v>201</v>
      </c>
      <c r="N31" s="76" t="s">
        <v>201</v>
      </c>
      <c r="O31" s="76" t="s">
        <v>201</v>
      </c>
      <c r="P31" s="76" t="s">
        <v>201</v>
      </c>
      <c r="Q31" s="76">
        <v>0.91290615164033018</v>
      </c>
      <c r="R31" s="76" t="s">
        <v>201</v>
      </c>
      <c r="S31" s="77" t="s">
        <v>201</v>
      </c>
      <c r="T31" s="77" t="s">
        <v>201</v>
      </c>
      <c r="U31" s="77" t="s">
        <v>201</v>
      </c>
      <c r="V31" s="77" t="s">
        <v>201</v>
      </c>
      <c r="W31" s="77" t="s">
        <v>201</v>
      </c>
      <c r="X31" s="77" t="s">
        <v>201</v>
      </c>
    </row>
    <row r="32" spans="2:24" ht="35.1" customHeight="1" x14ac:dyDescent="0.2">
      <c r="B32" s="87"/>
      <c r="C32" s="27" t="s">
        <v>74</v>
      </c>
      <c r="D32" s="10">
        <v>17</v>
      </c>
      <c r="E32" s="28" t="s">
        <v>75</v>
      </c>
      <c r="F32" s="29" t="s">
        <v>33</v>
      </c>
      <c r="G32" s="77" t="s">
        <v>201</v>
      </c>
      <c r="H32" s="76" t="s">
        <v>201</v>
      </c>
      <c r="I32" s="76" t="s">
        <v>201</v>
      </c>
      <c r="J32" s="76" t="s">
        <v>201</v>
      </c>
      <c r="K32" s="76">
        <v>3.2733434607167822</v>
      </c>
      <c r="L32" s="76" t="s">
        <v>201</v>
      </c>
      <c r="M32" s="76" t="s">
        <v>201</v>
      </c>
      <c r="N32" s="76" t="s">
        <v>201</v>
      </c>
      <c r="O32" s="76" t="s">
        <v>201</v>
      </c>
      <c r="P32" s="76">
        <v>0.91290615164033018</v>
      </c>
      <c r="Q32" s="76" t="s">
        <v>201</v>
      </c>
      <c r="R32" s="76" t="s">
        <v>201</v>
      </c>
      <c r="S32" s="77" t="s">
        <v>201</v>
      </c>
      <c r="T32" s="77" t="s">
        <v>201</v>
      </c>
      <c r="U32" s="77" t="s">
        <v>201</v>
      </c>
      <c r="V32" s="77" t="s">
        <v>201</v>
      </c>
      <c r="W32" s="77" t="s">
        <v>201</v>
      </c>
      <c r="X32" s="77" t="s">
        <v>201</v>
      </c>
    </row>
    <row r="33" spans="2:24" ht="35.1" customHeight="1" x14ac:dyDescent="0.2">
      <c r="B33" s="87"/>
      <c r="C33" s="27" t="s">
        <v>76</v>
      </c>
      <c r="D33" s="10">
        <v>17</v>
      </c>
      <c r="E33" s="28" t="s">
        <v>77</v>
      </c>
      <c r="F33" s="29" t="s">
        <v>33</v>
      </c>
      <c r="G33" s="77" t="s">
        <v>201</v>
      </c>
      <c r="H33" s="76" t="s">
        <v>201</v>
      </c>
      <c r="I33" s="76" t="s">
        <v>201</v>
      </c>
      <c r="J33" s="76" t="s">
        <v>201</v>
      </c>
      <c r="K33" s="76">
        <v>3.2733434607167822</v>
      </c>
      <c r="L33" s="76" t="s">
        <v>201</v>
      </c>
      <c r="M33" s="76" t="s">
        <v>201</v>
      </c>
      <c r="N33" s="76" t="s">
        <v>201</v>
      </c>
      <c r="O33" s="76" t="s">
        <v>201</v>
      </c>
      <c r="P33" s="76">
        <v>0.91290615164033018</v>
      </c>
      <c r="Q33" s="76" t="s">
        <v>201</v>
      </c>
      <c r="R33" s="76" t="s">
        <v>201</v>
      </c>
      <c r="S33" s="77" t="s">
        <v>201</v>
      </c>
      <c r="T33" s="77" t="s">
        <v>201</v>
      </c>
      <c r="U33" s="77" t="s">
        <v>201</v>
      </c>
      <c r="V33" s="77" t="s">
        <v>201</v>
      </c>
      <c r="W33" s="77" t="s">
        <v>201</v>
      </c>
      <c r="X33" s="77" t="s">
        <v>201</v>
      </c>
    </row>
    <row r="34" spans="2:24" ht="35.1" customHeight="1" x14ac:dyDescent="0.2">
      <c r="B34" s="87"/>
      <c r="C34" s="30" t="s">
        <v>78</v>
      </c>
      <c r="D34" s="29">
        <v>15</v>
      </c>
      <c r="E34" s="31" t="s">
        <v>79</v>
      </c>
      <c r="F34" s="29" t="s">
        <v>33</v>
      </c>
      <c r="G34" s="77" t="s">
        <v>201</v>
      </c>
      <c r="H34" s="76">
        <v>3.2733434607167822</v>
      </c>
      <c r="I34" s="76" t="s">
        <v>201</v>
      </c>
      <c r="J34" s="76" t="s">
        <v>201</v>
      </c>
      <c r="K34" s="76" t="s">
        <v>201</v>
      </c>
      <c r="L34" s="76" t="s">
        <v>201</v>
      </c>
      <c r="M34" s="76" t="s">
        <v>201</v>
      </c>
      <c r="N34" s="76" t="s">
        <v>201</v>
      </c>
      <c r="O34" s="76" t="s">
        <v>201</v>
      </c>
      <c r="P34" s="76" t="s">
        <v>201</v>
      </c>
      <c r="Q34" s="76" t="s">
        <v>201</v>
      </c>
      <c r="R34" s="76" t="s">
        <v>201</v>
      </c>
      <c r="S34" s="77" t="s">
        <v>201</v>
      </c>
      <c r="T34" s="77" t="s">
        <v>201</v>
      </c>
      <c r="U34" s="77" t="s">
        <v>201</v>
      </c>
      <c r="V34" s="77" t="s">
        <v>201</v>
      </c>
      <c r="W34" s="77" t="s">
        <v>201</v>
      </c>
      <c r="X34" s="77" t="s">
        <v>201</v>
      </c>
    </row>
    <row r="35" spans="2:24" ht="35.1" customHeight="1" x14ac:dyDescent="0.2">
      <c r="B35" s="87"/>
      <c r="C35" s="30" t="s">
        <v>80</v>
      </c>
      <c r="D35" s="29">
        <v>15</v>
      </c>
      <c r="E35" s="31" t="s">
        <v>81</v>
      </c>
      <c r="F35" s="29" t="s">
        <v>33</v>
      </c>
      <c r="G35" s="77" t="s">
        <v>201</v>
      </c>
      <c r="H35" s="76">
        <v>3.2733434607167822</v>
      </c>
      <c r="I35" s="76" t="s">
        <v>201</v>
      </c>
      <c r="J35" s="76" t="s">
        <v>201</v>
      </c>
      <c r="K35" s="76" t="s">
        <v>201</v>
      </c>
      <c r="L35" s="76" t="s">
        <v>201</v>
      </c>
      <c r="M35" s="76" t="s">
        <v>201</v>
      </c>
      <c r="N35" s="76" t="s">
        <v>201</v>
      </c>
      <c r="O35" s="76" t="s">
        <v>201</v>
      </c>
      <c r="P35" s="76" t="s">
        <v>201</v>
      </c>
      <c r="Q35" s="76" t="s">
        <v>201</v>
      </c>
      <c r="R35" s="76" t="s">
        <v>201</v>
      </c>
      <c r="S35" s="77" t="s">
        <v>201</v>
      </c>
      <c r="T35" s="77" t="s">
        <v>201</v>
      </c>
      <c r="U35" s="77" t="s">
        <v>201</v>
      </c>
      <c r="V35" s="77" t="s">
        <v>201</v>
      </c>
      <c r="W35" s="77" t="s">
        <v>201</v>
      </c>
      <c r="X35" s="77" t="s">
        <v>201</v>
      </c>
    </row>
    <row r="36" spans="2:24" ht="35.1" customHeight="1" x14ac:dyDescent="0.2">
      <c r="B36" s="87"/>
      <c r="C36" s="27" t="s">
        <v>82</v>
      </c>
      <c r="D36" s="29">
        <v>15</v>
      </c>
      <c r="E36" s="28" t="s">
        <v>83</v>
      </c>
      <c r="F36" s="10" t="s">
        <v>33</v>
      </c>
      <c r="G36" s="77" t="s">
        <v>201</v>
      </c>
      <c r="H36" s="76">
        <v>3.2733434607167822</v>
      </c>
      <c r="I36" s="76" t="s">
        <v>201</v>
      </c>
      <c r="J36" s="76" t="s">
        <v>201</v>
      </c>
      <c r="K36" s="76" t="s">
        <v>201</v>
      </c>
      <c r="L36" s="76" t="s">
        <v>201</v>
      </c>
      <c r="M36" s="76" t="s">
        <v>201</v>
      </c>
      <c r="N36" s="76" t="s">
        <v>201</v>
      </c>
      <c r="O36" s="76" t="s">
        <v>201</v>
      </c>
      <c r="P36" s="76" t="s">
        <v>201</v>
      </c>
      <c r="Q36" s="76" t="s">
        <v>201</v>
      </c>
      <c r="R36" s="76" t="s">
        <v>201</v>
      </c>
      <c r="S36" s="77" t="s">
        <v>201</v>
      </c>
      <c r="T36" s="77" t="s">
        <v>201</v>
      </c>
      <c r="U36" s="77" t="s">
        <v>201</v>
      </c>
      <c r="V36" s="77" t="s">
        <v>201</v>
      </c>
      <c r="W36" s="77" t="s">
        <v>201</v>
      </c>
      <c r="X36" s="77" t="s">
        <v>201</v>
      </c>
    </row>
    <row r="37" spans="2:24" ht="35.1" customHeight="1" x14ac:dyDescent="0.2">
      <c r="B37" s="87"/>
      <c r="C37" s="30" t="s">
        <v>84</v>
      </c>
      <c r="D37" s="29">
        <v>2</v>
      </c>
      <c r="E37" s="31" t="s">
        <v>85</v>
      </c>
      <c r="F37" s="29" t="s">
        <v>33</v>
      </c>
      <c r="G37" s="77" t="s">
        <v>201</v>
      </c>
      <c r="H37" s="76" t="s">
        <v>201</v>
      </c>
      <c r="I37" s="76" t="s">
        <v>201</v>
      </c>
      <c r="J37" s="76" t="s">
        <v>201</v>
      </c>
      <c r="K37" s="76">
        <v>3.2733434607167822</v>
      </c>
      <c r="L37" s="76" t="s">
        <v>201</v>
      </c>
      <c r="M37" s="76" t="s">
        <v>201</v>
      </c>
      <c r="N37" s="76" t="s">
        <v>201</v>
      </c>
      <c r="O37" s="76" t="s">
        <v>201</v>
      </c>
      <c r="P37" s="76">
        <v>0.91290615164033018</v>
      </c>
      <c r="Q37" s="76" t="s">
        <v>201</v>
      </c>
      <c r="R37" s="76" t="s">
        <v>201</v>
      </c>
      <c r="S37" s="77" t="s">
        <v>201</v>
      </c>
      <c r="T37" s="77" t="s">
        <v>201</v>
      </c>
      <c r="U37" s="77" t="s">
        <v>201</v>
      </c>
      <c r="V37" s="77" t="s">
        <v>201</v>
      </c>
      <c r="W37" s="77" t="s">
        <v>201</v>
      </c>
      <c r="X37" s="77" t="s">
        <v>201</v>
      </c>
    </row>
    <row r="38" spans="2:24" ht="35.1" customHeight="1" x14ac:dyDescent="0.2">
      <c r="B38" s="87"/>
      <c r="C38" s="30" t="s">
        <v>86</v>
      </c>
      <c r="D38" s="29">
        <v>2</v>
      </c>
      <c r="E38" s="31" t="s">
        <v>87</v>
      </c>
      <c r="F38" s="29" t="s">
        <v>33</v>
      </c>
      <c r="G38" s="77" t="s">
        <v>201</v>
      </c>
      <c r="H38" s="76" t="s">
        <v>201</v>
      </c>
      <c r="I38" s="76" t="s">
        <v>201</v>
      </c>
      <c r="J38" s="76" t="s">
        <v>201</v>
      </c>
      <c r="K38" s="76">
        <v>3.2733434607167822</v>
      </c>
      <c r="L38" s="76" t="s">
        <v>201</v>
      </c>
      <c r="M38" s="76" t="s">
        <v>201</v>
      </c>
      <c r="N38" s="76" t="s">
        <v>201</v>
      </c>
      <c r="O38" s="76" t="s">
        <v>201</v>
      </c>
      <c r="P38" s="76">
        <v>0.91290615164033018</v>
      </c>
      <c r="Q38" s="76" t="s">
        <v>201</v>
      </c>
      <c r="R38" s="76" t="s">
        <v>201</v>
      </c>
      <c r="S38" s="77" t="s">
        <v>201</v>
      </c>
      <c r="T38" s="77" t="s">
        <v>201</v>
      </c>
      <c r="U38" s="77" t="s">
        <v>201</v>
      </c>
      <c r="V38" s="77" t="s">
        <v>201</v>
      </c>
      <c r="W38" s="77" t="s">
        <v>201</v>
      </c>
      <c r="X38" s="77" t="s">
        <v>201</v>
      </c>
    </row>
    <row r="39" spans="2:24" ht="35.1" customHeight="1" x14ac:dyDescent="0.2">
      <c r="B39" s="87"/>
      <c r="C39" s="27" t="s">
        <v>88</v>
      </c>
      <c r="D39" s="10">
        <v>7</v>
      </c>
      <c r="E39" s="28" t="s">
        <v>47</v>
      </c>
      <c r="F39" s="10" t="s">
        <v>45</v>
      </c>
      <c r="G39" s="77" t="s">
        <v>201</v>
      </c>
      <c r="H39" s="76" t="s">
        <v>201</v>
      </c>
      <c r="I39" s="76" t="s">
        <v>201</v>
      </c>
      <c r="J39" s="76" t="s">
        <v>201</v>
      </c>
      <c r="K39" s="76" t="s">
        <v>201</v>
      </c>
      <c r="L39" s="76" t="s">
        <v>201</v>
      </c>
      <c r="M39" s="76">
        <v>3.2733434607167822</v>
      </c>
      <c r="N39" s="76">
        <v>3.2733434607167822</v>
      </c>
      <c r="O39" s="76">
        <v>3.2733434607167822</v>
      </c>
      <c r="P39" s="76">
        <v>0.91290615164033018</v>
      </c>
      <c r="Q39" s="76" t="s">
        <v>201</v>
      </c>
      <c r="R39" s="76" t="s">
        <v>201</v>
      </c>
      <c r="S39" s="77" t="s">
        <v>201</v>
      </c>
      <c r="T39" s="77" t="s">
        <v>201</v>
      </c>
      <c r="U39" s="77" t="s">
        <v>201</v>
      </c>
      <c r="V39" s="77" t="s">
        <v>201</v>
      </c>
      <c r="W39" s="77" t="s">
        <v>201</v>
      </c>
      <c r="X39" s="77" t="s">
        <v>201</v>
      </c>
    </row>
    <row r="40" spans="2:24" ht="35.1" customHeight="1" x14ac:dyDescent="0.2">
      <c r="B40" s="87"/>
      <c r="C40" s="30" t="s">
        <v>89</v>
      </c>
      <c r="D40" s="29">
        <v>7</v>
      </c>
      <c r="E40" s="31" t="s">
        <v>90</v>
      </c>
      <c r="F40" s="29" t="s">
        <v>45</v>
      </c>
      <c r="G40" s="77" t="s">
        <v>201</v>
      </c>
      <c r="H40" s="76" t="s">
        <v>201</v>
      </c>
      <c r="I40" s="76" t="s">
        <v>201</v>
      </c>
      <c r="J40" s="76" t="s">
        <v>201</v>
      </c>
      <c r="K40" s="76" t="s">
        <v>201</v>
      </c>
      <c r="L40" s="76" t="s">
        <v>201</v>
      </c>
      <c r="M40" s="76">
        <v>3.2733434607167822</v>
      </c>
      <c r="N40" s="76">
        <v>3.2733434607167822</v>
      </c>
      <c r="O40" s="76">
        <v>3.2733434607167822</v>
      </c>
      <c r="P40" s="76">
        <v>0.91290615164033018</v>
      </c>
      <c r="Q40" s="76" t="s">
        <v>201</v>
      </c>
      <c r="R40" s="76" t="s">
        <v>201</v>
      </c>
      <c r="S40" s="77" t="s">
        <v>201</v>
      </c>
      <c r="T40" s="77" t="s">
        <v>201</v>
      </c>
      <c r="U40" s="77" t="s">
        <v>201</v>
      </c>
      <c r="V40" s="77" t="s">
        <v>201</v>
      </c>
      <c r="W40" s="77" t="s">
        <v>201</v>
      </c>
      <c r="X40" s="77" t="s">
        <v>201</v>
      </c>
    </row>
    <row r="41" spans="2:24" ht="35.1" customHeight="1" x14ac:dyDescent="0.2">
      <c r="B41" s="87"/>
      <c r="C41" s="27" t="s">
        <v>91</v>
      </c>
      <c r="D41" s="10">
        <v>7</v>
      </c>
      <c r="E41" s="28" t="s">
        <v>49</v>
      </c>
      <c r="F41" s="10" t="s">
        <v>45</v>
      </c>
      <c r="G41" s="77" t="s">
        <v>201</v>
      </c>
      <c r="H41" s="76" t="s">
        <v>201</v>
      </c>
      <c r="I41" s="76" t="s">
        <v>201</v>
      </c>
      <c r="J41" s="76" t="s">
        <v>201</v>
      </c>
      <c r="K41" s="76" t="s">
        <v>201</v>
      </c>
      <c r="L41" s="76" t="s">
        <v>201</v>
      </c>
      <c r="M41" s="76">
        <v>3.2733434607167822</v>
      </c>
      <c r="N41" s="76">
        <v>3.2733434607167822</v>
      </c>
      <c r="O41" s="76">
        <v>3.2733434607167822</v>
      </c>
      <c r="P41" s="76">
        <v>0.91290615164033018</v>
      </c>
      <c r="Q41" s="76" t="s">
        <v>201</v>
      </c>
      <c r="R41" s="76" t="s">
        <v>201</v>
      </c>
      <c r="S41" s="77" t="s">
        <v>201</v>
      </c>
      <c r="T41" s="77" t="s">
        <v>201</v>
      </c>
      <c r="U41" s="77" t="s">
        <v>201</v>
      </c>
      <c r="V41" s="77" t="s">
        <v>201</v>
      </c>
      <c r="W41" s="77" t="s">
        <v>201</v>
      </c>
      <c r="X41" s="77" t="s">
        <v>201</v>
      </c>
    </row>
    <row r="42" spans="2:24" ht="5.0999999999999996" customHeight="1" x14ac:dyDescent="0.2">
      <c r="B42" s="32"/>
      <c r="C42" s="33"/>
      <c r="D42" s="34"/>
      <c r="E42" s="35"/>
      <c r="F42" s="34"/>
      <c r="G42" s="3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8"/>
      <c r="W42" s="36"/>
      <c r="X42" s="36"/>
    </row>
    <row r="43" spans="2:24" ht="15" customHeight="1" x14ac:dyDescent="0.2">
      <c r="B43" s="32"/>
      <c r="C43" s="33"/>
      <c r="D43" s="34"/>
      <c r="E43" s="35"/>
      <c r="F43" s="34"/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38"/>
      <c r="W43" s="36"/>
      <c r="X43" s="36"/>
    </row>
    <row r="44" spans="2:24" ht="5.0999999999999996" customHeight="1" x14ac:dyDescent="0.2">
      <c r="B44" s="39"/>
      <c r="C44" s="40"/>
      <c r="D44" s="41"/>
      <c r="E44" s="42"/>
      <c r="F44" s="41"/>
      <c r="G44" s="43"/>
      <c r="H44" s="43"/>
      <c r="I44" s="44"/>
      <c r="J44" s="44"/>
      <c r="K44" s="44"/>
      <c r="L44" s="44"/>
      <c r="M44" s="44"/>
      <c r="N44" s="44"/>
      <c r="O44" s="44"/>
      <c r="P44" s="43"/>
      <c r="Q44" s="44"/>
      <c r="R44" s="44"/>
      <c r="S44" s="44"/>
      <c r="T44" s="44"/>
      <c r="U44" s="43"/>
      <c r="V44" s="43"/>
      <c r="W44" s="43"/>
      <c r="X44" s="43"/>
    </row>
    <row r="45" spans="2:24" ht="62.1" customHeight="1" x14ac:dyDescent="0.2">
      <c r="B45" s="63" t="s">
        <v>14</v>
      </c>
      <c r="C45" s="71" t="s">
        <v>15</v>
      </c>
      <c r="D45" s="71" t="s">
        <v>16</v>
      </c>
      <c r="E45" s="71" t="s">
        <v>17</v>
      </c>
      <c r="F45" s="63" t="s">
        <v>18</v>
      </c>
      <c r="G45" s="63" t="s">
        <v>0</v>
      </c>
      <c r="H45" s="63" t="s">
        <v>1</v>
      </c>
      <c r="I45" s="63" t="s">
        <v>2</v>
      </c>
      <c r="J45" s="63" t="s">
        <v>3</v>
      </c>
      <c r="K45" s="63" t="s">
        <v>4</v>
      </c>
      <c r="L45" s="63" t="s">
        <v>19</v>
      </c>
      <c r="M45" s="63" t="s">
        <v>6</v>
      </c>
      <c r="N45" s="63" t="s">
        <v>7</v>
      </c>
      <c r="O45" s="63" t="s">
        <v>8</v>
      </c>
      <c r="P45" s="63" t="s">
        <v>20</v>
      </c>
      <c r="Q45" s="63" t="s">
        <v>10</v>
      </c>
      <c r="R45" s="63" t="s">
        <v>11</v>
      </c>
      <c r="S45" s="63" t="s">
        <v>12</v>
      </c>
      <c r="T45" s="63" t="s">
        <v>13</v>
      </c>
      <c r="U45" s="63" t="s">
        <v>22</v>
      </c>
      <c r="V45" s="63" t="s">
        <v>23</v>
      </c>
      <c r="W45" s="63" t="s">
        <v>24</v>
      </c>
      <c r="X45" s="63" t="s">
        <v>25</v>
      </c>
    </row>
    <row r="46" spans="2:24" ht="18" customHeight="1" x14ac:dyDescent="0.2">
      <c r="B46" s="64"/>
      <c r="C46" s="72"/>
      <c r="D46" s="72"/>
      <c r="E46" s="72"/>
      <c r="F46" s="64"/>
      <c r="G46" s="65" t="s">
        <v>26</v>
      </c>
      <c r="H46" s="65" t="s">
        <v>27</v>
      </c>
      <c r="I46" s="65" t="s">
        <v>27</v>
      </c>
      <c r="J46" s="65" t="s">
        <v>27</v>
      </c>
      <c r="K46" s="65" t="s">
        <v>27</v>
      </c>
      <c r="L46" s="65" t="s">
        <v>27</v>
      </c>
      <c r="M46" s="65" t="s">
        <v>27</v>
      </c>
      <c r="N46" s="65" t="s">
        <v>27</v>
      </c>
      <c r="O46" s="65" t="s">
        <v>27</v>
      </c>
      <c r="P46" s="65" t="s">
        <v>27</v>
      </c>
      <c r="Q46" s="65" t="s">
        <v>27</v>
      </c>
      <c r="R46" s="65" t="s">
        <v>27</v>
      </c>
      <c r="S46" s="65" t="s">
        <v>27</v>
      </c>
      <c r="T46" s="65" t="s">
        <v>27</v>
      </c>
      <c r="U46" s="65" t="s">
        <v>28</v>
      </c>
      <c r="V46" s="65" t="s">
        <v>28</v>
      </c>
      <c r="W46" s="65" t="s">
        <v>29</v>
      </c>
      <c r="X46" s="65" t="s">
        <v>29</v>
      </c>
    </row>
    <row r="47" spans="2:24" ht="35.1" customHeight="1" x14ac:dyDescent="0.2">
      <c r="B47" s="89" t="s">
        <v>199</v>
      </c>
      <c r="C47" s="27" t="s">
        <v>92</v>
      </c>
      <c r="D47" s="10">
        <v>3</v>
      </c>
      <c r="E47" s="28" t="s">
        <v>93</v>
      </c>
      <c r="F47" s="10" t="s">
        <v>33</v>
      </c>
      <c r="G47" s="77" t="s">
        <v>201</v>
      </c>
      <c r="H47" s="77" t="s">
        <v>201</v>
      </c>
      <c r="I47" s="77" t="s">
        <v>201</v>
      </c>
      <c r="J47" s="77" t="s">
        <v>201</v>
      </c>
      <c r="K47" s="76">
        <v>3.2733434607167822</v>
      </c>
      <c r="L47" s="76" t="s">
        <v>201</v>
      </c>
      <c r="M47" s="76" t="s">
        <v>201</v>
      </c>
      <c r="N47" s="76" t="s">
        <v>201</v>
      </c>
      <c r="O47" s="76" t="s">
        <v>201</v>
      </c>
      <c r="P47" s="76">
        <v>0.91290615164033018</v>
      </c>
      <c r="Q47" s="77" t="s">
        <v>201</v>
      </c>
      <c r="R47" s="77" t="s">
        <v>201</v>
      </c>
      <c r="S47" s="77" t="s">
        <v>201</v>
      </c>
      <c r="T47" s="77" t="s">
        <v>201</v>
      </c>
      <c r="U47" s="77" t="s">
        <v>201</v>
      </c>
      <c r="V47" s="77" t="s">
        <v>201</v>
      </c>
      <c r="W47" s="77" t="s">
        <v>201</v>
      </c>
      <c r="X47" s="77" t="s">
        <v>201</v>
      </c>
    </row>
    <row r="48" spans="2:24" ht="35.1" customHeight="1" x14ac:dyDescent="0.2">
      <c r="B48" s="89"/>
      <c r="C48" s="30" t="s">
        <v>94</v>
      </c>
      <c r="D48" s="29">
        <v>12</v>
      </c>
      <c r="E48" s="31" t="s">
        <v>95</v>
      </c>
      <c r="F48" s="29" t="s">
        <v>33</v>
      </c>
      <c r="G48" s="77" t="s">
        <v>201</v>
      </c>
      <c r="H48" s="77" t="s">
        <v>201</v>
      </c>
      <c r="I48" s="77" t="s">
        <v>201</v>
      </c>
      <c r="J48" s="77" t="s">
        <v>201</v>
      </c>
      <c r="K48" s="76">
        <v>3.2733434607167822</v>
      </c>
      <c r="L48" s="76" t="s">
        <v>201</v>
      </c>
      <c r="M48" s="76" t="s">
        <v>201</v>
      </c>
      <c r="N48" s="76" t="s">
        <v>201</v>
      </c>
      <c r="O48" s="76" t="s">
        <v>201</v>
      </c>
      <c r="P48" s="76">
        <v>0.91290615164033018</v>
      </c>
      <c r="Q48" s="77" t="s">
        <v>201</v>
      </c>
      <c r="R48" s="77" t="s">
        <v>201</v>
      </c>
      <c r="S48" s="77" t="s">
        <v>201</v>
      </c>
      <c r="T48" s="77" t="s">
        <v>201</v>
      </c>
      <c r="U48" s="77" t="s">
        <v>201</v>
      </c>
      <c r="V48" s="77" t="s">
        <v>201</v>
      </c>
      <c r="W48" s="77" t="s">
        <v>201</v>
      </c>
      <c r="X48" s="77" t="s">
        <v>201</v>
      </c>
    </row>
    <row r="49" spans="2:24" ht="35.1" customHeight="1" x14ac:dyDescent="0.2">
      <c r="B49" s="89"/>
      <c r="C49" s="27" t="s">
        <v>96</v>
      </c>
      <c r="D49" s="10">
        <v>7</v>
      </c>
      <c r="E49" s="28" t="s">
        <v>97</v>
      </c>
      <c r="F49" s="10" t="s">
        <v>33</v>
      </c>
      <c r="G49" s="77" t="s">
        <v>201</v>
      </c>
      <c r="H49" s="77" t="s">
        <v>201</v>
      </c>
      <c r="I49" s="77" t="s">
        <v>201</v>
      </c>
      <c r="J49" s="77" t="s">
        <v>201</v>
      </c>
      <c r="K49" s="76" t="s">
        <v>201</v>
      </c>
      <c r="L49" s="76" t="s">
        <v>201</v>
      </c>
      <c r="M49" s="76">
        <v>3.2733434607167822</v>
      </c>
      <c r="N49" s="76">
        <v>3.2733434607167822</v>
      </c>
      <c r="O49" s="76">
        <v>3.2733434607167822</v>
      </c>
      <c r="P49" s="76">
        <v>0.91290615164033018</v>
      </c>
      <c r="Q49" s="77" t="s">
        <v>201</v>
      </c>
      <c r="R49" s="77" t="s">
        <v>201</v>
      </c>
      <c r="S49" s="77" t="s">
        <v>201</v>
      </c>
      <c r="T49" s="77" t="s">
        <v>201</v>
      </c>
      <c r="U49" s="77" t="s">
        <v>201</v>
      </c>
      <c r="V49" s="77" t="s">
        <v>201</v>
      </c>
      <c r="W49" s="77" t="s">
        <v>201</v>
      </c>
      <c r="X49" s="77" t="s">
        <v>201</v>
      </c>
    </row>
    <row r="50" spans="2:24" ht="35.1" customHeight="1" x14ac:dyDescent="0.2">
      <c r="B50" s="89"/>
      <c r="C50" s="16" t="s">
        <v>98</v>
      </c>
      <c r="D50" s="15">
        <v>18</v>
      </c>
      <c r="E50" s="17" t="s">
        <v>99</v>
      </c>
      <c r="F50" s="15" t="s">
        <v>33</v>
      </c>
      <c r="G50" s="77" t="s">
        <v>201</v>
      </c>
      <c r="H50" s="77" t="s">
        <v>201</v>
      </c>
      <c r="I50" s="77" t="s">
        <v>201</v>
      </c>
      <c r="J50" s="77" t="s">
        <v>201</v>
      </c>
      <c r="K50" s="76">
        <v>3.2733434607167822</v>
      </c>
      <c r="L50" s="76">
        <v>3.2733434607167822</v>
      </c>
      <c r="M50" s="76" t="s">
        <v>201</v>
      </c>
      <c r="N50" s="76" t="s">
        <v>201</v>
      </c>
      <c r="O50" s="76" t="s">
        <v>201</v>
      </c>
      <c r="P50" s="76">
        <v>0.91290615164033018</v>
      </c>
      <c r="Q50" s="77" t="s">
        <v>201</v>
      </c>
      <c r="R50" s="77" t="s">
        <v>201</v>
      </c>
      <c r="S50" s="77" t="s">
        <v>201</v>
      </c>
      <c r="T50" s="77" t="s">
        <v>201</v>
      </c>
      <c r="U50" s="77" t="s">
        <v>201</v>
      </c>
      <c r="V50" s="77" t="s">
        <v>201</v>
      </c>
      <c r="W50" s="77" t="s">
        <v>201</v>
      </c>
      <c r="X50" s="77" t="s">
        <v>201</v>
      </c>
    </row>
    <row r="51" spans="2:24" ht="35.1" customHeight="1" x14ac:dyDescent="0.2">
      <c r="B51" s="89"/>
      <c r="C51" s="11" t="s">
        <v>100</v>
      </c>
      <c r="D51" s="12">
        <v>18</v>
      </c>
      <c r="E51" s="17" t="s">
        <v>101</v>
      </c>
      <c r="F51" s="12" t="s">
        <v>45</v>
      </c>
      <c r="G51" s="77" t="s">
        <v>201</v>
      </c>
      <c r="H51" s="77" t="s">
        <v>201</v>
      </c>
      <c r="I51" s="77" t="s">
        <v>201</v>
      </c>
      <c r="J51" s="77" t="s">
        <v>201</v>
      </c>
      <c r="K51" s="76">
        <v>3.2733434607167822</v>
      </c>
      <c r="L51" s="76">
        <v>3.2733434607167822</v>
      </c>
      <c r="M51" s="76" t="s">
        <v>201</v>
      </c>
      <c r="N51" s="76" t="s">
        <v>201</v>
      </c>
      <c r="O51" s="76" t="s">
        <v>201</v>
      </c>
      <c r="P51" s="76">
        <v>0.91290615164033018</v>
      </c>
      <c r="Q51" s="77" t="s">
        <v>201</v>
      </c>
      <c r="R51" s="77" t="s">
        <v>201</v>
      </c>
      <c r="S51" s="77" t="s">
        <v>201</v>
      </c>
      <c r="T51" s="77" t="s">
        <v>201</v>
      </c>
      <c r="U51" s="77" t="s">
        <v>201</v>
      </c>
      <c r="V51" s="77" t="s">
        <v>201</v>
      </c>
      <c r="W51" s="77" t="s">
        <v>201</v>
      </c>
      <c r="X51" s="77" t="s">
        <v>201</v>
      </c>
    </row>
    <row r="52" spans="2:24" ht="35.1" customHeight="1" x14ac:dyDescent="0.2">
      <c r="B52" s="90"/>
      <c r="C52" s="11" t="s">
        <v>102</v>
      </c>
      <c r="D52" s="12">
        <v>13</v>
      </c>
      <c r="E52" s="13" t="s">
        <v>103</v>
      </c>
      <c r="F52" s="12" t="s">
        <v>45</v>
      </c>
      <c r="G52" s="77" t="s">
        <v>201</v>
      </c>
      <c r="H52" s="77" t="s">
        <v>201</v>
      </c>
      <c r="I52" s="77" t="s">
        <v>201</v>
      </c>
      <c r="J52" s="77" t="s">
        <v>201</v>
      </c>
      <c r="K52" s="76">
        <v>3.2733434607167822</v>
      </c>
      <c r="L52" s="76">
        <v>3.2733434607167822</v>
      </c>
      <c r="M52" s="76" t="s">
        <v>201</v>
      </c>
      <c r="N52" s="76" t="s">
        <v>201</v>
      </c>
      <c r="O52" s="76" t="s">
        <v>201</v>
      </c>
      <c r="P52" s="76">
        <v>0.91290615164033018</v>
      </c>
      <c r="Q52" s="77" t="s">
        <v>201</v>
      </c>
      <c r="R52" s="77" t="s">
        <v>201</v>
      </c>
      <c r="S52" s="77" t="s">
        <v>201</v>
      </c>
      <c r="T52" s="77" t="s">
        <v>201</v>
      </c>
      <c r="U52" s="77" t="s">
        <v>201</v>
      </c>
      <c r="V52" s="77" t="s">
        <v>201</v>
      </c>
      <c r="W52" s="77" t="s">
        <v>201</v>
      </c>
      <c r="X52" s="77" t="s">
        <v>201</v>
      </c>
    </row>
    <row r="53" spans="2:24" ht="35.1" customHeight="1" x14ac:dyDescent="0.2">
      <c r="B53" s="87" t="s">
        <v>198</v>
      </c>
      <c r="C53" s="16" t="s">
        <v>104</v>
      </c>
      <c r="D53" s="15">
        <v>13</v>
      </c>
      <c r="E53" s="17" t="s">
        <v>105</v>
      </c>
      <c r="F53" s="15" t="s">
        <v>33</v>
      </c>
      <c r="G53" s="77" t="s">
        <v>201</v>
      </c>
      <c r="H53" s="77" t="s">
        <v>201</v>
      </c>
      <c r="I53" s="77" t="s">
        <v>201</v>
      </c>
      <c r="J53" s="77" t="s">
        <v>201</v>
      </c>
      <c r="K53" s="76">
        <v>3.2733434607167822</v>
      </c>
      <c r="L53" s="76">
        <v>3.2733434607167822</v>
      </c>
      <c r="M53" s="76" t="s">
        <v>201</v>
      </c>
      <c r="N53" s="76" t="s">
        <v>201</v>
      </c>
      <c r="O53" s="76" t="s">
        <v>201</v>
      </c>
      <c r="P53" s="76">
        <v>0.91290615164033018</v>
      </c>
      <c r="Q53" s="77" t="s">
        <v>201</v>
      </c>
      <c r="R53" s="77" t="s">
        <v>201</v>
      </c>
      <c r="S53" s="77" t="s">
        <v>201</v>
      </c>
      <c r="T53" s="77" t="s">
        <v>201</v>
      </c>
      <c r="U53" s="77" t="s">
        <v>201</v>
      </c>
      <c r="V53" s="77" t="s">
        <v>201</v>
      </c>
      <c r="W53" s="77" t="s">
        <v>201</v>
      </c>
      <c r="X53" s="77" t="s">
        <v>201</v>
      </c>
    </row>
    <row r="54" spans="2:24" ht="35.1" customHeight="1" x14ac:dyDescent="0.2">
      <c r="B54" s="87"/>
      <c r="C54" s="11" t="s">
        <v>106</v>
      </c>
      <c r="D54" s="12">
        <v>13</v>
      </c>
      <c r="E54" s="17" t="s">
        <v>107</v>
      </c>
      <c r="F54" s="12" t="s">
        <v>45</v>
      </c>
      <c r="G54" s="77" t="s">
        <v>201</v>
      </c>
      <c r="H54" s="77" t="s">
        <v>201</v>
      </c>
      <c r="I54" s="77" t="s">
        <v>201</v>
      </c>
      <c r="J54" s="77" t="s">
        <v>201</v>
      </c>
      <c r="K54" s="76">
        <v>3.2733434607167822</v>
      </c>
      <c r="L54" s="76">
        <v>3.2733434607167822</v>
      </c>
      <c r="M54" s="76" t="s">
        <v>201</v>
      </c>
      <c r="N54" s="76" t="s">
        <v>201</v>
      </c>
      <c r="O54" s="76" t="s">
        <v>201</v>
      </c>
      <c r="P54" s="76">
        <v>0.91290615164033018</v>
      </c>
      <c r="Q54" s="77" t="s">
        <v>201</v>
      </c>
      <c r="R54" s="77" t="s">
        <v>201</v>
      </c>
      <c r="S54" s="77" t="s">
        <v>201</v>
      </c>
      <c r="T54" s="77" t="s">
        <v>201</v>
      </c>
      <c r="U54" s="77" t="s">
        <v>201</v>
      </c>
      <c r="V54" s="77" t="s">
        <v>201</v>
      </c>
      <c r="W54" s="77" t="s">
        <v>201</v>
      </c>
      <c r="X54" s="77" t="s">
        <v>201</v>
      </c>
    </row>
    <row r="55" spans="2:24" ht="35.1" customHeight="1" x14ac:dyDescent="0.2">
      <c r="B55" s="87"/>
      <c r="C55" s="11" t="s">
        <v>108</v>
      </c>
      <c r="D55" s="12">
        <v>13</v>
      </c>
      <c r="E55" s="13" t="s">
        <v>109</v>
      </c>
      <c r="F55" s="12" t="s">
        <v>33</v>
      </c>
      <c r="G55" s="77" t="s">
        <v>201</v>
      </c>
      <c r="H55" s="77" t="s">
        <v>201</v>
      </c>
      <c r="I55" s="77" t="s">
        <v>201</v>
      </c>
      <c r="J55" s="77" t="s">
        <v>201</v>
      </c>
      <c r="K55" s="76">
        <v>3.2733434607167822</v>
      </c>
      <c r="L55" s="76">
        <v>3.2733434607167822</v>
      </c>
      <c r="M55" s="76" t="s">
        <v>201</v>
      </c>
      <c r="N55" s="76" t="s">
        <v>201</v>
      </c>
      <c r="O55" s="76" t="s">
        <v>201</v>
      </c>
      <c r="P55" s="76">
        <v>0.91290615164033018</v>
      </c>
      <c r="Q55" s="77" t="s">
        <v>201</v>
      </c>
      <c r="R55" s="77" t="s">
        <v>201</v>
      </c>
      <c r="S55" s="77" t="s">
        <v>201</v>
      </c>
      <c r="T55" s="77" t="s">
        <v>201</v>
      </c>
      <c r="U55" s="77" t="s">
        <v>201</v>
      </c>
      <c r="V55" s="77" t="s">
        <v>201</v>
      </c>
      <c r="W55" s="77" t="s">
        <v>201</v>
      </c>
      <c r="X55" s="77" t="s">
        <v>201</v>
      </c>
    </row>
    <row r="56" spans="2:24" ht="35.1" customHeight="1" x14ac:dyDescent="0.2">
      <c r="B56" s="87"/>
      <c r="C56" s="16" t="s">
        <v>110</v>
      </c>
      <c r="D56" s="15">
        <v>13</v>
      </c>
      <c r="E56" s="17" t="s">
        <v>111</v>
      </c>
      <c r="F56" s="15" t="s">
        <v>33</v>
      </c>
      <c r="G56" s="77" t="s">
        <v>201</v>
      </c>
      <c r="H56" s="77" t="s">
        <v>201</v>
      </c>
      <c r="I56" s="77" t="s">
        <v>201</v>
      </c>
      <c r="J56" s="77" t="s">
        <v>201</v>
      </c>
      <c r="K56" s="76">
        <v>3.2733434607167822</v>
      </c>
      <c r="L56" s="76">
        <v>3.2733434607167822</v>
      </c>
      <c r="M56" s="76" t="s">
        <v>201</v>
      </c>
      <c r="N56" s="76" t="s">
        <v>201</v>
      </c>
      <c r="O56" s="76" t="s">
        <v>201</v>
      </c>
      <c r="P56" s="76">
        <v>0.91290615164033018</v>
      </c>
      <c r="Q56" s="77" t="s">
        <v>201</v>
      </c>
      <c r="R56" s="77" t="s">
        <v>201</v>
      </c>
      <c r="S56" s="77" t="s">
        <v>201</v>
      </c>
      <c r="T56" s="77" t="s">
        <v>201</v>
      </c>
      <c r="U56" s="77" t="s">
        <v>201</v>
      </c>
      <c r="V56" s="77" t="s">
        <v>201</v>
      </c>
      <c r="W56" s="77" t="s">
        <v>201</v>
      </c>
      <c r="X56" s="77" t="s">
        <v>201</v>
      </c>
    </row>
    <row r="57" spans="2:24" ht="35.1" customHeight="1" x14ac:dyDescent="0.2">
      <c r="B57" s="87"/>
      <c r="C57" s="11" t="s">
        <v>112</v>
      </c>
      <c r="D57" s="12">
        <v>13</v>
      </c>
      <c r="E57" s="13" t="s">
        <v>113</v>
      </c>
      <c r="F57" s="12" t="s">
        <v>33</v>
      </c>
      <c r="G57" s="77" t="s">
        <v>201</v>
      </c>
      <c r="H57" s="77" t="s">
        <v>201</v>
      </c>
      <c r="I57" s="77" t="s">
        <v>201</v>
      </c>
      <c r="J57" s="77" t="s">
        <v>201</v>
      </c>
      <c r="K57" s="76">
        <v>3.2733434607167822</v>
      </c>
      <c r="L57" s="76">
        <v>3.2733434607167822</v>
      </c>
      <c r="M57" s="76" t="s">
        <v>201</v>
      </c>
      <c r="N57" s="76" t="s">
        <v>201</v>
      </c>
      <c r="O57" s="76" t="s">
        <v>201</v>
      </c>
      <c r="P57" s="76">
        <v>0.91290615164033018</v>
      </c>
      <c r="Q57" s="77" t="s">
        <v>201</v>
      </c>
      <c r="R57" s="77" t="s">
        <v>201</v>
      </c>
      <c r="S57" s="77" t="s">
        <v>201</v>
      </c>
      <c r="T57" s="77" t="s">
        <v>201</v>
      </c>
      <c r="U57" s="77" t="s">
        <v>201</v>
      </c>
      <c r="V57" s="77" t="s">
        <v>201</v>
      </c>
      <c r="W57" s="77" t="s">
        <v>201</v>
      </c>
      <c r="X57" s="77" t="s">
        <v>201</v>
      </c>
    </row>
    <row r="58" spans="2:24" ht="35.1" customHeight="1" x14ac:dyDescent="0.2">
      <c r="B58" s="91" t="s">
        <v>114</v>
      </c>
      <c r="C58" s="16" t="s">
        <v>115</v>
      </c>
      <c r="D58" s="15">
        <v>14</v>
      </c>
      <c r="E58" s="17" t="s">
        <v>116</v>
      </c>
      <c r="F58" s="15" t="s">
        <v>33</v>
      </c>
      <c r="G58" s="77" t="s">
        <v>201</v>
      </c>
      <c r="H58" s="77" t="s">
        <v>201</v>
      </c>
      <c r="I58" s="77" t="s">
        <v>201</v>
      </c>
      <c r="J58" s="77" t="s">
        <v>201</v>
      </c>
      <c r="K58" s="76">
        <v>3.2733434607167822</v>
      </c>
      <c r="L58" s="76" t="s">
        <v>201</v>
      </c>
      <c r="M58" s="76" t="s">
        <v>201</v>
      </c>
      <c r="N58" s="76" t="s">
        <v>201</v>
      </c>
      <c r="O58" s="76" t="s">
        <v>201</v>
      </c>
      <c r="P58" s="76">
        <v>0.91290615164033018</v>
      </c>
      <c r="Q58" s="77" t="s">
        <v>201</v>
      </c>
      <c r="R58" s="77" t="s">
        <v>201</v>
      </c>
      <c r="S58" s="77" t="s">
        <v>201</v>
      </c>
      <c r="T58" s="77" t="s">
        <v>201</v>
      </c>
      <c r="U58" s="77" t="s">
        <v>201</v>
      </c>
      <c r="V58" s="77" t="s">
        <v>201</v>
      </c>
      <c r="W58" s="77" t="s">
        <v>201</v>
      </c>
      <c r="X58" s="77" t="s">
        <v>201</v>
      </c>
    </row>
    <row r="59" spans="2:24" ht="35.1" customHeight="1" x14ac:dyDescent="0.2">
      <c r="B59" s="89"/>
      <c r="C59" s="11" t="s">
        <v>117</v>
      </c>
      <c r="D59" s="12">
        <v>13</v>
      </c>
      <c r="E59" s="13" t="s">
        <v>118</v>
      </c>
      <c r="F59" s="12" t="s">
        <v>33</v>
      </c>
      <c r="G59" s="77" t="s">
        <v>201</v>
      </c>
      <c r="H59" s="77" t="s">
        <v>201</v>
      </c>
      <c r="I59" s="77" t="s">
        <v>201</v>
      </c>
      <c r="J59" s="77" t="s">
        <v>201</v>
      </c>
      <c r="K59" s="76">
        <v>3.2733434607167822</v>
      </c>
      <c r="L59" s="76">
        <v>3.2733434607167822</v>
      </c>
      <c r="M59" s="76" t="s">
        <v>201</v>
      </c>
      <c r="N59" s="76" t="s">
        <v>201</v>
      </c>
      <c r="O59" s="76" t="s">
        <v>201</v>
      </c>
      <c r="P59" s="76">
        <v>0.91290615164033018</v>
      </c>
      <c r="Q59" s="77" t="s">
        <v>201</v>
      </c>
      <c r="R59" s="77" t="s">
        <v>201</v>
      </c>
      <c r="S59" s="77" t="s">
        <v>201</v>
      </c>
      <c r="T59" s="77" t="s">
        <v>201</v>
      </c>
      <c r="U59" s="77" t="s">
        <v>201</v>
      </c>
      <c r="V59" s="77" t="s">
        <v>201</v>
      </c>
      <c r="W59" s="77" t="s">
        <v>201</v>
      </c>
      <c r="X59" s="77" t="s">
        <v>201</v>
      </c>
    </row>
    <row r="60" spans="2:24" ht="35.1" customHeight="1" x14ac:dyDescent="0.2">
      <c r="B60" s="89"/>
      <c r="C60" s="16" t="s">
        <v>119</v>
      </c>
      <c r="D60" s="15">
        <v>13</v>
      </c>
      <c r="E60" s="17" t="s">
        <v>120</v>
      </c>
      <c r="F60" s="15" t="s">
        <v>33</v>
      </c>
      <c r="G60" s="77" t="s">
        <v>201</v>
      </c>
      <c r="H60" s="77" t="s">
        <v>201</v>
      </c>
      <c r="I60" s="77" t="s">
        <v>201</v>
      </c>
      <c r="J60" s="77" t="s">
        <v>201</v>
      </c>
      <c r="K60" s="76">
        <v>3.2733434607167822</v>
      </c>
      <c r="L60" s="76">
        <v>3.2733434607167822</v>
      </c>
      <c r="M60" s="76" t="s">
        <v>201</v>
      </c>
      <c r="N60" s="76" t="s">
        <v>201</v>
      </c>
      <c r="O60" s="76" t="s">
        <v>201</v>
      </c>
      <c r="P60" s="76">
        <v>0.91290615164033018</v>
      </c>
      <c r="Q60" s="77" t="s">
        <v>201</v>
      </c>
      <c r="R60" s="77" t="s">
        <v>201</v>
      </c>
      <c r="S60" s="77" t="s">
        <v>201</v>
      </c>
      <c r="T60" s="77" t="s">
        <v>201</v>
      </c>
      <c r="U60" s="77" t="s">
        <v>201</v>
      </c>
      <c r="V60" s="77" t="s">
        <v>201</v>
      </c>
      <c r="W60" s="77" t="s">
        <v>201</v>
      </c>
      <c r="X60" s="77" t="s">
        <v>201</v>
      </c>
    </row>
    <row r="61" spans="2:24" ht="35.1" customHeight="1" x14ac:dyDescent="0.2">
      <c r="B61" s="90"/>
      <c r="C61" s="11" t="s">
        <v>121</v>
      </c>
      <c r="D61" s="12">
        <v>14</v>
      </c>
      <c r="E61" s="17" t="s">
        <v>122</v>
      </c>
      <c r="F61" s="12" t="s">
        <v>33</v>
      </c>
      <c r="G61" s="77" t="s">
        <v>201</v>
      </c>
      <c r="H61" s="77" t="s">
        <v>201</v>
      </c>
      <c r="I61" s="77" t="s">
        <v>201</v>
      </c>
      <c r="J61" s="77" t="s">
        <v>201</v>
      </c>
      <c r="K61" s="76">
        <v>3.2733434607167822</v>
      </c>
      <c r="L61" s="76" t="s">
        <v>201</v>
      </c>
      <c r="M61" s="76" t="s">
        <v>201</v>
      </c>
      <c r="N61" s="76" t="s">
        <v>201</v>
      </c>
      <c r="O61" s="76" t="s">
        <v>201</v>
      </c>
      <c r="P61" s="76">
        <v>0.91290615164033018</v>
      </c>
      <c r="Q61" s="77" t="s">
        <v>201</v>
      </c>
      <c r="R61" s="77" t="s">
        <v>201</v>
      </c>
      <c r="S61" s="77" t="s">
        <v>201</v>
      </c>
      <c r="T61" s="77" t="s">
        <v>201</v>
      </c>
      <c r="U61" s="77" t="s">
        <v>201</v>
      </c>
      <c r="V61" s="77" t="s">
        <v>201</v>
      </c>
      <c r="W61" s="77" t="s">
        <v>201</v>
      </c>
      <c r="X61" s="77" t="s">
        <v>201</v>
      </c>
    </row>
    <row r="62" spans="2:24" ht="35.1" customHeight="1" x14ac:dyDescent="0.2">
      <c r="B62" s="87" t="s">
        <v>123</v>
      </c>
      <c r="C62" s="11" t="s">
        <v>124</v>
      </c>
      <c r="D62" s="12">
        <v>14</v>
      </c>
      <c r="E62" s="13" t="s">
        <v>125</v>
      </c>
      <c r="F62" s="12" t="s">
        <v>33</v>
      </c>
      <c r="G62" s="77" t="s">
        <v>201</v>
      </c>
      <c r="H62" s="77" t="s">
        <v>201</v>
      </c>
      <c r="I62" s="77" t="s">
        <v>201</v>
      </c>
      <c r="J62" s="77" t="s">
        <v>201</v>
      </c>
      <c r="K62" s="76">
        <v>3.2733434607167822</v>
      </c>
      <c r="L62" s="76" t="s">
        <v>201</v>
      </c>
      <c r="M62" s="76" t="s">
        <v>201</v>
      </c>
      <c r="N62" s="76" t="s">
        <v>201</v>
      </c>
      <c r="O62" s="76" t="s">
        <v>201</v>
      </c>
      <c r="P62" s="76">
        <v>0.91290615164033018</v>
      </c>
      <c r="Q62" s="77" t="s">
        <v>201</v>
      </c>
      <c r="R62" s="77" t="s">
        <v>201</v>
      </c>
      <c r="S62" s="77" t="s">
        <v>201</v>
      </c>
      <c r="T62" s="77" t="s">
        <v>201</v>
      </c>
      <c r="U62" s="77" t="s">
        <v>201</v>
      </c>
      <c r="V62" s="77" t="s">
        <v>201</v>
      </c>
      <c r="W62" s="77" t="s">
        <v>201</v>
      </c>
      <c r="X62" s="77" t="s">
        <v>201</v>
      </c>
    </row>
    <row r="63" spans="2:24" ht="35.1" customHeight="1" x14ac:dyDescent="0.2">
      <c r="B63" s="87"/>
      <c r="C63" s="11" t="s">
        <v>126</v>
      </c>
      <c r="D63" s="12">
        <v>3</v>
      </c>
      <c r="E63" s="13" t="s">
        <v>127</v>
      </c>
      <c r="F63" s="12" t="s">
        <v>45</v>
      </c>
      <c r="G63" s="77" t="s">
        <v>201</v>
      </c>
      <c r="H63" s="77" t="s">
        <v>201</v>
      </c>
      <c r="I63" s="77" t="s">
        <v>201</v>
      </c>
      <c r="J63" s="77" t="s">
        <v>201</v>
      </c>
      <c r="K63" s="76">
        <v>2.1050087915845239</v>
      </c>
      <c r="L63" s="76" t="s">
        <v>201</v>
      </c>
      <c r="M63" s="76" t="s">
        <v>201</v>
      </c>
      <c r="N63" s="76" t="s">
        <v>201</v>
      </c>
      <c r="O63" s="76" t="s">
        <v>201</v>
      </c>
      <c r="P63" s="76">
        <v>2.1050087915845239</v>
      </c>
      <c r="Q63" s="77" t="s">
        <v>201</v>
      </c>
      <c r="R63" s="77" t="s">
        <v>201</v>
      </c>
      <c r="S63" s="77" t="s">
        <v>201</v>
      </c>
      <c r="T63" s="77" t="s">
        <v>201</v>
      </c>
      <c r="U63" s="77" t="s">
        <v>201</v>
      </c>
      <c r="V63" s="77" t="s">
        <v>201</v>
      </c>
      <c r="W63" s="77" t="s">
        <v>201</v>
      </c>
      <c r="X63" s="77" t="s">
        <v>201</v>
      </c>
    </row>
    <row r="64" spans="2:24" ht="35.1" customHeight="1" x14ac:dyDescent="0.2">
      <c r="B64" s="87"/>
      <c r="C64" s="16" t="s">
        <v>128</v>
      </c>
      <c r="D64" s="15">
        <v>14</v>
      </c>
      <c r="E64" s="17" t="s">
        <v>129</v>
      </c>
      <c r="F64" s="15" t="s">
        <v>33</v>
      </c>
      <c r="G64" s="77" t="s">
        <v>201</v>
      </c>
      <c r="H64" s="77" t="s">
        <v>201</v>
      </c>
      <c r="I64" s="77" t="s">
        <v>201</v>
      </c>
      <c r="J64" s="77" t="s">
        <v>201</v>
      </c>
      <c r="K64" s="76">
        <v>3.2733434607167822</v>
      </c>
      <c r="L64" s="76" t="s">
        <v>201</v>
      </c>
      <c r="M64" s="76" t="s">
        <v>201</v>
      </c>
      <c r="N64" s="76" t="s">
        <v>201</v>
      </c>
      <c r="O64" s="76" t="s">
        <v>201</v>
      </c>
      <c r="P64" s="76">
        <v>0.91290615164033018</v>
      </c>
      <c r="Q64" s="77" t="s">
        <v>201</v>
      </c>
      <c r="R64" s="77" t="s">
        <v>201</v>
      </c>
      <c r="S64" s="77" t="s">
        <v>201</v>
      </c>
      <c r="T64" s="77" t="s">
        <v>201</v>
      </c>
      <c r="U64" s="77" t="s">
        <v>201</v>
      </c>
      <c r="V64" s="77" t="s">
        <v>201</v>
      </c>
      <c r="W64" s="77" t="s">
        <v>201</v>
      </c>
      <c r="X64" s="77" t="s">
        <v>201</v>
      </c>
    </row>
    <row r="65" spans="2:24" ht="35.1" customHeight="1" x14ac:dyDescent="0.2">
      <c r="B65" s="87"/>
      <c r="C65" s="16" t="s">
        <v>130</v>
      </c>
      <c r="D65" s="15">
        <v>14</v>
      </c>
      <c r="E65" s="17" t="s">
        <v>131</v>
      </c>
      <c r="F65" s="15" t="s">
        <v>33</v>
      </c>
      <c r="G65" s="77" t="s">
        <v>201</v>
      </c>
      <c r="H65" s="77" t="s">
        <v>201</v>
      </c>
      <c r="I65" s="77" t="s">
        <v>201</v>
      </c>
      <c r="J65" s="77" t="s">
        <v>201</v>
      </c>
      <c r="K65" s="85" t="s">
        <v>200</v>
      </c>
      <c r="L65" s="76" t="s">
        <v>201</v>
      </c>
      <c r="M65" s="76" t="s">
        <v>201</v>
      </c>
      <c r="N65" s="76" t="s">
        <v>201</v>
      </c>
      <c r="O65" s="76" t="s">
        <v>201</v>
      </c>
      <c r="P65" s="85" t="s">
        <v>200</v>
      </c>
      <c r="Q65" s="77" t="s">
        <v>201</v>
      </c>
      <c r="R65" s="77" t="s">
        <v>201</v>
      </c>
      <c r="S65" s="77" t="s">
        <v>201</v>
      </c>
      <c r="T65" s="77" t="s">
        <v>201</v>
      </c>
      <c r="U65" s="77" t="s">
        <v>201</v>
      </c>
      <c r="V65" s="77" t="s">
        <v>201</v>
      </c>
      <c r="W65" s="77" t="s">
        <v>201</v>
      </c>
      <c r="X65" s="77" t="s">
        <v>201</v>
      </c>
    </row>
    <row r="66" spans="2:24" ht="35.1" customHeight="1" x14ac:dyDescent="0.2">
      <c r="B66" s="87"/>
      <c r="C66" s="11" t="s">
        <v>132</v>
      </c>
      <c r="D66" s="12">
        <v>14</v>
      </c>
      <c r="E66" s="13" t="s">
        <v>133</v>
      </c>
      <c r="F66" s="12" t="s">
        <v>33</v>
      </c>
      <c r="G66" s="77" t="s">
        <v>201</v>
      </c>
      <c r="H66" s="77" t="s">
        <v>201</v>
      </c>
      <c r="I66" s="77" t="s">
        <v>201</v>
      </c>
      <c r="J66" s="77" t="s">
        <v>201</v>
      </c>
      <c r="K66" s="76">
        <v>3.2733434607167822</v>
      </c>
      <c r="L66" s="76" t="s">
        <v>201</v>
      </c>
      <c r="M66" s="76" t="s">
        <v>201</v>
      </c>
      <c r="N66" s="76" t="s">
        <v>201</v>
      </c>
      <c r="O66" s="76" t="s">
        <v>201</v>
      </c>
      <c r="P66" s="76">
        <v>0.91290615164033018</v>
      </c>
      <c r="Q66" s="77" t="s">
        <v>201</v>
      </c>
      <c r="R66" s="77" t="s">
        <v>201</v>
      </c>
      <c r="S66" s="77" t="s">
        <v>201</v>
      </c>
      <c r="T66" s="77" t="s">
        <v>201</v>
      </c>
      <c r="U66" s="77" t="s">
        <v>201</v>
      </c>
      <c r="V66" s="77" t="s">
        <v>201</v>
      </c>
      <c r="W66" s="77" t="s">
        <v>201</v>
      </c>
      <c r="X66" s="77" t="s">
        <v>201</v>
      </c>
    </row>
    <row r="67" spans="2:24" ht="35.1" customHeight="1" x14ac:dyDescent="0.2">
      <c r="B67" s="87"/>
      <c r="C67" s="11" t="s">
        <v>134</v>
      </c>
      <c r="D67" s="12">
        <v>14</v>
      </c>
      <c r="E67" s="17" t="s">
        <v>135</v>
      </c>
      <c r="F67" s="12" t="s">
        <v>33</v>
      </c>
      <c r="G67" s="77" t="s">
        <v>201</v>
      </c>
      <c r="H67" s="77" t="s">
        <v>201</v>
      </c>
      <c r="I67" s="77" t="s">
        <v>201</v>
      </c>
      <c r="J67" s="77" t="s">
        <v>201</v>
      </c>
      <c r="K67" s="85" t="s">
        <v>200</v>
      </c>
      <c r="L67" s="76" t="s">
        <v>201</v>
      </c>
      <c r="M67" s="76" t="s">
        <v>201</v>
      </c>
      <c r="N67" s="76" t="s">
        <v>201</v>
      </c>
      <c r="O67" s="76" t="s">
        <v>201</v>
      </c>
      <c r="P67" s="85" t="s">
        <v>200</v>
      </c>
      <c r="Q67" s="77" t="s">
        <v>201</v>
      </c>
      <c r="R67" s="77" t="s">
        <v>201</v>
      </c>
      <c r="S67" s="77" t="s">
        <v>201</v>
      </c>
      <c r="T67" s="77" t="s">
        <v>201</v>
      </c>
      <c r="U67" s="77" t="s">
        <v>201</v>
      </c>
      <c r="V67" s="77" t="s">
        <v>201</v>
      </c>
      <c r="W67" s="77" t="s">
        <v>201</v>
      </c>
      <c r="X67" s="77" t="s">
        <v>201</v>
      </c>
    </row>
    <row r="68" spans="2:24" ht="5.0999999999999996" customHeight="1" x14ac:dyDescent="0.2"/>
  </sheetData>
  <mergeCells count="6">
    <mergeCell ref="B62:B67"/>
    <mergeCell ref="B7:B20"/>
    <mergeCell ref="B27:B41"/>
    <mergeCell ref="B47:B52"/>
    <mergeCell ref="B53:B57"/>
    <mergeCell ref="B58:B61"/>
  </mergeCells>
  <pageMargins left="0.25" right="0.25" top="0.75" bottom="0.75" header="0.3" footer="0.3"/>
  <pageSetup paperSize="9" scale="26" orientation="landscape" r:id="rId1"/>
  <headerFooter>
    <oddFooter>&amp;C_x000D_&amp;1#&amp;"Century Gothic"&amp;7&amp;K7F7F7F BUSINESS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A769-4EC8-4E05-914B-22A2DD3DD386}">
  <sheetPr codeName="Sheet4">
    <tabColor rgb="FF8DC63F"/>
    <pageSetUpPr fitToPage="1"/>
  </sheetPr>
  <dimension ref="B1:AB68"/>
  <sheetViews>
    <sheetView topLeftCell="A20" zoomScale="70" zoomScaleNormal="70" workbookViewId="0">
      <selection activeCell="K32" sqref="K32"/>
    </sheetView>
  </sheetViews>
  <sheetFormatPr defaultColWidth="9.140625" defaultRowHeight="12.75" x14ac:dyDescent="0.2"/>
  <cols>
    <col min="1" max="1" width="0.85546875" style="2" customWidth="1"/>
    <col min="2" max="2" width="17.5703125" style="2" customWidth="1"/>
    <col min="3" max="3" width="19.7109375" style="2" customWidth="1"/>
    <col min="4" max="4" width="12.5703125" style="2" customWidth="1"/>
    <col min="5" max="5" width="44.7109375" style="2" customWidth="1"/>
    <col min="6" max="24" width="12.28515625" style="2" customWidth="1"/>
    <col min="25" max="25" width="0.85546875" style="2" customWidth="1"/>
    <col min="26" max="16384" width="9.140625" style="2"/>
  </cols>
  <sheetData>
    <row r="1" spans="2:28" x14ac:dyDescent="0.2"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2:28" ht="35.1" customHeight="1" x14ac:dyDescent="0.4">
      <c r="B2" s="1" t="s">
        <v>189</v>
      </c>
    </row>
    <row r="3" spans="2:28" ht="15" customHeight="1" x14ac:dyDescent="0.2">
      <c r="B3" s="3" t="s">
        <v>186</v>
      </c>
      <c r="G3" s="86" t="s">
        <v>190</v>
      </c>
      <c r="H3" s="86" t="s">
        <v>1</v>
      </c>
      <c r="I3" s="86" t="s">
        <v>2</v>
      </c>
      <c r="J3" s="86" t="s">
        <v>3</v>
      </c>
      <c r="K3" s="86" t="s">
        <v>4</v>
      </c>
      <c r="L3" s="86" t="s">
        <v>5</v>
      </c>
      <c r="M3" s="86" t="s">
        <v>6</v>
      </c>
      <c r="N3" s="86" t="s">
        <v>7</v>
      </c>
      <c r="O3" s="86" t="s">
        <v>8</v>
      </c>
      <c r="P3" s="86" t="s">
        <v>191</v>
      </c>
      <c r="Q3" s="86" t="s">
        <v>192</v>
      </c>
      <c r="R3" s="86" t="s">
        <v>11</v>
      </c>
      <c r="S3" s="86" t="s">
        <v>12</v>
      </c>
      <c r="T3" s="86" t="s">
        <v>13</v>
      </c>
      <c r="U3" s="86" t="s">
        <v>22</v>
      </c>
      <c r="V3" s="86" t="s">
        <v>193</v>
      </c>
      <c r="W3" s="86" t="s">
        <v>194</v>
      </c>
      <c r="X3" s="86" t="s">
        <v>195</v>
      </c>
      <c r="Y3" s="86"/>
      <c r="Z3" s="86"/>
    </row>
    <row r="4" spans="2:28" ht="5.0999999999999996" customHeight="1" x14ac:dyDescent="0.2"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2:28" ht="62.1" customHeight="1" x14ac:dyDescent="0.2">
      <c r="B5" s="66" t="s">
        <v>14</v>
      </c>
      <c r="C5" s="73" t="s">
        <v>15</v>
      </c>
      <c r="D5" s="73" t="s">
        <v>16</v>
      </c>
      <c r="E5" s="73" t="s">
        <v>17</v>
      </c>
      <c r="F5" s="66" t="s">
        <v>18</v>
      </c>
      <c r="G5" s="66" t="s">
        <v>0</v>
      </c>
      <c r="H5" s="66" t="s">
        <v>1</v>
      </c>
      <c r="I5" s="66" t="s">
        <v>2</v>
      </c>
      <c r="J5" s="66" t="s">
        <v>3</v>
      </c>
      <c r="K5" s="66" t="s">
        <v>4</v>
      </c>
      <c r="L5" s="66" t="s">
        <v>19</v>
      </c>
      <c r="M5" s="66" t="s">
        <v>6</v>
      </c>
      <c r="N5" s="66" t="s">
        <v>7</v>
      </c>
      <c r="O5" s="66" t="s">
        <v>8</v>
      </c>
      <c r="P5" s="66" t="s">
        <v>20</v>
      </c>
      <c r="Q5" s="66" t="s">
        <v>10</v>
      </c>
      <c r="R5" s="66" t="s">
        <v>11</v>
      </c>
      <c r="S5" s="66" t="s">
        <v>21</v>
      </c>
      <c r="T5" s="66" t="s">
        <v>13</v>
      </c>
      <c r="U5" s="66" t="s">
        <v>22</v>
      </c>
      <c r="V5" s="66" t="s">
        <v>23</v>
      </c>
      <c r="W5" s="66" t="s">
        <v>24</v>
      </c>
      <c r="X5" s="66" t="s">
        <v>25</v>
      </c>
    </row>
    <row r="6" spans="2:28" ht="18" customHeight="1" x14ac:dyDescent="0.2">
      <c r="B6" s="67"/>
      <c r="C6" s="74"/>
      <c r="D6" s="74"/>
      <c r="E6" s="74"/>
      <c r="F6" s="67"/>
      <c r="G6" s="68" t="s">
        <v>26</v>
      </c>
      <c r="H6" s="68" t="s">
        <v>27</v>
      </c>
      <c r="I6" s="68" t="s">
        <v>27</v>
      </c>
      <c r="J6" s="68" t="s">
        <v>27</v>
      </c>
      <c r="K6" s="68" t="s">
        <v>27</v>
      </c>
      <c r="L6" s="68" t="s">
        <v>27</v>
      </c>
      <c r="M6" s="68" t="s">
        <v>27</v>
      </c>
      <c r="N6" s="68" t="s">
        <v>27</v>
      </c>
      <c r="O6" s="68" t="s">
        <v>27</v>
      </c>
      <c r="P6" s="68" t="s">
        <v>27</v>
      </c>
      <c r="Q6" s="68" t="s">
        <v>27</v>
      </c>
      <c r="R6" s="68" t="s">
        <v>27</v>
      </c>
      <c r="S6" s="68" t="s">
        <v>27</v>
      </c>
      <c r="T6" s="68" t="s">
        <v>27</v>
      </c>
      <c r="U6" s="68" t="s">
        <v>28</v>
      </c>
      <c r="V6" s="68" t="s">
        <v>28</v>
      </c>
      <c r="W6" s="68" t="s">
        <v>29</v>
      </c>
      <c r="X6" s="68" t="s">
        <v>29</v>
      </c>
    </row>
    <row r="7" spans="2:28" ht="35.1" customHeight="1" x14ac:dyDescent="0.2">
      <c r="B7" s="88" t="s">
        <v>30</v>
      </c>
      <c r="C7" s="11" t="s">
        <v>31</v>
      </c>
      <c r="D7" s="12">
        <v>1</v>
      </c>
      <c r="E7" s="13" t="s">
        <v>32</v>
      </c>
      <c r="F7" s="12" t="s">
        <v>33</v>
      </c>
      <c r="G7" s="77" t="s">
        <v>201</v>
      </c>
      <c r="H7" s="76" t="s">
        <v>201</v>
      </c>
      <c r="I7" s="76">
        <v>0.16903017685698893</v>
      </c>
      <c r="J7" s="76">
        <v>0.16903017685698893</v>
      </c>
      <c r="K7" s="76" t="s">
        <v>201</v>
      </c>
      <c r="L7" s="76" t="s">
        <v>201</v>
      </c>
      <c r="M7" s="76" t="s">
        <v>201</v>
      </c>
      <c r="N7" s="76" t="s">
        <v>201</v>
      </c>
      <c r="O7" s="76" t="s">
        <v>201</v>
      </c>
      <c r="P7" s="76" t="s">
        <v>201</v>
      </c>
      <c r="Q7" s="76" t="s">
        <v>201</v>
      </c>
      <c r="R7" s="76" t="s">
        <v>201</v>
      </c>
      <c r="S7" s="76" t="s">
        <v>201</v>
      </c>
      <c r="T7" s="76" t="s">
        <v>201</v>
      </c>
      <c r="U7" s="76" t="s">
        <v>201</v>
      </c>
      <c r="V7" s="76" t="s">
        <v>201</v>
      </c>
      <c r="W7" s="76" t="s">
        <v>201</v>
      </c>
      <c r="X7" s="76" t="s">
        <v>201</v>
      </c>
    </row>
    <row r="8" spans="2:28" ht="35.1" customHeight="1" x14ac:dyDescent="0.2">
      <c r="B8" s="88"/>
      <c r="C8" s="11" t="s">
        <v>34</v>
      </c>
      <c r="D8" s="12">
        <v>1</v>
      </c>
      <c r="E8" s="13" t="s">
        <v>35</v>
      </c>
      <c r="F8" s="12" t="s">
        <v>33</v>
      </c>
      <c r="G8" s="77" t="s">
        <v>201</v>
      </c>
      <c r="H8" s="76" t="s">
        <v>201</v>
      </c>
      <c r="I8" s="76">
        <v>0.16903017685698893</v>
      </c>
      <c r="J8" s="76">
        <v>0.16903017685698893</v>
      </c>
      <c r="K8" s="76" t="s">
        <v>201</v>
      </c>
      <c r="L8" s="76" t="s">
        <v>201</v>
      </c>
      <c r="M8" s="76" t="s">
        <v>201</v>
      </c>
      <c r="N8" s="76" t="s">
        <v>201</v>
      </c>
      <c r="O8" s="76" t="s">
        <v>201</v>
      </c>
      <c r="P8" s="76" t="s">
        <v>201</v>
      </c>
      <c r="Q8" s="76" t="s">
        <v>201</v>
      </c>
      <c r="R8" s="76" t="s">
        <v>201</v>
      </c>
      <c r="S8" s="76" t="s">
        <v>201</v>
      </c>
      <c r="T8" s="76" t="s">
        <v>201</v>
      </c>
      <c r="U8" s="76" t="s">
        <v>201</v>
      </c>
      <c r="V8" s="76" t="s">
        <v>201</v>
      </c>
      <c r="W8" s="76" t="s">
        <v>201</v>
      </c>
      <c r="X8" s="76" t="s">
        <v>201</v>
      </c>
    </row>
    <row r="9" spans="2:28" ht="35.1" customHeight="1" x14ac:dyDescent="0.2">
      <c r="B9" s="88"/>
      <c r="C9" s="11" t="s">
        <v>36</v>
      </c>
      <c r="D9" s="12" t="s">
        <v>37</v>
      </c>
      <c r="E9" s="13" t="s">
        <v>38</v>
      </c>
      <c r="F9" s="12" t="s">
        <v>33</v>
      </c>
      <c r="G9" s="77" t="s">
        <v>201</v>
      </c>
      <c r="H9" s="76" t="s">
        <v>201</v>
      </c>
      <c r="I9" s="76">
        <v>0.16903017685698893</v>
      </c>
      <c r="J9" s="76">
        <v>0.16903017685698893</v>
      </c>
      <c r="K9" s="76" t="s">
        <v>201</v>
      </c>
      <c r="L9" s="76" t="s">
        <v>201</v>
      </c>
      <c r="M9" s="76" t="s">
        <v>201</v>
      </c>
      <c r="N9" s="76" t="s">
        <v>201</v>
      </c>
      <c r="O9" s="76" t="s">
        <v>201</v>
      </c>
      <c r="P9" s="76" t="s">
        <v>201</v>
      </c>
      <c r="Q9" s="76">
        <v>0.14190187686759567</v>
      </c>
      <c r="R9" s="76" t="s">
        <v>201</v>
      </c>
      <c r="S9" s="76" t="s">
        <v>201</v>
      </c>
      <c r="T9" s="76" t="s">
        <v>201</v>
      </c>
      <c r="U9" s="76" t="s">
        <v>201</v>
      </c>
      <c r="V9" s="76" t="s">
        <v>201</v>
      </c>
      <c r="W9" s="76" t="s">
        <v>201</v>
      </c>
      <c r="X9" s="76" t="s">
        <v>201</v>
      </c>
      <c r="Y9" s="14"/>
    </row>
    <row r="10" spans="2:28" ht="35.1" customHeight="1" x14ac:dyDescent="0.2">
      <c r="B10" s="88"/>
      <c r="C10" s="11" t="s">
        <v>182</v>
      </c>
      <c r="D10" s="83">
        <v>21</v>
      </c>
      <c r="E10" s="13" t="s">
        <v>39</v>
      </c>
      <c r="F10" s="12" t="s">
        <v>33</v>
      </c>
      <c r="G10" s="77" t="s">
        <v>201</v>
      </c>
      <c r="H10" s="76" t="s">
        <v>201</v>
      </c>
      <c r="I10" s="76" t="s">
        <v>201</v>
      </c>
      <c r="J10" s="76" t="s">
        <v>201</v>
      </c>
      <c r="K10" s="76">
        <v>0.16903017685698893</v>
      </c>
      <c r="L10" s="76" t="s">
        <v>201</v>
      </c>
      <c r="M10" s="76" t="s">
        <v>201</v>
      </c>
      <c r="N10" s="76" t="s">
        <v>201</v>
      </c>
      <c r="O10" s="76" t="s">
        <v>201</v>
      </c>
      <c r="P10" s="76">
        <v>0.14190187686759567</v>
      </c>
      <c r="Q10" s="76" t="s">
        <v>201</v>
      </c>
      <c r="R10" s="76" t="s">
        <v>201</v>
      </c>
      <c r="S10" s="76" t="s">
        <v>201</v>
      </c>
      <c r="T10" s="76" t="s">
        <v>201</v>
      </c>
      <c r="U10" s="76" t="s">
        <v>201</v>
      </c>
      <c r="V10" s="76" t="s">
        <v>201</v>
      </c>
      <c r="W10" s="76" t="s">
        <v>201</v>
      </c>
      <c r="X10" s="76" t="s">
        <v>201</v>
      </c>
      <c r="AB10" s="86" t="s">
        <v>196</v>
      </c>
    </row>
    <row r="11" spans="2:28" ht="35.1" customHeight="1" x14ac:dyDescent="0.2">
      <c r="B11" s="88"/>
      <c r="C11" s="11" t="s">
        <v>183</v>
      </c>
      <c r="D11" s="83">
        <v>21</v>
      </c>
      <c r="E11" s="13" t="s">
        <v>40</v>
      </c>
      <c r="F11" s="12" t="s">
        <v>33</v>
      </c>
      <c r="G11" s="77" t="s">
        <v>201</v>
      </c>
      <c r="H11" s="76" t="s">
        <v>201</v>
      </c>
      <c r="I11" s="76" t="s">
        <v>201</v>
      </c>
      <c r="J11" s="76" t="s">
        <v>201</v>
      </c>
      <c r="K11" s="76">
        <v>0.16903017685698893</v>
      </c>
      <c r="L11" s="76" t="s">
        <v>201</v>
      </c>
      <c r="M11" s="76" t="s">
        <v>201</v>
      </c>
      <c r="N11" s="76" t="s">
        <v>201</v>
      </c>
      <c r="O11" s="76" t="s">
        <v>201</v>
      </c>
      <c r="P11" s="76">
        <v>0.14190187686759567</v>
      </c>
      <c r="Q11" s="76" t="s">
        <v>201</v>
      </c>
      <c r="R11" s="76" t="s">
        <v>201</v>
      </c>
      <c r="S11" s="76" t="s">
        <v>201</v>
      </c>
      <c r="T11" s="76" t="s">
        <v>201</v>
      </c>
      <c r="U11" s="76" t="s">
        <v>201</v>
      </c>
      <c r="V11" s="76" t="s">
        <v>201</v>
      </c>
      <c r="W11" s="76" t="s">
        <v>201</v>
      </c>
      <c r="X11" s="76" t="s">
        <v>201</v>
      </c>
      <c r="AB11" s="86" t="s">
        <v>197</v>
      </c>
    </row>
    <row r="12" spans="2:28" ht="35.1" customHeight="1" x14ac:dyDescent="0.2">
      <c r="B12" s="88"/>
      <c r="C12" s="11" t="s">
        <v>41</v>
      </c>
      <c r="D12" s="12" t="s">
        <v>184</v>
      </c>
      <c r="E12" s="13" t="s">
        <v>42</v>
      </c>
      <c r="F12" s="15" t="s">
        <v>33</v>
      </c>
      <c r="G12" s="77" t="s">
        <v>201</v>
      </c>
      <c r="H12" s="76" t="s">
        <v>201</v>
      </c>
      <c r="I12" s="76" t="s">
        <v>201</v>
      </c>
      <c r="J12" s="76" t="s">
        <v>201</v>
      </c>
      <c r="K12" s="76">
        <v>0.16903017685698893</v>
      </c>
      <c r="L12" s="76" t="s">
        <v>201</v>
      </c>
      <c r="M12" s="76" t="s">
        <v>201</v>
      </c>
      <c r="N12" s="76" t="s">
        <v>201</v>
      </c>
      <c r="O12" s="76" t="s">
        <v>201</v>
      </c>
      <c r="P12" s="76">
        <v>0.14190187686759567</v>
      </c>
      <c r="Q12" s="76">
        <v>0.14190187686759567</v>
      </c>
      <c r="R12" s="76" t="s">
        <v>201</v>
      </c>
      <c r="S12" s="76" t="s">
        <v>201</v>
      </c>
      <c r="T12" s="76" t="s">
        <v>201</v>
      </c>
      <c r="U12" s="76" t="s">
        <v>201</v>
      </c>
      <c r="V12" s="76" t="s">
        <v>201</v>
      </c>
      <c r="W12" s="76" t="s">
        <v>201</v>
      </c>
      <c r="X12" s="76" t="s">
        <v>201</v>
      </c>
      <c r="AB12" s="86"/>
    </row>
    <row r="13" spans="2:28" ht="35.1" customHeight="1" x14ac:dyDescent="0.2">
      <c r="B13" s="88"/>
      <c r="C13" s="16" t="s">
        <v>43</v>
      </c>
      <c r="D13" s="15">
        <v>4</v>
      </c>
      <c r="E13" s="17" t="s">
        <v>44</v>
      </c>
      <c r="F13" s="12" t="s">
        <v>45</v>
      </c>
      <c r="G13" s="77" t="s">
        <v>201</v>
      </c>
      <c r="H13" s="76" t="s">
        <v>201</v>
      </c>
      <c r="I13" s="76" t="s">
        <v>201</v>
      </c>
      <c r="J13" s="76" t="s">
        <v>201</v>
      </c>
      <c r="K13" s="76">
        <v>0.16903017685698893</v>
      </c>
      <c r="L13" s="76" t="s">
        <v>201</v>
      </c>
      <c r="M13" s="76" t="s">
        <v>201</v>
      </c>
      <c r="N13" s="76" t="s">
        <v>201</v>
      </c>
      <c r="O13" s="76" t="s">
        <v>201</v>
      </c>
      <c r="P13" s="76">
        <v>0.14190187686759567</v>
      </c>
      <c r="Q13" s="76" t="s">
        <v>201</v>
      </c>
      <c r="R13" s="76" t="s">
        <v>201</v>
      </c>
      <c r="S13" s="76" t="s">
        <v>201</v>
      </c>
      <c r="T13" s="76" t="s">
        <v>201</v>
      </c>
      <c r="U13" s="76" t="s">
        <v>201</v>
      </c>
      <c r="V13" s="76" t="s">
        <v>201</v>
      </c>
      <c r="W13" s="76" t="s">
        <v>201</v>
      </c>
      <c r="X13" s="76" t="s">
        <v>201</v>
      </c>
    </row>
    <row r="14" spans="2:28" ht="34.5" customHeight="1" x14ac:dyDescent="0.2">
      <c r="B14" s="88"/>
      <c r="C14" s="16" t="s">
        <v>46</v>
      </c>
      <c r="D14" s="15">
        <v>7</v>
      </c>
      <c r="E14" s="17" t="s">
        <v>47</v>
      </c>
      <c r="F14" s="12" t="s">
        <v>45</v>
      </c>
      <c r="G14" s="77" t="s">
        <v>201</v>
      </c>
      <c r="H14" s="76" t="s">
        <v>201</v>
      </c>
      <c r="I14" s="76" t="s">
        <v>201</v>
      </c>
      <c r="J14" s="76" t="s">
        <v>201</v>
      </c>
      <c r="K14" s="76" t="s">
        <v>201</v>
      </c>
      <c r="L14" s="76" t="s">
        <v>201</v>
      </c>
      <c r="M14" s="76">
        <v>0.16903017685698893</v>
      </c>
      <c r="N14" s="76">
        <v>0.16903017685698893</v>
      </c>
      <c r="O14" s="76">
        <v>0.16903017685698893</v>
      </c>
      <c r="P14" s="76">
        <v>0.14190187686759567</v>
      </c>
      <c r="Q14" s="76" t="s">
        <v>201</v>
      </c>
      <c r="R14" s="76" t="s">
        <v>201</v>
      </c>
      <c r="S14" s="76" t="s">
        <v>201</v>
      </c>
      <c r="T14" s="76" t="s">
        <v>201</v>
      </c>
      <c r="U14" s="76" t="s">
        <v>201</v>
      </c>
      <c r="V14" s="76" t="s">
        <v>201</v>
      </c>
      <c r="W14" s="76" t="s">
        <v>201</v>
      </c>
      <c r="X14" s="76" t="s">
        <v>201</v>
      </c>
    </row>
    <row r="15" spans="2:28" ht="35.1" customHeight="1" x14ac:dyDescent="0.2">
      <c r="B15" s="88"/>
      <c r="C15" s="16" t="s">
        <v>48</v>
      </c>
      <c r="D15" s="15">
        <v>7</v>
      </c>
      <c r="E15" s="17" t="s">
        <v>49</v>
      </c>
      <c r="F15" s="12" t="s">
        <v>45</v>
      </c>
      <c r="G15" s="77" t="s">
        <v>201</v>
      </c>
      <c r="H15" s="76" t="s">
        <v>201</v>
      </c>
      <c r="I15" s="76" t="s">
        <v>201</v>
      </c>
      <c r="J15" s="76" t="s">
        <v>201</v>
      </c>
      <c r="K15" s="76" t="s">
        <v>201</v>
      </c>
      <c r="L15" s="76" t="s">
        <v>201</v>
      </c>
      <c r="M15" s="76">
        <v>0.16903017685698893</v>
      </c>
      <c r="N15" s="76">
        <v>0.16903017685698893</v>
      </c>
      <c r="O15" s="76">
        <v>0.16903017685698893</v>
      </c>
      <c r="P15" s="76">
        <v>0.14190187686759567</v>
      </c>
      <c r="Q15" s="76" t="s">
        <v>201</v>
      </c>
      <c r="R15" s="76" t="s">
        <v>201</v>
      </c>
      <c r="S15" s="76" t="s">
        <v>201</v>
      </c>
      <c r="T15" s="76" t="s">
        <v>201</v>
      </c>
      <c r="U15" s="76" t="s">
        <v>201</v>
      </c>
      <c r="V15" s="76" t="s">
        <v>201</v>
      </c>
      <c r="W15" s="76" t="s">
        <v>201</v>
      </c>
      <c r="X15" s="76" t="s">
        <v>201</v>
      </c>
    </row>
    <row r="16" spans="2:28" ht="35.1" customHeight="1" x14ac:dyDescent="0.2">
      <c r="B16" s="88"/>
      <c r="C16" s="11" t="s">
        <v>50</v>
      </c>
      <c r="D16" s="12">
        <v>9</v>
      </c>
      <c r="E16" s="13" t="s">
        <v>51</v>
      </c>
      <c r="F16" s="12" t="s">
        <v>45</v>
      </c>
      <c r="G16" s="77" t="s">
        <v>201</v>
      </c>
      <c r="H16" s="76" t="s">
        <v>201</v>
      </c>
      <c r="I16" s="76" t="s">
        <v>201</v>
      </c>
      <c r="J16" s="76" t="s">
        <v>201</v>
      </c>
      <c r="K16" s="76" t="s">
        <v>201</v>
      </c>
      <c r="L16" s="76" t="s">
        <v>201</v>
      </c>
      <c r="M16" s="76" t="s">
        <v>201</v>
      </c>
      <c r="N16" s="76" t="s">
        <v>201</v>
      </c>
      <c r="O16" s="76" t="s">
        <v>201</v>
      </c>
      <c r="P16" s="76" t="s">
        <v>201</v>
      </c>
      <c r="Q16" s="76">
        <v>0.14190187686759567</v>
      </c>
      <c r="R16" s="76" t="s">
        <v>201</v>
      </c>
      <c r="S16" s="76" t="s">
        <v>201</v>
      </c>
      <c r="T16" s="76" t="s">
        <v>201</v>
      </c>
      <c r="U16" s="76" t="s">
        <v>201</v>
      </c>
      <c r="V16" s="76" t="s">
        <v>201</v>
      </c>
      <c r="W16" s="76" t="s">
        <v>201</v>
      </c>
      <c r="X16" s="76" t="s">
        <v>201</v>
      </c>
    </row>
    <row r="17" spans="2:24" ht="35.1" customHeight="1" x14ac:dyDescent="0.2">
      <c r="B17" s="88"/>
      <c r="C17" s="11" t="s">
        <v>52</v>
      </c>
      <c r="D17" s="12">
        <v>10</v>
      </c>
      <c r="E17" s="13" t="s">
        <v>53</v>
      </c>
      <c r="F17" s="12" t="s">
        <v>45</v>
      </c>
      <c r="G17" s="77" t="s">
        <v>201</v>
      </c>
      <c r="H17" s="76" t="s">
        <v>201</v>
      </c>
      <c r="I17" s="76" t="s">
        <v>201</v>
      </c>
      <c r="J17" s="76" t="s">
        <v>201</v>
      </c>
      <c r="K17" s="76" t="s">
        <v>201</v>
      </c>
      <c r="L17" s="76" t="s">
        <v>201</v>
      </c>
      <c r="M17" s="76" t="s">
        <v>201</v>
      </c>
      <c r="N17" s="76" t="s">
        <v>201</v>
      </c>
      <c r="O17" s="76" t="s">
        <v>201</v>
      </c>
      <c r="P17" s="76" t="s">
        <v>201</v>
      </c>
      <c r="Q17" s="76">
        <v>0.14190187686759567</v>
      </c>
      <c r="R17" s="76" t="s">
        <v>201</v>
      </c>
      <c r="S17" s="76" t="s">
        <v>201</v>
      </c>
      <c r="T17" s="76" t="s">
        <v>201</v>
      </c>
      <c r="U17" s="76" t="s">
        <v>201</v>
      </c>
      <c r="V17" s="76" t="s">
        <v>201</v>
      </c>
      <c r="W17" s="76" t="s">
        <v>201</v>
      </c>
      <c r="X17" s="76" t="s">
        <v>201</v>
      </c>
    </row>
    <row r="18" spans="2:24" ht="35.1" customHeight="1" x14ac:dyDescent="0.2">
      <c r="B18" s="88"/>
      <c r="C18" s="11" t="s">
        <v>54</v>
      </c>
      <c r="D18" s="12">
        <v>11</v>
      </c>
      <c r="E18" s="13" t="s">
        <v>55</v>
      </c>
      <c r="F18" s="12" t="s">
        <v>45</v>
      </c>
      <c r="G18" s="77" t="s">
        <v>201</v>
      </c>
      <c r="H18" s="76" t="s">
        <v>201</v>
      </c>
      <c r="I18" s="76" t="s">
        <v>201</v>
      </c>
      <c r="J18" s="76" t="s">
        <v>201</v>
      </c>
      <c r="K18" s="76" t="s">
        <v>201</v>
      </c>
      <c r="L18" s="76" t="s">
        <v>201</v>
      </c>
      <c r="M18" s="76" t="s">
        <v>201</v>
      </c>
      <c r="N18" s="76" t="s">
        <v>201</v>
      </c>
      <c r="O18" s="76" t="s">
        <v>201</v>
      </c>
      <c r="P18" s="76" t="s">
        <v>201</v>
      </c>
      <c r="Q18" s="76">
        <v>0.14190187686759567</v>
      </c>
      <c r="R18" s="76" t="s">
        <v>201</v>
      </c>
      <c r="S18" s="76" t="s">
        <v>201</v>
      </c>
      <c r="T18" s="76" t="s">
        <v>201</v>
      </c>
      <c r="U18" s="76" t="s">
        <v>201</v>
      </c>
      <c r="V18" s="76" t="s">
        <v>201</v>
      </c>
      <c r="W18" s="76" t="s">
        <v>201</v>
      </c>
      <c r="X18" s="76" t="s">
        <v>201</v>
      </c>
    </row>
    <row r="19" spans="2:24" ht="35.1" customHeight="1" x14ac:dyDescent="0.2">
      <c r="B19" s="88"/>
      <c r="C19" s="11" t="s">
        <v>56</v>
      </c>
      <c r="D19" s="12">
        <v>19</v>
      </c>
      <c r="E19" s="13" t="s">
        <v>57</v>
      </c>
      <c r="F19" s="12" t="s">
        <v>45</v>
      </c>
      <c r="G19" s="77" t="s">
        <v>201</v>
      </c>
      <c r="H19" s="76" t="s">
        <v>201</v>
      </c>
      <c r="I19" s="76" t="s">
        <v>201</v>
      </c>
      <c r="J19" s="76" t="s">
        <v>201</v>
      </c>
      <c r="K19" s="76" t="s">
        <v>201</v>
      </c>
      <c r="L19" s="76" t="s">
        <v>201</v>
      </c>
      <c r="M19" s="76" t="s">
        <v>201</v>
      </c>
      <c r="N19" s="76" t="s">
        <v>201</v>
      </c>
      <c r="O19" s="76" t="s">
        <v>201</v>
      </c>
      <c r="P19" s="76" t="s">
        <v>201</v>
      </c>
      <c r="Q19" s="76">
        <v>0.14190187686759567</v>
      </c>
      <c r="R19" s="76" t="s">
        <v>201</v>
      </c>
      <c r="S19" s="76" t="s">
        <v>201</v>
      </c>
      <c r="T19" s="76" t="s">
        <v>201</v>
      </c>
      <c r="U19" s="76" t="s">
        <v>201</v>
      </c>
      <c r="V19" s="76" t="s">
        <v>201</v>
      </c>
      <c r="W19" s="76" t="s">
        <v>201</v>
      </c>
      <c r="X19" s="76" t="s">
        <v>201</v>
      </c>
    </row>
    <row r="20" spans="2:24" ht="35.1" customHeight="1" x14ac:dyDescent="0.2">
      <c r="B20" s="88"/>
      <c r="C20" s="11" t="s">
        <v>58</v>
      </c>
      <c r="D20" s="12">
        <v>20</v>
      </c>
      <c r="E20" s="13" t="s">
        <v>59</v>
      </c>
      <c r="F20" s="12" t="s">
        <v>33</v>
      </c>
      <c r="G20" s="77" t="s">
        <v>201</v>
      </c>
      <c r="H20" s="76" t="s">
        <v>201</v>
      </c>
      <c r="I20" s="76" t="s">
        <v>201</v>
      </c>
      <c r="J20" s="76" t="s">
        <v>201</v>
      </c>
      <c r="K20" s="76">
        <v>0.16903017685698893</v>
      </c>
      <c r="L20" s="76" t="s">
        <v>201</v>
      </c>
      <c r="M20" s="76" t="s">
        <v>201</v>
      </c>
      <c r="N20" s="76" t="s">
        <v>201</v>
      </c>
      <c r="O20" s="76" t="s">
        <v>201</v>
      </c>
      <c r="P20" s="76">
        <v>0.14190187686759567</v>
      </c>
      <c r="Q20" s="76" t="s">
        <v>201</v>
      </c>
      <c r="R20" s="76" t="s">
        <v>201</v>
      </c>
      <c r="S20" s="76" t="s">
        <v>201</v>
      </c>
      <c r="T20" s="76" t="s">
        <v>201</v>
      </c>
      <c r="U20" s="76" t="s">
        <v>201</v>
      </c>
      <c r="V20" s="76" t="s">
        <v>201</v>
      </c>
      <c r="W20" s="76" t="s">
        <v>201</v>
      </c>
      <c r="X20" s="76" t="s">
        <v>201</v>
      </c>
    </row>
    <row r="21" spans="2:24" ht="4.5" customHeight="1" x14ac:dyDescent="0.3">
      <c r="B21" s="18"/>
      <c r="C21" s="18"/>
      <c r="D21" s="19"/>
      <c r="E21" s="18"/>
      <c r="F21" s="19"/>
      <c r="G21" s="20"/>
      <c r="H21" s="20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0"/>
      <c r="X21" s="20"/>
    </row>
    <row r="22" spans="2:24" ht="16.5" x14ac:dyDescent="0.3">
      <c r="B22" s="22" t="s">
        <v>60</v>
      </c>
      <c r="C22" s="18"/>
      <c r="D22" s="19"/>
      <c r="E22" s="18"/>
      <c r="F22" s="19"/>
      <c r="G22" s="20"/>
      <c r="H22" s="2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0"/>
      <c r="X22" s="20"/>
    </row>
    <row r="23" spans="2:24" ht="12.75" customHeight="1" x14ac:dyDescent="0.25">
      <c r="B23" s="22" t="s">
        <v>61</v>
      </c>
      <c r="C23" s="22"/>
      <c r="D23" s="23"/>
      <c r="E23" s="22"/>
      <c r="F23" s="23"/>
      <c r="G23" s="24"/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4"/>
      <c r="X23" s="24"/>
    </row>
    <row r="24" spans="2:24" ht="5.0999999999999996" customHeight="1" x14ac:dyDescent="0.25">
      <c r="B24" s="22"/>
      <c r="C24" s="22"/>
      <c r="D24" s="22"/>
      <c r="E24" s="22"/>
      <c r="F24" s="22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6"/>
      <c r="S24" s="26"/>
      <c r="T24" s="26"/>
      <c r="U24" s="23"/>
      <c r="V24" s="23"/>
      <c r="W24" s="23"/>
      <c r="X24" s="23"/>
    </row>
    <row r="25" spans="2:24" ht="62.1" customHeight="1" x14ac:dyDescent="0.2">
      <c r="B25" s="66" t="s">
        <v>14</v>
      </c>
      <c r="C25" s="73" t="s">
        <v>15</v>
      </c>
      <c r="D25" s="73" t="s">
        <v>16</v>
      </c>
      <c r="E25" s="73" t="s">
        <v>17</v>
      </c>
      <c r="F25" s="66" t="s">
        <v>18</v>
      </c>
      <c r="G25" s="66" t="s">
        <v>0</v>
      </c>
      <c r="H25" s="66" t="s">
        <v>1</v>
      </c>
      <c r="I25" s="66" t="s">
        <v>2</v>
      </c>
      <c r="J25" s="66" t="s">
        <v>3</v>
      </c>
      <c r="K25" s="66" t="s">
        <v>4</v>
      </c>
      <c r="L25" s="66" t="s">
        <v>19</v>
      </c>
      <c r="M25" s="66" t="s">
        <v>6</v>
      </c>
      <c r="N25" s="66" t="s">
        <v>7</v>
      </c>
      <c r="O25" s="66" t="s">
        <v>8</v>
      </c>
      <c r="P25" s="66" t="s">
        <v>20</v>
      </c>
      <c r="Q25" s="66" t="s">
        <v>10</v>
      </c>
      <c r="R25" s="66" t="s">
        <v>11</v>
      </c>
      <c r="S25" s="66" t="s">
        <v>12</v>
      </c>
      <c r="T25" s="66" t="s">
        <v>13</v>
      </c>
      <c r="U25" s="66" t="s">
        <v>22</v>
      </c>
      <c r="V25" s="66" t="s">
        <v>23</v>
      </c>
      <c r="W25" s="66" t="s">
        <v>24</v>
      </c>
      <c r="X25" s="66" t="s">
        <v>25</v>
      </c>
    </row>
    <row r="26" spans="2:24" ht="18" customHeight="1" x14ac:dyDescent="0.2">
      <c r="B26" s="67"/>
      <c r="C26" s="74"/>
      <c r="D26" s="74"/>
      <c r="E26" s="74"/>
      <c r="F26" s="67"/>
      <c r="G26" s="68" t="s">
        <v>26</v>
      </c>
      <c r="H26" s="68" t="s">
        <v>27</v>
      </c>
      <c r="I26" s="68" t="s">
        <v>27</v>
      </c>
      <c r="J26" s="68" t="s">
        <v>27</v>
      </c>
      <c r="K26" s="68" t="s">
        <v>27</v>
      </c>
      <c r="L26" s="68" t="s">
        <v>27</v>
      </c>
      <c r="M26" s="68" t="s">
        <v>27</v>
      </c>
      <c r="N26" s="68" t="s">
        <v>27</v>
      </c>
      <c r="O26" s="68" t="s">
        <v>27</v>
      </c>
      <c r="P26" s="68" t="s">
        <v>27</v>
      </c>
      <c r="Q26" s="68" t="s">
        <v>27</v>
      </c>
      <c r="R26" s="68" t="s">
        <v>27</v>
      </c>
      <c r="S26" s="68" t="s">
        <v>27</v>
      </c>
      <c r="T26" s="68" t="s">
        <v>27</v>
      </c>
      <c r="U26" s="68" t="s">
        <v>28</v>
      </c>
      <c r="V26" s="68" t="s">
        <v>28</v>
      </c>
      <c r="W26" s="68" t="s">
        <v>29</v>
      </c>
      <c r="X26" s="68" t="s">
        <v>29</v>
      </c>
    </row>
    <row r="27" spans="2:24" ht="35.1" customHeight="1" x14ac:dyDescent="0.2">
      <c r="B27" s="87" t="s">
        <v>62</v>
      </c>
      <c r="C27" s="27" t="s">
        <v>63</v>
      </c>
      <c r="D27" s="10">
        <v>1</v>
      </c>
      <c r="E27" s="28" t="s">
        <v>32</v>
      </c>
      <c r="F27" s="10" t="s">
        <v>33</v>
      </c>
      <c r="G27" s="77" t="s">
        <v>201</v>
      </c>
      <c r="H27" s="76" t="s">
        <v>201</v>
      </c>
      <c r="I27" s="76">
        <v>0.16903017685698893</v>
      </c>
      <c r="J27" s="76">
        <v>0.16903017685698893</v>
      </c>
      <c r="K27" s="76" t="s">
        <v>201</v>
      </c>
      <c r="L27" s="76" t="s">
        <v>201</v>
      </c>
      <c r="M27" s="76" t="s">
        <v>201</v>
      </c>
      <c r="N27" s="76" t="s">
        <v>201</v>
      </c>
      <c r="O27" s="76" t="s">
        <v>201</v>
      </c>
      <c r="P27" s="76" t="s">
        <v>201</v>
      </c>
      <c r="Q27" s="76" t="s">
        <v>201</v>
      </c>
      <c r="R27" s="76" t="s">
        <v>201</v>
      </c>
      <c r="S27" s="76" t="s">
        <v>201</v>
      </c>
      <c r="T27" s="76" t="s">
        <v>201</v>
      </c>
      <c r="U27" s="76" t="s">
        <v>201</v>
      </c>
      <c r="V27" s="76" t="s">
        <v>201</v>
      </c>
      <c r="W27" s="76" t="s">
        <v>201</v>
      </c>
      <c r="X27" s="76" t="s">
        <v>201</v>
      </c>
    </row>
    <row r="28" spans="2:24" ht="35.1" customHeight="1" x14ac:dyDescent="0.2">
      <c r="B28" s="87"/>
      <c r="C28" s="27" t="s">
        <v>64</v>
      </c>
      <c r="D28" s="10">
        <v>1</v>
      </c>
      <c r="E28" s="28" t="s">
        <v>35</v>
      </c>
      <c r="F28" s="10" t="s">
        <v>33</v>
      </c>
      <c r="G28" s="77" t="s">
        <v>201</v>
      </c>
      <c r="H28" s="76" t="s">
        <v>201</v>
      </c>
      <c r="I28" s="76">
        <v>0.16903017685698893</v>
      </c>
      <c r="J28" s="76">
        <v>0.16903017685698893</v>
      </c>
      <c r="K28" s="76" t="s">
        <v>201</v>
      </c>
      <c r="L28" s="76" t="s">
        <v>201</v>
      </c>
      <c r="M28" s="76" t="s">
        <v>201</v>
      </c>
      <c r="N28" s="76" t="s">
        <v>201</v>
      </c>
      <c r="O28" s="76" t="s">
        <v>201</v>
      </c>
      <c r="P28" s="76" t="s">
        <v>201</v>
      </c>
      <c r="Q28" s="76" t="s">
        <v>201</v>
      </c>
      <c r="R28" s="76" t="s">
        <v>201</v>
      </c>
      <c r="S28" s="76" t="s">
        <v>201</v>
      </c>
      <c r="T28" s="76" t="s">
        <v>201</v>
      </c>
      <c r="U28" s="76" t="s">
        <v>201</v>
      </c>
      <c r="V28" s="76" t="s">
        <v>201</v>
      </c>
      <c r="W28" s="76" t="s">
        <v>201</v>
      </c>
      <c r="X28" s="76" t="s">
        <v>201</v>
      </c>
    </row>
    <row r="29" spans="2:24" ht="35.1" customHeight="1" x14ac:dyDescent="0.2">
      <c r="B29" s="87"/>
      <c r="C29" s="27" t="s">
        <v>65</v>
      </c>
      <c r="D29" s="10" t="s">
        <v>66</v>
      </c>
      <c r="E29" s="28" t="s">
        <v>67</v>
      </c>
      <c r="F29" s="10" t="s">
        <v>45</v>
      </c>
      <c r="G29" s="77" t="s">
        <v>201</v>
      </c>
      <c r="H29" s="76" t="s">
        <v>201</v>
      </c>
      <c r="I29" s="76">
        <v>0.16903017685698893</v>
      </c>
      <c r="J29" s="76">
        <v>0.16903017685698893</v>
      </c>
      <c r="K29" s="76" t="s">
        <v>201</v>
      </c>
      <c r="L29" s="76" t="s">
        <v>201</v>
      </c>
      <c r="M29" s="76" t="s">
        <v>201</v>
      </c>
      <c r="N29" s="76" t="s">
        <v>201</v>
      </c>
      <c r="O29" s="76" t="s">
        <v>201</v>
      </c>
      <c r="P29" s="76" t="s">
        <v>201</v>
      </c>
      <c r="Q29" s="76">
        <v>0.14190187686759567</v>
      </c>
      <c r="R29" s="76" t="s">
        <v>201</v>
      </c>
      <c r="S29" s="76" t="s">
        <v>201</v>
      </c>
      <c r="T29" s="76" t="s">
        <v>201</v>
      </c>
      <c r="U29" s="76" t="s">
        <v>201</v>
      </c>
      <c r="V29" s="76" t="s">
        <v>201</v>
      </c>
      <c r="W29" s="76" t="s">
        <v>201</v>
      </c>
      <c r="X29" s="76" t="s">
        <v>201</v>
      </c>
    </row>
    <row r="30" spans="2:24" ht="35.1" customHeight="1" x14ac:dyDescent="0.2">
      <c r="B30" s="87"/>
      <c r="C30" s="27" t="s">
        <v>68</v>
      </c>
      <c r="D30" s="10" t="s">
        <v>69</v>
      </c>
      <c r="E30" s="28" t="s">
        <v>70</v>
      </c>
      <c r="F30" s="10" t="s">
        <v>45</v>
      </c>
      <c r="G30" s="77" t="s">
        <v>201</v>
      </c>
      <c r="H30" s="76" t="s">
        <v>201</v>
      </c>
      <c r="I30" s="76">
        <v>0.16903017685698893</v>
      </c>
      <c r="J30" s="76">
        <v>0.16903017685698893</v>
      </c>
      <c r="K30" s="76" t="s">
        <v>201</v>
      </c>
      <c r="L30" s="76" t="s">
        <v>201</v>
      </c>
      <c r="M30" s="76" t="s">
        <v>201</v>
      </c>
      <c r="N30" s="76" t="s">
        <v>201</v>
      </c>
      <c r="O30" s="76" t="s">
        <v>201</v>
      </c>
      <c r="P30" s="76" t="s">
        <v>201</v>
      </c>
      <c r="Q30" s="76">
        <v>0.14190187686759567</v>
      </c>
      <c r="R30" s="76" t="s">
        <v>201</v>
      </c>
      <c r="S30" s="76" t="s">
        <v>201</v>
      </c>
      <c r="T30" s="76" t="s">
        <v>201</v>
      </c>
      <c r="U30" s="76" t="s">
        <v>201</v>
      </c>
      <c r="V30" s="76" t="s">
        <v>201</v>
      </c>
      <c r="W30" s="76" t="s">
        <v>201</v>
      </c>
      <c r="X30" s="76" t="s">
        <v>201</v>
      </c>
    </row>
    <row r="31" spans="2:24" ht="35.1" customHeight="1" x14ac:dyDescent="0.2">
      <c r="B31" s="87"/>
      <c r="C31" s="27" t="s">
        <v>71</v>
      </c>
      <c r="D31" s="10" t="s">
        <v>72</v>
      </c>
      <c r="E31" s="28" t="s">
        <v>73</v>
      </c>
      <c r="F31" s="10" t="s">
        <v>45</v>
      </c>
      <c r="G31" s="77" t="s">
        <v>201</v>
      </c>
      <c r="H31" s="76" t="s">
        <v>201</v>
      </c>
      <c r="I31" s="76">
        <v>0.16903017685698893</v>
      </c>
      <c r="J31" s="76">
        <v>0.16903017685698893</v>
      </c>
      <c r="K31" s="76" t="s">
        <v>201</v>
      </c>
      <c r="L31" s="76" t="s">
        <v>201</v>
      </c>
      <c r="M31" s="76" t="s">
        <v>201</v>
      </c>
      <c r="N31" s="76" t="s">
        <v>201</v>
      </c>
      <c r="O31" s="76" t="s">
        <v>201</v>
      </c>
      <c r="P31" s="76" t="s">
        <v>201</v>
      </c>
      <c r="Q31" s="76">
        <v>0.14190187686759567</v>
      </c>
      <c r="R31" s="76" t="s">
        <v>201</v>
      </c>
      <c r="S31" s="76" t="s">
        <v>201</v>
      </c>
      <c r="T31" s="76" t="s">
        <v>201</v>
      </c>
      <c r="U31" s="76" t="s">
        <v>201</v>
      </c>
      <c r="V31" s="76" t="s">
        <v>201</v>
      </c>
      <c r="W31" s="76" t="s">
        <v>201</v>
      </c>
      <c r="X31" s="76" t="s">
        <v>201</v>
      </c>
    </row>
    <row r="32" spans="2:24" ht="35.1" customHeight="1" x14ac:dyDescent="0.2">
      <c r="B32" s="87"/>
      <c r="C32" s="27" t="s">
        <v>74</v>
      </c>
      <c r="D32" s="10">
        <v>17</v>
      </c>
      <c r="E32" s="28" t="s">
        <v>75</v>
      </c>
      <c r="F32" s="29" t="s">
        <v>33</v>
      </c>
      <c r="G32" s="77" t="s">
        <v>201</v>
      </c>
      <c r="H32" s="76" t="s">
        <v>201</v>
      </c>
      <c r="I32" s="76" t="s">
        <v>201</v>
      </c>
      <c r="J32" s="76" t="s">
        <v>201</v>
      </c>
      <c r="K32" s="76">
        <v>0.16903017685698893</v>
      </c>
      <c r="L32" s="76" t="s">
        <v>201</v>
      </c>
      <c r="M32" s="76" t="s">
        <v>201</v>
      </c>
      <c r="N32" s="76" t="s">
        <v>201</v>
      </c>
      <c r="O32" s="76" t="s">
        <v>201</v>
      </c>
      <c r="P32" s="76">
        <v>0.14190187686759567</v>
      </c>
      <c r="Q32" s="76" t="s">
        <v>201</v>
      </c>
      <c r="R32" s="76" t="s">
        <v>201</v>
      </c>
      <c r="S32" s="76" t="s">
        <v>201</v>
      </c>
      <c r="T32" s="76" t="s">
        <v>201</v>
      </c>
      <c r="U32" s="76" t="s">
        <v>201</v>
      </c>
      <c r="V32" s="76" t="s">
        <v>201</v>
      </c>
      <c r="W32" s="76" t="s">
        <v>201</v>
      </c>
      <c r="X32" s="76" t="s">
        <v>201</v>
      </c>
    </row>
    <row r="33" spans="2:24" ht="35.1" customHeight="1" x14ac:dyDescent="0.2">
      <c r="B33" s="87"/>
      <c r="C33" s="27" t="s">
        <v>76</v>
      </c>
      <c r="D33" s="10">
        <v>17</v>
      </c>
      <c r="E33" s="28" t="s">
        <v>77</v>
      </c>
      <c r="F33" s="29" t="s">
        <v>33</v>
      </c>
      <c r="G33" s="77" t="s">
        <v>201</v>
      </c>
      <c r="H33" s="76" t="s">
        <v>201</v>
      </c>
      <c r="I33" s="76" t="s">
        <v>201</v>
      </c>
      <c r="J33" s="76" t="s">
        <v>201</v>
      </c>
      <c r="K33" s="76">
        <v>0.16903017685698893</v>
      </c>
      <c r="L33" s="76" t="s">
        <v>201</v>
      </c>
      <c r="M33" s="76" t="s">
        <v>201</v>
      </c>
      <c r="N33" s="76" t="s">
        <v>201</v>
      </c>
      <c r="O33" s="76" t="s">
        <v>201</v>
      </c>
      <c r="P33" s="76">
        <v>0.14190187686759567</v>
      </c>
      <c r="Q33" s="76" t="s">
        <v>201</v>
      </c>
      <c r="R33" s="76" t="s">
        <v>201</v>
      </c>
      <c r="S33" s="76" t="s">
        <v>201</v>
      </c>
      <c r="T33" s="76" t="s">
        <v>201</v>
      </c>
      <c r="U33" s="76" t="s">
        <v>201</v>
      </c>
      <c r="V33" s="76" t="s">
        <v>201</v>
      </c>
      <c r="W33" s="76" t="s">
        <v>201</v>
      </c>
      <c r="X33" s="76" t="s">
        <v>201</v>
      </c>
    </row>
    <row r="34" spans="2:24" ht="35.1" customHeight="1" x14ac:dyDescent="0.2">
      <c r="B34" s="87"/>
      <c r="C34" s="30" t="s">
        <v>78</v>
      </c>
      <c r="D34" s="29">
        <v>15</v>
      </c>
      <c r="E34" s="31" t="s">
        <v>79</v>
      </c>
      <c r="F34" s="29" t="s">
        <v>33</v>
      </c>
      <c r="G34" s="77" t="s">
        <v>201</v>
      </c>
      <c r="H34" s="76">
        <v>0.16903017685698893</v>
      </c>
      <c r="I34" s="76" t="s">
        <v>201</v>
      </c>
      <c r="J34" s="76" t="s">
        <v>201</v>
      </c>
      <c r="K34" s="76" t="s">
        <v>201</v>
      </c>
      <c r="L34" s="76" t="s">
        <v>201</v>
      </c>
      <c r="M34" s="76" t="s">
        <v>201</v>
      </c>
      <c r="N34" s="76" t="s">
        <v>201</v>
      </c>
      <c r="O34" s="76" t="s">
        <v>201</v>
      </c>
      <c r="P34" s="76" t="s">
        <v>201</v>
      </c>
      <c r="Q34" s="76" t="s">
        <v>201</v>
      </c>
      <c r="R34" s="76" t="s">
        <v>201</v>
      </c>
      <c r="S34" s="76" t="s">
        <v>201</v>
      </c>
      <c r="T34" s="76" t="s">
        <v>201</v>
      </c>
      <c r="U34" s="76" t="s">
        <v>201</v>
      </c>
      <c r="V34" s="76" t="s">
        <v>201</v>
      </c>
      <c r="W34" s="76" t="s">
        <v>201</v>
      </c>
      <c r="X34" s="76" t="s">
        <v>201</v>
      </c>
    </row>
    <row r="35" spans="2:24" ht="35.1" customHeight="1" x14ac:dyDescent="0.2">
      <c r="B35" s="87"/>
      <c r="C35" s="30" t="s">
        <v>80</v>
      </c>
      <c r="D35" s="29">
        <v>15</v>
      </c>
      <c r="E35" s="31" t="s">
        <v>81</v>
      </c>
      <c r="F35" s="29" t="s">
        <v>33</v>
      </c>
      <c r="G35" s="77" t="s">
        <v>201</v>
      </c>
      <c r="H35" s="76">
        <v>0.16903017685698893</v>
      </c>
      <c r="I35" s="76" t="s">
        <v>201</v>
      </c>
      <c r="J35" s="76" t="s">
        <v>201</v>
      </c>
      <c r="K35" s="76" t="s">
        <v>201</v>
      </c>
      <c r="L35" s="76" t="s">
        <v>201</v>
      </c>
      <c r="M35" s="76" t="s">
        <v>201</v>
      </c>
      <c r="N35" s="76" t="s">
        <v>201</v>
      </c>
      <c r="O35" s="76" t="s">
        <v>201</v>
      </c>
      <c r="P35" s="76" t="s">
        <v>201</v>
      </c>
      <c r="Q35" s="76" t="s">
        <v>201</v>
      </c>
      <c r="R35" s="76" t="s">
        <v>201</v>
      </c>
      <c r="S35" s="76" t="s">
        <v>201</v>
      </c>
      <c r="T35" s="76" t="s">
        <v>201</v>
      </c>
      <c r="U35" s="76" t="s">
        <v>201</v>
      </c>
      <c r="V35" s="76" t="s">
        <v>201</v>
      </c>
      <c r="W35" s="76" t="s">
        <v>201</v>
      </c>
      <c r="X35" s="76" t="s">
        <v>201</v>
      </c>
    </row>
    <row r="36" spans="2:24" ht="35.1" customHeight="1" x14ac:dyDescent="0.2">
      <c r="B36" s="87"/>
      <c r="C36" s="27" t="s">
        <v>82</v>
      </c>
      <c r="D36" s="29">
        <v>15</v>
      </c>
      <c r="E36" s="28" t="s">
        <v>83</v>
      </c>
      <c r="F36" s="10" t="s">
        <v>33</v>
      </c>
      <c r="G36" s="77" t="s">
        <v>201</v>
      </c>
      <c r="H36" s="76">
        <v>0.16903017685698893</v>
      </c>
      <c r="I36" s="76" t="s">
        <v>201</v>
      </c>
      <c r="J36" s="76" t="s">
        <v>201</v>
      </c>
      <c r="K36" s="76" t="s">
        <v>201</v>
      </c>
      <c r="L36" s="76" t="s">
        <v>201</v>
      </c>
      <c r="M36" s="76" t="s">
        <v>201</v>
      </c>
      <c r="N36" s="76" t="s">
        <v>201</v>
      </c>
      <c r="O36" s="76" t="s">
        <v>201</v>
      </c>
      <c r="P36" s="76" t="s">
        <v>201</v>
      </c>
      <c r="Q36" s="76" t="s">
        <v>201</v>
      </c>
      <c r="R36" s="76" t="s">
        <v>201</v>
      </c>
      <c r="S36" s="76" t="s">
        <v>201</v>
      </c>
      <c r="T36" s="76" t="s">
        <v>201</v>
      </c>
      <c r="U36" s="76" t="s">
        <v>201</v>
      </c>
      <c r="V36" s="76" t="s">
        <v>201</v>
      </c>
      <c r="W36" s="76" t="s">
        <v>201</v>
      </c>
      <c r="X36" s="76" t="s">
        <v>201</v>
      </c>
    </row>
    <row r="37" spans="2:24" ht="35.1" customHeight="1" x14ac:dyDescent="0.2">
      <c r="B37" s="87"/>
      <c r="C37" s="30" t="s">
        <v>84</v>
      </c>
      <c r="D37" s="29">
        <v>2</v>
      </c>
      <c r="E37" s="31" t="s">
        <v>85</v>
      </c>
      <c r="F37" s="29" t="s">
        <v>33</v>
      </c>
      <c r="G37" s="77" t="s">
        <v>201</v>
      </c>
      <c r="H37" s="76" t="s">
        <v>201</v>
      </c>
      <c r="I37" s="76" t="s">
        <v>201</v>
      </c>
      <c r="J37" s="76" t="s">
        <v>201</v>
      </c>
      <c r="K37" s="76">
        <v>0.16903017685698893</v>
      </c>
      <c r="L37" s="76" t="s">
        <v>201</v>
      </c>
      <c r="M37" s="76" t="s">
        <v>201</v>
      </c>
      <c r="N37" s="76" t="s">
        <v>201</v>
      </c>
      <c r="O37" s="76" t="s">
        <v>201</v>
      </c>
      <c r="P37" s="76">
        <v>0.14190187686759567</v>
      </c>
      <c r="Q37" s="76" t="s">
        <v>201</v>
      </c>
      <c r="R37" s="76" t="s">
        <v>201</v>
      </c>
      <c r="S37" s="76" t="s">
        <v>201</v>
      </c>
      <c r="T37" s="76" t="s">
        <v>201</v>
      </c>
      <c r="U37" s="76" t="s">
        <v>201</v>
      </c>
      <c r="V37" s="76" t="s">
        <v>201</v>
      </c>
      <c r="W37" s="76" t="s">
        <v>201</v>
      </c>
      <c r="X37" s="76" t="s">
        <v>201</v>
      </c>
    </row>
    <row r="38" spans="2:24" ht="35.1" customHeight="1" x14ac:dyDescent="0.2">
      <c r="B38" s="87"/>
      <c r="C38" s="30" t="s">
        <v>86</v>
      </c>
      <c r="D38" s="29">
        <v>2</v>
      </c>
      <c r="E38" s="31" t="s">
        <v>87</v>
      </c>
      <c r="F38" s="29" t="s">
        <v>33</v>
      </c>
      <c r="G38" s="77" t="s">
        <v>201</v>
      </c>
      <c r="H38" s="76" t="s">
        <v>201</v>
      </c>
      <c r="I38" s="76" t="s">
        <v>201</v>
      </c>
      <c r="J38" s="76" t="s">
        <v>201</v>
      </c>
      <c r="K38" s="76">
        <v>0.16903017685698893</v>
      </c>
      <c r="L38" s="76" t="s">
        <v>201</v>
      </c>
      <c r="M38" s="76" t="s">
        <v>201</v>
      </c>
      <c r="N38" s="76" t="s">
        <v>201</v>
      </c>
      <c r="O38" s="76" t="s">
        <v>201</v>
      </c>
      <c r="P38" s="76">
        <v>0.14190187686759567</v>
      </c>
      <c r="Q38" s="76" t="s">
        <v>201</v>
      </c>
      <c r="R38" s="76" t="s">
        <v>201</v>
      </c>
      <c r="S38" s="76" t="s">
        <v>201</v>
      </c>
      <c r="T38" s="76" t="s">
        <v>201</v>
      </c>
      <c r="U38" s="76" t="s">
        <v>201</v>
      </c>
      <c r="V38" s="76" t="s">
        <v>201</v>
      </c>
      <c r="W38" s="76" t="s">
        <v>201</v>
      </c>
      <c r="X38" s="76" t="s">
        <v>201</v>
      </c>
    </row>
    <row r="39" spans="2:24" ht="35.1" customHeight="1" x14ac:dyDescent="0.2">
      <c r="B39" s="87"/>
      <c r="C39" s="27" t="s">
        <v>88</v>
      </c>
      <c r="D39" s="10">
        <v>7</v>
      </c>
      <c r="E39" s="28" t="s">
        <v>47</v>
      </c>
      <c r="F39" s="10" t="s">
        <v>45</v>
      </c>
      <c r="G39" s="77" t="s">
        <v>201</v>
      </c>
      <c r="H39" s="76" t="s">
        <v>201</v>
      </c>
      <c r="I39" s="76" t="s">
        <v>201</v>
      </c>
      <c r="J39" s="76" t="s">
        <v>201</v>
      </c>
      <c r="K39" s="76" t="s">
        <v>201</v>
      </c>
      <c r="L39" s="76" t="s">
        <v>201</v>
      </c>
      <c r="M39" s="76">
        <v>0.16903017685698893</v>
      </c>
      <c r="N39" s="76">
        <v>0.16903017685698893</v>
      </c>
      <c r="O39" s="76">
        <v>0.16903017685698893</v>
      </c>
      <c r="P39" s="76">
        <v>0.14190187686759567</v>
      </c>
      <c r="Q39" s="76" t="s">
        <v>201</v>
      </c>
      <c r="R39" s="76" t="s">
        <v>201</v>
      </c>
      <c r="S39" s="76" t="s">
        <v>201</v>
      </c>
      <c r="T39" s="76" t="s">
        <v>201</v>
      </c>
      <c r="U39" s="76" t="s">
        <v>201</v>
      </c>
      <c r="V39" s="76" t="s">
        <v>201</v>
      </c>
      <c r="W39" s="76" t="s">
        <v>201</v>
      </c>
      <c r="X39" s="76" t="s">
        <v>201</v>
      </c>
    </row>
    <row r="40" spans="2:24" ht="35.1" customHeight="1" x14ac:dyDescent="0.2">
      <c r="B40" s="87"/>
      <c r="C40" s="30" t="s">
        <v>89</v>
      </c>
      <c r="D40" s="29">
        <v>7</v>
      </c>
      <c r="E40" s="31" t="s">
        <v>90</v>
      </c>
      <c r="F40" s="29" t="s">
        <v>45</v>
      </c>
      <c r="G40" s="77" t="s">
        <v>201</v>
      </c>
      <c r="H40" s="76" t="s">
        <v>201</v>
      </c>
      <c r="I40" s="76" t="s">
        <v>201</v>
      </c>
      <c r="J40" s="76" t="s">
        <v>201</v>
      </c>
      <c r="K40" s="76" t="s">
        <v>201</v>
      </c>
      <c r="L40" s="76" t="s">
        <v>201</v>
      </c>
      <c r="M40" s="76">
        <v>0.16903017685698893</v>
      </c>
      <c r="N40" s="76">
        <v>0.16903017685698893</v>
      </c>
      <c r="O40" s="76">
        <v>0.16903017685698893</v>
      </c>
      <c r="P40" s="76">
        <v>0.14190187686759567</v>
      </c>
      <c r="Q40" s="76" t="s">
        <v>201</v>
      </c>
      <c r="R40" s="76" t="s">
        <v>201</v>
      </c>
      <c r="S40" s="76" t="s">
        <v>201</v>
      </c>
      <c r="T40" s="76" t="s">
        <v>201</v>
      </c>
      <c r="U40" s="76" t="s">
        <v>201</v>
      </c>
      <c r="V40" s="76" t="s">
        <v>201</v>
      </c>
      <c r="W40" s="76" t="s">
        <v>201</v>
      </c>
      <c r="X40" s="76" t="s">
        <v>201</v>
      </c>
    </row>
    <row r="41" spans="2:24" ht="35.1" customHeight="1" x14ac:dyDescent="0.2">
      <c r="B41" s="87"/>
      <c r="C41" s="27" t="s">
        <v>91</v>
      </c>
      <c r="D41" s="10">
        <v>7</v>
      </c>
      <c r="E41" s="28" t="s">
        <v>49</v>
      </c>
      <c r="F41" s="10" t="s">
        <v>45</v>
      </c>
      <c r="G41" s="77" t="s">
        <v>201</v>
      </c>
      <c r="H41" s="76" t="s">
        <v>201</v>
      </c>
      <c r="I41" s="76" t="s">
        <v>201</v>
      </c>
      <c r="J41" s="76" t="s">
        <v>201</v>
      </c>
      <c r="K41" s="76" t="s">
        <v>201</v>
      </c>
      <c r="L41" s="76" t="s">
        <v>201</v>
      </c>
      <c r="M41" s="76">
        <v>0.16903017685698893</v>
      </c>
      <c r="N41" s="76">
        <v>0.16903017685698893</v>
      </c>
      <c r="O41" s="76">
        <v>0.16903017685698893</v>
      </c>
      <c r="P41" s="76">
        <v>0.14190187686759567</v>
      </c>
      <c r="Q41" s="76" t="s">
        <v>201</v>
      </c>
      <c r="R41" s="76" t="s">
        <v>201</v>
      </c>
      <c r="S41" s="76" t="s">
        <v>201</v>
      </c>
      <c r="T41" s="76" t="s">
        <v>201</v>
      </c>
      <c r="U41" s="76" t="s">
        <v>201</v>
      </c>
      <c r="V41" s="76" t="s">
        <v>201</v>
      </c>
      <c r="W41" s="76" t="s">
        <v>201</v>
      </c>
      <c r="X41" s="76" t="s">
        <v>201</v>
      </c>
    </row>
    <row r="42" spans="2:24" ht="5.0999999999999996" customHeight="1" x14ac:dyDescent="0.2">
      <c r="B42" s="32"/>
      <c r="C42" s="33"/>
      <c r="D42" s="34"/>
      <c r="E42" s="35"/>
      <c r="F42" s="34"/>
      <c r="G42" s="3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8"/>
      <c r="W42" s="36"/>
      <c r="X42" s="36"/>
    </row>
    <row r="43" spans="2:24" ht="15" customHeight="1" x14ac:dyDescent="0.2">
      <c r="B43" s="32"/>
      <c r="C43" s="33"/>
      <c r="D43" s="34"/>
      <c r="E43" s="35"/>
      <c r="F43" s="34"/>
      <c r="G43" s="36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38"/>
      <c r="W43" s="36"/>
      <c r="X43" s="36"/>
    </row>
    <row r="44" spans="2:24" ht="5.0999999999999996" customHeight="1" x14ac:dyDescent="0.2">
      <c r="B44" s="39"/>
      <c r="C44" s="40"/>
      <c r="D44" s="41"/>
      <c r="E44" s="42"/>
      <c r="F44" s="41"/>
      <c r="G44" s="43"/>
      <c r="H44" s="43"/>
      <c r="I44" s="44"/>
      <c r="J44" s="44"/>
      <c r="K44" s="44"/>
      <c r="L44" s="44"/>
      <c r="M44" s="44"/>
      <c r="N44" s="44"/>
      <c r="O44" s="44"/>
      <c r="P44" s="43"/>
      <c r="Q44" s="44"/>
      <c r="R44" s="44"/>
      <c r="S44" s="44"/>
      <c r="T44" s="44"/>
      <c r="U44" s="43"/>
      <c r="V44" s="43"/>
      <c r="W44" s="43"/>
      <c r="X44" s="43"/>
    </row>
    <row r="45" spans="2:24" ht="62.1" customHeight="1" x14ac:dyDescent="0.2">
      <c r="B45" s="66" t="s">
        <v>14</v>
      </c>
      <c r="C45" s="73" t="s">
        <v>15</v>
      </c>
      <c r="D45" s="73" t="s">
        <v>16</v>
      </c>
      <c r="E45" s="73" t="s">
        <v>17</v>
      </c>
      <c r="F45" s="66" t="s">
        <v>18</v>
      </c>
      <c r="G45" s="66" t="s">
        <v>0</v>
      </c>
      <c r="H45" s="66" t="s">
        <v>1</v>
      </c>
      <c r="I45" s="66" t="s">
        <v>2</v>
      </c>
      <c r="J45" s="66" t="s">
        <v>3</v>
      </c>
      <c r="K45" s="66" t="s">
        <v>4</v>
      </c>
      <c r="L45" s="66" t="s">
        <v>19</v>
      </c>
      <c r="M45" s="66" t="s">
        <v>6</v>
      </c>
      <c r="N45" s="66" t="s">
        <v>7</v>
      </c>
      <c r="O45" s="66" t="s">
        <v>8</v>
      </c>
      <c r="P45" s="66" t="s">
        <v>20</v>
      </c>
      <c r="Q45" s="66" t="s">
        <v>10</v>
      </c>
      <c r="R45" s="66" t="s">
        <v>11</v>
      </c>
      <c r="S45" s="66" t="s">
        <v>12</v>
      </c>
      <c r="T45" s="66" t="s">
        <v>13</v>
      </c>
      <c r="U45" s="66" t="s">
        <v>22</v>
      </c>
      <c r="V45" s="66" t="s">
        <v>23</v>
      </c>
      <c r="W45" s="66" t="s">
        <v>24</v>
      </c>
      <c r="X45" s="66" t="s">
        <v>25</v>
      </c>
    </row>
    <row r="46" spans="2:24" ht="18" customHeight="1" x14ac:dyDescent="0.2">
      <c r="B46" s="67"/>
      <c r="C46" s="74"/>
      <c r="D46" s="74"/>
      <c r="E46" s="74"/>
      <c r="F46" s="67"/>
      <c r="G46" s="68" t="s">
        <v>26</v>
      </c>
      <c r="H46" s="68" t="s">
        <v>27</v>
      </c>
      <c r="I46" s="68" t="s">
        <v>27</v>
      </c>
      <c r="J46" s="68" t="s">
        <v>27</v>
      </c>
      <c r="K46" s="68" t="s">
        <v>27</v>
      </c>
      <c r="L46" s="68" t="s">
        <v>27</v>
      </c>
      <c r="M46" s="68" t="s">
        <v>27</v>
      </c>
      <c r="N46" s="68" t="s">
        <v>27</v>
      </c>
      <c r="O46" s="68" t="s">
        <v>27</v>
      </c>
      <c r="P46" s="68" t="s">
        <v>27</v>
      </c>
      <c r="Q46" s="68" t="s">
        <v>27</v>
      </c>
      <c r="R46" s="68" t="s">
        <v>27</v>
      </c>
      <c r="S46" s="68" t="s">
        <v>27</v>
      </c>
      <c r="T46" s="68" t="s">
        <v>27</v>
      </c>
      <c r="U46" s="68" t="s">
        <v>28</v>
      </c>
      <c r="V46" s="68" t="s">
        <v>28</v>
      </c>
      <c r="W46" s="68" t="s">
        <v>29</v>
      </c>
      <c r="X46" s="68" t="s">
        <v>29</v>
      </c>
    </row>
    <row r="47" spans="2:24" ht="35.1" customHeight="1" x14ac:dyDescent="0.2">
      <c r="B47" s="89" t="s">
        <v>199</v>
      </c>
      <c r="C47" s="27" t="s">
        <v>92</v>
      </c>
      <c r="D47" s="10">
        <v>3</v>
      </c>
      <c r="E47" s="28" t="s">
        <v>93</v>
      </c>
      <c r="F47" s="10" t="s">
        <v>33</v>
      </c>
      <c r="G47" s="77" t="s">
        <v>201</v>
      </c>
      <c r="H47" s="76" t="s">
        <v>201</v>
      </c>
      <c r="I47" s="76" t="s">
        <v>201</v>
      </c>
      <c r="J47" s="76" t="s">
        <v>201</v>
      </c>
      <c r="K47" s="76">
        <v>0.16903017685698893</v>
      </c>
      <c r="L47" s="76" t="s">
        <v>201</v>
      </c>
      <c r="M47" s="76" t="s">
        <v>201</v>
      </c>
      <c r="N47" s="76" t="s">
        <v>201</v>
      </c>
      <c r="O47" s="76" t="s">
        <v>201</v>
      </c>
      <c r="P47" s="76">
        <v>0.14190187686759567</v>
      </c>
      <c r="Q47" s="76" t="s">
        <v>201</v>
      </c>
      <c r="R47" s="76" t="s">
        <v>201</v>
      </c>
      <c r="S47" s="76" t="s">
        <v>201</v>
      </c>
      <c r="T47" s="76" t="s">
        <v>201</v>
      </c>
      <c r="U47" s="76" t="s">
        <v>201</v>
      </c>
      <c r="V47" s="76" t="s">
        <v>201</v>
      </c>
      <c r="W47" s="76" t="s">
        <v>201</v>
      </c>
      <c r="X47" s="76" t="s">
        <v>201</v>
      </c>
    </row>
    <row r="48" spans="2:24" ht="35.1" customHeight="1" x14ac:dyDescent="0.2">
      <c r="B48" s="89"/>
      <c r="C48" s="30" t="s">
        <v>94</v>
      </c>
      <c r="D48" s="29">
        <v>12</v>
      </c>
      <c r="E48" s="31" t="s">
        <v>95</v>
      </c>
      <c r="F48" s="29" t="s">
        <v>33</v>
      </c>
      <c r="G48" s="77">
        <v>67.5962249393924</v>
      </c>
      <c r="H48" s="76" t="s">
        <v>201</v>
      </c>
      <c r="I48" s="76" t="s">
        <v>201</v>
      </c>
      <c r="J48" s="76" t="s">
        <v>201</v>
      </c>
      <c r="K48" s="76" t="s">
        <v>201</v>
      </c>
      <c r="L48" s="76" t="s">
        <v>201</v>
      </c>
      <c r="M48" s="76" t="s">
        <v>201</v>
      </c>
      <c r="N48" s="76" t="s">
        <v>201</v>
      </c>
      <c r="O48" s="76" t="s">
        <v>201</v>
      </c>
      <c r="P48" s="76" t="s">
        <v>201</v>
      </c>
      <c r="Q48" s="76" t="s">
        <v>201</v>
      </c>
      <c r="R48" s="76" t="s">
        <v>201</v>
      </c>
      <c r="S48" s="76" t="s">
        <v>201</v>
      </c>
      <c r="T48" s="76" t="s">
        <v>201</v>
      </c>
      <c r="U48" s="76" t="s">
        <v>201</v>
      </c>
      <c r="V48" s="76" t="s">
        <v>201</v>
      </c>
      <c r="W48" s="76" t="s">
        <v>201</v>
      </c>
      <c r="X48" s="76" t="s">
        <v>201</v>
      </c>
    </row>
    <row r="49" spans="2:24" ht="35.1" customHeight="1" x14ac:dyDescent="0.2">
      <c r="B49" s="89"/>
      <c r="C49" s="27" t="s">
        <v>96</v>
      </c>
      <c r="D49" s="10">
        <v>7</v>
      </c>
      <c r="E49" s="28" t="s">
        <v>97</v>
      </c>
      <c r="F49" s="10" t="s">
        <v>33</v>
      </c>
      <c r="G49" s="77">
        <v>67.5962249393924</v>
      </c>
      <c r="H49" s="76" t="s">
        <v>201</v>
      </c>
      <c r="I49" s="76" t="s">
        <v>201</v>
      </c>
      <c r="J49" s="76" t="s">
        <v>201</v>
      </c>
      <c r="K49" s="76" t="s">
        <v>201</v>
      </c>
      <c r="L49" s="76" t="s">
        <v>201</v>
      </c>
      <c r="M49" s="76" t="s">
        <v>201</v>
      </c>
      <c r="N49" s="76" t="s">
        <v>201</v>
      </c>
      <c r="O49" s="76" t="s">
        <v>201</v>
      </c>
      <c r="P49" s="76" t="s">
        <v>201</v>
      </c>
      <c r="Q49" s="76" t="s">
        <v>201</v>
      </c>
      <c r="R49" s="76" t="s">
        <v>201</v>
      </c>
      <c r="S49" s="76" t="s">
        <v>201</v>
      </c>
      <c r="T49" s="76" t="s">
        <v>201</v>
      </c>
      <c r="U49" s="76" t="s">
        <v>201</v>
      </c>
      <c r="V49" s="76" t="s">
        <v>201</v>
      </c>
      <c r="W49" s="76" t="s">
        <v>201</v>
      </c>
      <c r="X49" s="76" t="s">
        <v>201</v>
      </c>
    </row>
    <row r="50" spans="2:24" ht="35.1" customHeight="1" x14ac:dyDescent="0.2">
      <c r="B50" s="89"/>
      <c r="C50" s="16" t="s">
        <v>98</v>
      </c>
      <c r="D50" s="15">
        <v>18</v>
      </c>
      <c r="E50" s="17" t="s">
        <v>99</v>
      </c>
      <c r="F50" s="15" t="s">
        <v>33</v>
      </c>
      <c r="G50" s="77">
        <v>77.63471519422707</v>
      </c>
      <c r="H50" s="76" t="s">
        <v>201</v>
      </c>
      <c r="I50" s="76" t="s">
        <v>201</v>
      </c>
      <c r="J50" s="76" t="s">
        <v>201</v>
      </c>
      <c r="K50" s="76" t="s">
        <v>201</v>
      </c>
      <c r="L50" s="76" t="s">
        <v>201</v>
      </c>
      <c r="M50" s="76" t="s">
        <v>201</v>
      </c>
      <c r="N50" s="76" t="s">
        <v>201</v>
      </c>
      <c r="O50" s="76" t="s">
        <v>201</v>
      </c>
      <c r="P50" s="76" t="s">
        <v>201</v>
      </c>
      <c r="Q50" s="76" t="s">
        <v>201</v>
      </c>
      <c r="R50" s="76" t="s">
        <v>201</v>
      </c>
      <c r="S50" s="76" t="s">
        <v>201</v>
      </c>
      <c r="T50" s="76" t="s">
        <v>201</v>
      </c>
      <c r="U50" s="76" t="s">
        <v>201</v>
      </c>
      <c r="V50" s="76" t="s">
        <v>201</v>
      </c>
      <c r="W50" s="76" t="s">
        <v>201</v>
      </c>
      <c r="X50" s="76" t="s">
        <v>201</v>
      </c>
    </row>
    <row r="51" spans="2:24" ht="35.1" customHeight="1" x14ac:dyDescent="0.2">
      <c r="B51" s="89"/>
      <c r="C51" s="11" t="s">
        <v>100</v>
      </c>
      <c r="D51" s="12">
        <v>18</v>
      </c>
      <c r="E51" s="17" t="s">
        <v>101</v>
      </c>
      <c r="F51" s="12" t="s">
        <v>45</v>
      </c>
      <c r="G51" s="77">
        <v>77.63471519422707</v>
      </c>
      <c r="H51" s="76" t="s">
        <v>201</v>
      </c>
      <c r="I51" s="76" t="s">
        <v>201</v>
      </c>
      <c r="J51" s="76" t="s">
        <v>201</v>
      </c>
      <c r="K51" s="76" t="s">
        <v>201</v>
      </c>
      <c r="L51" s="76" t="s">
        <v>201</v>
      </c>
      <c r="M51" s="76" t="s">
        <v>201</v>
      </c>
      <c r="N51" s="76" t="s">
        <v>201</v>
      </c>
      <c r="O51" s="76" t="s">
        <v>201</v>
      </c>
      <c r="P51" s="76" t="s">
        <v>201</v>
      </c>
      <c r="Q51" s="76" t="s">
        <v>201</v>
      </c>
      <c r="R51" s="76" t="s">
        <v>201</v>
      </c>
      <c r="S51" s="76" t="s">
        <v>201</v>
      </c>
      <c r="T51" s="76" t="s">
        <v>201</v>
      </c>
      <c r="U51" s="76" t="s">
        <v>201</v>
      </c>
      <c r="V51" s="76" t="s">
        <v>201</v>
      </c>
      <c r="W51" s="76" t="s">
        <v>201</v>
      </c>
      <c r="X51" s="76" t="s">
        <v>201</v>
      </c>
    </row>
    <row r="52" spans="2:24" ht="35.1" customHeight="1" x14ac:dyDescent="0.2">
      <c r="B52" s="90"/>
      <c r="C52" s="11" t="s">
        <v>102</v>
      </c>
      <c r="D52" s="12">
        <v>13</v>
      </c>
      <c r="E52" s="13" t="s">
        <v>103</v>
      </c>
      <c r="F52" s="12" t="s">
        <v>45</v>
      </c>
      <c r="G52" s="77">
        <v>77.63471519422707</v>
      </c>
      <c r="H52" s="76" t="s">
        <v>201</v>
      </c>
      <c r="I52" s="76" t="s">
        <v>201</v>
      </c>
      <c r="J52" s="76" t="s">
        <v>201</v>
      </c>
      <c r="K52" s="76" t="s">
        <v>201</v>
      </c>
      <c r="L52" s="76" t="s">
        <v>201</v>
      </c>
      <c r="M52" s="76" t="s">
        <v>201</v>
      </c>
      <c r="N52" s="76" t="s">
        <v>201</v>
      </c>
      <c r="O52" s="76" t="s">
        <v>201</v>
      </c>
      <c r="P52" s="76" t="s">
        <v>201</v>
      </c>
      <c r="Q52" s="76" t="s">
        <v>201</v>
      </c>
      <c r="R52" s="76" t="s">
        <v>201</v>
      </c>
      <c r="S52" s="76" t="s">
        <v>201</v>
      </c>
      <c r="T52" s="76" t="s">
        <v>201</v>
      </c>
      <c r="U52" s="76" t="s">
        <v>201</v>
      </c>
      <c r="V52" s="76" t="s">
        <v>201</v>
      </c>
      <c r="W52" s="76" t="s">
        <v>201</v>
      </c>
      <c r="X52" s="76" t="s">
        <v>201</v>
      </c>
    </row>
    <row r="53" spans="2:24" ht="35.1" customHeight="1" x14ac:dyDescent="0.2">
      <c r="B53" s="87" t="s">
        <v>198</v>
      </c>
      <c r="C53" s="16" t="s">
        <v>104</v>
      </c>
      <c r="D53" s="15">
        <v>13</v>
      </c>
      <c r="E53" s="17" t="s">
        <v>105</v>
      </c>
      <c r="F53" s="15" t="s">
        <v>33</v>
      </c>
      <c r="G53" s="77">
        <v>77.63471519422707</v>
      </c>
      <c r="H53" s="76" t="s">
        <v>201</v>
      </c>
      <c r="I53" s="76" t="s">
        <v>201</v>
      </c>
      <c r="J53" s="76" t="s">
        <v>201</v>
      </c>
      <c r="K53" s="76" t="s">
        <v>201</v>
      </c>
      <c r="L53" s="76" t="s">
        <v>201</v>
      </c>
      <c r="M53" s="76" t="s">
        <v>201</v>
      </c>
      <c r="N53" s="76" t="s">
        <v>201</v>
      </c>
      <c r="O53" s="76" t="s">
        <v>201</v>
      </c>
      <c r="P53" s="76" t="s">
        <v>201</v>
      </c>
      <c r="Q53" s="76" t="s">
        <v>201</v>
      </c>
      <c r="R53" s="76" t="s">
        <v>201</v>
      </c>
      <c r="S53" s="76" t="s">
        <v>201</v>
      </c>
      <c r="T53" s="76" t="s">
        <v>201</v>
      </c>
      <c r="U53" s="76" t="s">
        <v>201</v>
      </c>
      <c r="V53" s="76" t="s">
        <v>201</v>
      </c>
      <c r="W53" s="76" t="s">
        <v>201</v>
      </c>
      <c r="X53" s="76" t="s">
        <v>201</v>
      </c>
    </row>
    <row r="54" spans="2:24" ht="35.1" customHeight="1" x14ac:dyDescent="0.2">
      <c r="B54" s="87"/>
      <c r="C54" s="11" t="s">
        <v>106</v>
      </c>
      <c r="D54" s="12">
        <v>13</v>
      </c>
      <c r="E54" s="17" t="s">
        <v>107</v>
      </c>
      <c r="F54" s="12" t="s">
        <v>45</v>
      </c>
      <c r="G54" s="77">
        <v>77.63471519422707</v>
      </c>
      <c r="H54" s="76" t="s">
        <v>201</v>
      </c>
      <c r="I54" s="76" t="s">
        <v>201</v>
      </c>
      <c r="J54" s="76" t="s">
        <v>201</v>
      </c>
      <c r="K54" s="76" t="s">
        <v>201</v>
      </c>
      <c r="L54" s="76" t="s">
        <v>201</v>
      </c>
      <c r="M54" s="76" t="s">
        <v>201</v>
      </c>
      <c r="N54" s="76" t="s">
        <v>201</v>
      </c>
      <c r="O54" s="76" t="s">
        <v>201</v>
      </c>
      <c r="P54" s="76" t="s">
        <v>201</v>
      </c>
      <c r="Q54" s="76" t="s">
        <v>201</v>
      </c>
      <c r="R54" s="76" t="s">
        <v>201</v>
      </c>
      <c r="S54" s="76" t="s">
        <v>201</v>
      </c>
      <c r="T54" s="76" t="s">
        <v>201</v>
      </c>
      <c r="U54" s="76" t="s">
        <v>201</v>
      </c>
      <c r="V54" s="76" t="s">
        <v>201</v>
      </c>
      <c r="W54" s="76" t="s">
        <v>201</v>
      </c>
      <c r="X54" s="76" t="s">
        <v>201</v>
      </c>
    </row>
    <row r="55" spans="2:24" ht="35.1" customHeight="1" x14ac:dyDescent="0.2">
      <c r="B55" s="87"/>
      <c r="C55" s="11" t="s">
        <v>108</v>
      </c>
      <c r="D55" s="12">
        <v>13</v>
      </c>
      <c r="E55" s="13" t="s">
        <v>109</v>
      </c>
      <c r="F55" s="12" t="s">
        <v>33</v>
      </c>
      <c r="G55" s="77">
        <v>77.63471519422707</v>
      </c>
      <c r="H55" s="76" t="s">
        <v>201</v>
      </c>
      <c r="I55" s="76" t="s">
        <v>201</v>
      </c>
      <c r="J55" s="76" t="s">
        <v>201</v>
      </c>
      <c r="K55" s="76" t="s">
        <v>201</v>
      </c>
      <c r="L55" s="76" t="s">
        <v>201</v>
      </c>
      <c r="M55" s="76" t="s">
        <v>201</v>
      </c>
      <c r="N55" s="76" t="s">
        <v>201</v>
      </c>
      <c r="O55" s="76" t="s">
        <v>201</v>
      </c>
      <c r="P55" s="76" t="s">
        <v>201</v>
      </c>
      <c r="Q55" s="76" t="s">
        <v>201</v>
      </c>
      <c r="R55" s="76" t="s">
        <v>201</v>
      </c>
      <c r="S55" s="76" t="s">
        <v>201</v>
      </c>
      <c r="T55" s="76" t="s">
        <v>201</v>
      </c>
      <c r="U55" s="76" t="s">
        <v>201</v>
      </c>
      <c r="V55" s="76" t="s">
        <v>201</v>
      </c>
      <c r="W55" s="76" t="s">
        <v>201</v>
      </c>
      <c r="X55" s="76" t="s">
        <v>201</v>
      </c>
    </row>
    <row r="56" spans="2:24" ht="35.1" customHeight="1" x14ac:dyDescent="0.2">
      <c r="B56" s="87"/>
      <c r="C56" s="16" t="s">
        <v>110</v>
      </c>
      <c r="D56" s="15">
        <v>13</v>
      </c>
      <c r="E56" s="17" t="s">
        <v>111</v>
      </c>
      <c r="F56" s="15" t="s">
        <v>33</v>
      </c>
      <c r="G56" s="77">
        <v>77.63471519422707</v>
      </c>
      <c r="H56" s="76" t="s">
        <v>201</v>
      </c>
      <c r="I56" s="76" t="s">
        <v>201</v>
      </c>
      <c r="J56" s="76" t="s">
        <v>201</v>
      </c>
      <c r="K56" s="76" t="s">
        <v>201</v>
      </c>
      <c r="L56" s="76" t="s">
        <v>201</v>
      </c>
      <c r="M56" s="76" t="s">
        <v>201</v>
      </c>
      <c r="N56" s="76" t="s">
        <v>201</v>
      </c>
      <c r="O56" s="76" t="s">
        <v>201</v>
      </c>
      <c r="P56" s="76" t="s">
        <v>201</v>
      </c>
      <c r="Q56" s="76" t="s">
        <v>201</v>
      </c>
      <c r="R56" s="76" t="s">
        <v>201</v>
      </c>
      <c r="S56" s="76" t="s">
        <v>201</v>
      </c>
      <c r="T56" s="76" t="s">
        <v>201</v>
      </c>
      <c r="U56" s="76" t="s">
        <v>201</v>
      </c>
      <c r="V56" s="76" t="s">
        <v>201</v>
      </c>
      <c r="W56" s="76" t="s">
        <v>201</v>
      </c>
      <c r="X56" s="76" t="s">
        <v>201</v>
      </c>
    </row>
    <row r="57" spans="2:24" ht="35.1" customHeight="1" x14ac:dyDescent="0.2">
      <c r="B57" s="87"/>
      <c r="C57" s="11" t="s">
        <v>112</v>
      </c>
      <c r="D57" s="12">
        <v>13</v>
      </c>
      <c r="E57" s="13" t="s">
        <v>113</v>
      </c>
      <c r="F57" s="12" t="s">
        <v>33</v>
      </c>
      <c r="G57" s="77">
        <v>77.63471519422707</v>
      </c>
      <c r="H57" s="76" t="s">
        <v>201</v>
      </c>
      <c r="I57" s="76" t="s">
        <v>201</v>
      </c>
      <c r="J57" s="76" t="s">
        <v>201</v>
      </c>
      <c r="K57" s="76" t="s">
        <v>201</v>
      </c>
      <c r="L57" s="76" t="s">
        <v>201</v>
      </c>
      <c r="M57" s="76" t="s">
        <v>201</v>
      </c>
      <c r="N57" s="76" t="s">
        <v>201</v>
      </c>
      <c r="O57" s="76" t="s">
        <v>201</v>
      </c>
      <c r="P57" s="76" t="s">
        <v>201</v>
      </c>
      <c r="Q57" s="76" t="s">
        <v>201</v>
      </c>
      <c r="R57" s="76" t="s">
        <v>201</v>
      </c>
      <c r="S57" s="76" t="s">
        <v>201</v>
      </c>
      <c r="T57" s="76" t="s">
        <v>201</v>
      </c>
      <c r="U57" s="76" t="s">
        <v>201</v>
      </c>
      <c r="V57" s="76" t="s">
        <v>201</v>
      </c>
      <c r="W57" s="76" t="s">
        <v>201</v>
      </c>
      <c r="X57" s="76" t="s">
        <v>201</v>
      </c>
    </row>
    <row r="58" spans="2:24" ht="35.1" customHeight="1" x14ac:dyDescent="0.2">
      <c r="B58" s="91" t="s">
        <v>114</v>
      </c>
      <c r="C58" s="16" t="s">
        <v>115</v>
      </c>
      <c r="D58" s="15">
        <v>14</v>
      </c>
      <c r="E58" s="17" t="s">
        <v>116</v>
      </c>
      <c r="F58" s="15" t="s">
        <v>33</v>
      </c>
      <c r="G58" s="77">
        <v>77.63471519422707</v>
      </c>
      <c r="H58" s="76" t="s">
        <v>201</v>
      </c>
      <c r="I58" s="76" t="s">
        <v>201</v>
      </c>
      <c r="J58" s="76" t="s">
        <v>201</v>
      </c>
      <c r="K58" s="76" t="s">
        <v>201</v>
      </c>
      <c r="L58" s="76" t="s">
        <v>201</v>
      </c>
      <c r="M58" s="76" t="s">
        <v>201</v>
      </c>
      <c r="N58" s="76" t="s">
        <v>201</v>
      </c>
      <c r="O58" s="76" t="s">
        <v>201</v>
      </c>
      <c r="P58" s="76" t="s">
        <v>201</v>
      </c>
      <c r="Q58" s="76" t="s">
        <v>201</v>
      </c>
      <c r="R58" s="76" t="s">
        <v>201</v>
      </c>
      <c r="S58" s="76" t="s">
        <v>201</v>
      </c>
      <c r="T58" s="76" t="s">
        <v>201</v>
      </c>
      <c r="U58" s="76" t="s">
        <v>201</v>
      </c>
      <c r="V58" s="76" t="s">
        <v>201</v>
      </c>
      <c r="W58" s="76" t="s">
        <v>201</v>
      </c>
      <c r="X58" s="76" t="s">
        <v>201</v>
      </c>
    </row>
    <row r="59" spans="2:24" ht="35.1" customHeight="1" x14ac:dyDescent="0.2">
      <c r="B59" s="89"/>
      <c r="C59" s="11" t="s">
        <v>117</v>
      </c>
      <c r="D59" s="12">
        <v>13</v>
      </c>
      <c r="E59" s="13" t="s">
        <v>118</v>
      </c>
      <c r="F59" s="12" t="s">
        <v>33</v>
      </c>
      <c r="G59" s="77">
        <v>79.012455473395292</v>
      </c>
      <c r="H59" s="76" t="s">
        <v>201</v>
      </c>
      <c r="I59" s="76" t="s">
        <v>201</v>
      </c>
      <c r="J59" s="76" t="s">
        <v>201</v>
      </c>
      <c r="K59" s="76" t="s">
        <v>201</v>
      </c>
      <c r="L59" s="76" t="s">
        <v>201</v>
      </c>
      <c r="M59" s="76" t="s">
        <v>201</v>
      </c>
      <c r="N59" s="76" t="s">
        <v>201</v>
      </c>
      <c r="O59" s="76" t="s">
        <v>201</v>
      </c>
      <c r="P59" s="76" t="s">
        <v>201</v>
      </c>
      <c r="Q59" s="76" t="s">
        <v>201</v>
      </c>
      <c r="R59" s="76" t="s">
        <v>201</v>
      </c>
      <c r="S59" s="76" t="s">
        <v>201</v>
      </c>
      <c r="T59" s="76" t="s">
        <v>201</v>
      </c>
      <c r="U59" s="76" t="s">
        <v>201</v>
      </c>
      <c r="V59" s="76" t="s">
        <v>201</v>
      </c>
      <c r="W59" s="76" t="s">
        <v>201</v>
      </c>
      <c r="X59" s="76" t="s">
        <v>201</v>
      </c>
    </row>
    <row r="60" spans="2:24" ht="35.1" customHeight="1" x14ac:dyDescent="0.2">
      <c r="B60" s="89"/>
      <c r="C60" s="16" t="s">
        <v>119</v>
      </c>
      <c r="D60" s="15">
        <v>13</v>
      </c>
      <c r="E60" s="17" t="s">
        <v>120</v>
      </c>
      <c r="F60" s="15" t="s">
        <v>33</v>
      </c>
      <c r="G60" s="77">
        <v>77.63471519422707</v>
      </c>
      <c r="H60" s="76" t="s">
        <v>201</v>
      </c>
      <c r="I60" s="76" t="s">
        <v>201</v>
      </c>
      <c r="J60" s="76" t="s">
        <v>201</v>
      </c>
      <c r="K60" s="76" t="s">
        <v>201</v>
      </c>
      <c r="L60" s="76" t="s">
        <v>201</v>
      </c>
      <c r="M60" s="76" t="s">
        <v>201</v>
      </c>
      <c r="N60" s="76" t="s">
        <v>201</v>
      </c>
      <c r="O60" s="76" t="s">
        <v>201</v>
      </c>
      <c r="P60" s="76" t="s">
        <v>201</v>
      </c>
      <c r="Q60" s="76" t="s">
        <v>201</v>
      </c>
      <c r="R60" s="76" t="s">
        <v>201</v>
      </c>
      <c r="S60" s="76" t="s">
        <v>201</v>
      </c>
      <c r="T60" s="76" t="s">
        <v>201</v>
      </c>
      <c r="U60" s="76" t="s">
        <v>201</v>
      </c>
      <c r="V60" s="76" t="s">
        <v>201</v>
      </c>
      <c r="W60" s="76" t="s">
        <v>201</v>
      </c>
      <c r="X60" s="76" t="s">
        <v>201</v>
      </c>
    </row>
    <row r="61" spans="2:24" ht="35.1" customHeight="1" x14ac:dyDescent="0.2">
      <c r="B61" s="90"/>
      <c r="C61" s="11" t="s">
        <v>121</v>
      </c>
      <c r="D61" s="12">
        <v>14</v>
      </c>
      <c r="E61" s="17" t="s">
        <v>122</v>
      </c>
      <c r="F61" s="12" t="s">
        <v>33</v>
      </c>
      <c r="G61" s="77">
        <v>77.63471519422707</v>
      </c>
      <c r="H61" s="76" t="s">
        <v>201</v>
      </c>
      <c r="I61" s="76" t="s">
        <v>201</v>
      </c>
      <c r="J61" s="76" t="s">
        <v>201</v>
      </c>
      <c r="K61" s="76" t="s">
        <v>201</v>
      </c>
      <c r="L61" s="76" t="s">
        <v>201</v>
      </c>
      <c r="M61" s="76" t="s">
        <v>201</v>
      </c>
      <c r="N61" s="76" t="s">
        <v>201</v>
      </c>
      <c r="O61" s="76" t="s">
        <v>201</v>
      </c>
      <c r="P61" s="76" t="s">
        <v>201</v>
      </c>
      <c r="Q61" s="76" t="s">
        <v>201</v>
      </c>
      <c r="R61" s="76" t="s">
        <v>201</v>
      </c>
      <c r="S61" s="76" t="s">
        <v>201</v>
      </c>
      <c r="T61" s="76" t="s">
        <v>201</v>
      </c>
      <c r="U61" s="76" t="s">
        <v>201</v>
      </c>
      <c r="V61" s="76" t="s">
        <v>201</v>
      </c>
      <c r="W61" s="76" t="s">
        <v>201</v>
      </c>
      <c r="X61" s="76" t="s">
        <v>201</v>
      </c>
    </row>
    <row r="62" spans="2:24" ht="35.1" customHeight="1" x14ac:dyDescent="0.2">
      <c r="B62" s="87" t="s">
        <v>123</v>
      </c>
      <c r="C62" s="11" t="s">
        <v>124</v>
      </c>
      <c r="D62" s="12">
        <v>14</v>
      </c>
      <c r="E62" s="13" t="s">
        <v>125</v>
      </c>
      <c r="F62" s="12" t="s">
        <v>33</v>
      </c>
      <c r="G62" s="77">
        <v>79.012455473395292</v>
      </c>
      <c r="H62" s="76" t="s">
        <v>201</v>
      </c>
      <c r="I62" s="76" t="s">
        <v>201</v>
      </c>
      <c r="J62" s="76" t="s">
        <v>201</v>
      </c>
      <c r="K62" s="76" t="s">
        <v>201</v>
      </c>
      <c r="L62" s="76" t="s">
        <v>201</v>
      </c>
      <c r="M62" s="76" t="s">
        <v>201</v>
      </c>
      <c r="N62" s="76" t="s">
        <v>201</v>
      </c>
      <c r="O62" s="76" t="s">
        <v>201</v>
      </c>
      <c r="P62" s="76" t="s">
        <v>201</v>
      </c>
      <c r="Q62" s="76" t="s">
        <v>201</v>
      </c>
      <c r="R62" s="76" t="s">
        <v>201</v>
      </c>
      <c r="S62" s="76" t="s">
        <v>201</v>
      </c>
      <c r="T62" s="76" t="s">
        <v>201</v>
      </c>
      <c r="U62" s="76" t="s">
        <v>201</v>
      </c>
      <c r="V62" s="76" t="s">
        <v>201</v>
      </c>
      <c r="W62" s="76" t="s">
        <v>201</v>
      </c>
      <c r="X62" s="76" t="s">
        <v>201</v>
      </c>
    </row>
    <row r="63" spans="2:24" ht="35.1" customHeight="1" x14ac:dyDescent="0.2">
      <c r="B63" s="87"/>
      <c r="C63" s="11" t="s">
        <v>126</v>
      </c>
      <c r="D63" s="12">
        <v>3</v>
      </c>
      <c r="E63" s="13" t="s">
        <v>127</v>
      </c>
      <c r="F63" s="12" t="s">
        <v>45</v>
      </c>
      <c r="G63" s="77" t="s">
        <v>201</v>
      </c>
      <c r="H63" s="76" t="s">
        <v>201</v>
      </c>
      <c r="I63" s="76" t="s">
        <v>201</v>
      </c>
      <c r="J63" s="76" t="s">
        <v>201</v>
      </c>
      <c r="K63" s="76" t="s">
        <v>201</v>
      </c>
      <c r="L63" s="76" t="s">
        <v>201</v>
      </c>
      <c r="M63" s="76" t="s">
        <v>201</v>
      </c>
      <c r="N63" s="76" t="s">
        <v>201</v>
      </c>
      <c r="O63" s="76" t="s">
        <v>201</v>
      </c>
      <c r="P63" s="76" t="s">
        <v>201</v>
      </c>
      <c r="Q63" s="76" t="s">
        <v>201</v>
      </c>
      <c r="R63" s="76" t="s">
        <v>201</v>
      </c>
      <c r="S63" s="76" t="s">
        <v>201</v>
      </c>
      <c r="T63" s="76" t="s">
        <v>201</v>
      </c>
      <c r="U63" s="76" t="s">
        <v>201</v>
      </c>
      <c r="V63" s="76" t="s">
        <v>201</v>
      </c>
      <c r="W63" s="76" t="s">
        <v>201</v>
      </c>
      <c r="X63" s="76" t="s">
        <v>201</v>
      </c>
    </row>
    <row r="64" spans="2:24" ht="35.1" customHeight="1" x14ac:dyDescent="0.2">
      <c r="B64" s="87"/>
      <c r="C64" s="16" t="s">
        <v>128</v>
      </c>
      <c r="D64" s="15">
        <v>14</v>
      </c>
      <c r="E64" s="17" t="s">
        <v>129</v>
      </c>
      <c r="F64" s="15" t="s">
        <v>33</v>
      </c>
      <c r="G64" s="77">
        <v>79.012455473395292</v>
      </c>
      <c r="H64" s="76" t="s">
        <v>201</v>
      </c>
      <c r="I64" s="76" t="s">
        <v>201</v>
      </c>
      <c r="J64" s="76" t="s">
        <v>201</v>
      </c>
      <c r="K64" s="76" t="s">
        <v>201</v>
      </c>
      <c r="L64" s="76" t="s">
        <v>201</v>
      </c>
      <c r="M64" s="76" t="s">
        <v>201</v>
      </c>
      <c r="N64" s="76" t="s">
        <v>201</v>
      </c>
      <c r="O64" s="76" t="s">
        <v>201</v>
      </c>
      <c r="P64" s="76" t="s">
        <v>201</v>
      </c>
      <c r="Q64" s="76" t="s">
        <v>201</v>
      </c>
      <c r="R64" s="76" t="s">
        <v>201</v>
      </c>
      <c r="S64" s="76" t="s">
        <v>201</v>
      </c>
      <c r="T64" s="76" t="s">
        <v>201</v>
      </c>
      <c r="U64" s="76" t="s">
        <v>201</v>
      </c>
      <c r="V64" s="76" t="s">
        <v>201</v>
      </c>
      <c r="W64" s="76" t="s">
        <v>201</v>
      </c>
      <c r="X64" s="76" t="s">
        <v>201</v>
      </c>
    </row>
    <row r="65" spans="2:24" ht="35.1" customHeight="1" x14ac:dyDescent="0.2">
      <c r="B65" s="87"/>
      <c r="C65" s="16" t="s">
        <v>130</v>
      </c>
      <c r="D65" s="15">
        <v>14</v>
      </c>
      <c r="E65" s="17" t="s">
        <v>131</v>
      </c>
      <c r="F65" s="15" t="s">
        <v>33</v>
      </c>
      <c r="G65" s="77">
        <v>79.012455473395292</v>
      </c>
      <c r="H65" s="76" t="s">
        <v>201</v>
      </c>
      <c r="I65" s="76" t="s">
        <v>201</v>
      </c>
      <c r="J65" s="76" t="s">
        <v>201</v>
      </c>
      <c r="K65" s="76" t="s">
        <v>201</v>
      </c>
      <c r="L65" s="76" t="s">
        <v>201</v>
      </c>
      <c r="M65" s="76" t="s">
        <v>201</v>
      </c>
      <c r="N65" s="76" t="s">
        <v>201</v>
      </c>
      <c r="O65" s="76" t="s">
        <v>201</v>
      </c>
      <c r="P65" s="76" t="s">
        <v>201</v>
      </c>
      <c r="Q65" s="76" t="s">
        <v>201</v>
      </c>
      <c r="R65" s="76" t="s">
        <v>201</v>
      </c>
      <c r="S65" s="76" t="s">
        <v>201</v>
      </c>
      <c r="T65" s="76" t="s">
        <v>201</v>
      </c>
      <c r="U65" s="76" t="s">
        <v>201</v>
      </c>
      <c r="V65" s="76" t="s">
        <v>201</v>
      </c>
      <c r="W65" s="76" t="s">
        <v>201</v>
      </c>
      <c r="X65" s="76" t="s">
        <v>201</v>
      </c>
    </row>
    <row r="66" spans="2:24" ht="35.1" customHeight="1" x14ac:dyDescent="0.2">
      <c r="B66" s="87"/>
      <c r="C66" s="11" t="s">
        <v>132</v>
      </c>
      <c r="D66" s="12">
        <v>14</v>
      </c>
      <c r="E66" s="13" t="s">
        <v>133</v>
      </c>
      <c r="F66" s="12" t="s">
        <v>33</v>
      </c>
      <c r="G66" s="77">
        <v>79.012455473395292</v>
      </c>
      <c r="H66" s="76" t="s">
        <v>201</v>
      </c>
      <c r="I66" s="76" t="s">
        <v>201</v>
      </c>
      <c r="J66" s="76" t="s">
        <v>201</v>
      </c>
      <c r="K66" s="76" t="s">
        <v>201</v>
      </c>
      <c r="L66" s="76" t="s">
        <v>201</v>
      </c>
      <c r="M66" s="76" t="s">
        <v>201</v>
      </c>
      <c r="N66" s="76" t="s">
        <v>201</v>
      </c>
      <c r="O66" s="76" t="s">
        <v>201</v>
      </c>
      <c r="P66" s="76" t="s">
        <v>201</v>
      </c>
      <c r="Q66" s="76" t="s">
        <v>201</v>
      </c>
      <c r="R66" s="76" t="s">
        <v>201</v>
      </c>
      <c r="S66" s="76" t="s">
        <v>201</v>
      </c>
      <c r="T66" s="76" t="s">
        <v>201</v>
      </c>
      <c r="U66" s="76" t="s">
        <v>201</v>
      </c>
      <c r="V66" s="76" t="s">
        <v>201</v>
      </c>
      <c r="W66" s="76" t="s">
        <v>201</v>
      </c>
      <c r="X66" s="76" t="s">
        <v>201</v>
      </c>
    </row>
    <row r="67" spans="2:24" ht="35.1" customHeight="1" x14ac:dyDescent="0.2">
      <c r="B67" s="87"/>
      <c r="C67" s="11" t="s">
        <v>134</v>
      </c>
      <c r="D67" s="12">
        <v>14</v>
      </c>
      <c r="E67" s="17" t="s">
        <v>135</v>
      </c>
      <c r="F67" s="12" t="s">
        <v>33</v>
      </c>
      <c r="G67" s="77">
        <v>79.012455473395292</v>
      </c>
      <c r="H67" s="76" t="s">
        <v>201</v>
      </c>
      <c r="I67" s="76" t="s">
        <v>201</v>
      </c>
      <c r="J67" s="76" t="s">
        <v>201</v>
      </c>
      <c r="K67" s="76" t="s">
        <v>201</v>
      </c>
      <c r="L67" s="76" t="s">
        <v>201</v>
      </c>
      <c r="M67" s="76" t="s">
        <v>201</v>
      </c>
      <c r="N67" s="76" t="s">
        <v>201</v>
      </c>
      <c r="O67" s="76" t="s">
        <v>201</v>
      </c>
      <c r="P67" s="76" t="s">
        <v>201</v>
      </c>
      <c r="Q67" s="76" t="s">
        <v>201</v>
      </c>
      <c r="R67" s="76" t="s">
        <v>201</v>
      </c>
      <c r="S67" s="76" t="s">
        <v>201</v>
      </c>
      <c r="T67" s="76" t="s">
        <v>201</v>
      </c>
      <c r="U67" s="76" t="s">
        <v>201</v>
      </c>
      <c r="V67" s="76" t="s">
        <v>201</v>
      </c>
      <c r="W67" s="76" t="s">
        <v>201</v>
      </c>
      <c r="X67" s="76" t="s">
        <v>201</v>
      </c>
    </row>
    <row r="68" spans="2:24" ht="5.0999999999999996" customHeight="1" x14ac:dyDescent="0.2"/>
  </sheetData>
  <mergeCells count="6">
    <mergeCell ref="B62:B67"/>
    <mergeCell ref="B7:B20"/>
    <mergeCell ref="B27:B41"/>
    <mergeCell ref="B47:B52"/>
    <mergeCell ref="B53:B57"/>
    <mergeCell ref="B58:B61"/>
  </mergeCells>
  <pageMargins left="0.25" right="0.25" top="0.75" bottom="0.75" header="0.3" footer="0.3"/>
  <pageSetup paperSize="9" scale="26" orientation="landscape" r:id="rId1"/>
  <headerFooter>
    <oddFooter>&amp;C_x000D_&amp;1#&amp;"Century Gothic"&amp;7&amp;K7F7F7F BUSINESS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DDAE-2D05-457C-BF4C-B7DED9869E91}">
  <sheetPr codeName="Sheet6">
    <pageSetUpPr fitToPage="1"/>
  </sheetPr>
  <dimension ref="B1:F106"/>
  <sheetViews>
    <sheetView topLeftCell="A43" zoomScale="70" zoomScaleNormal="70" workbookViewId="0">
      <selection activeCell="E113" sqref="E113"/>
    </sheetView>
  </sheetViews>
  <sheetFormatPr defaultColWidth="9.140625" defaultRowHeight="15" x14ac:dyDescent="0.25"/>
  <cols>
    <col min="1" max="1" width="9.140625" style="45"/>
    <col min="2" max="2" width="17.5703125" style="45" customWidth="1"/>
    <col min="3" max="3" width="25.42578125" style="45" customWidth="1"/>
    <col min="4" max="4" width="12.85546875" style="45" customWidth="1"/>
    <col min="5" max="5" width="129.140625" style="45" customWidth="1"/>
    <col min="6" max="16384" width="9.140625" style="45"/>
  </cols>
  <sheetData>
    <row r="1" spans="2:6" ht="12.75" customHeight="1" x14ac:dyDescent="0.25"/>
    <row r="2" spans="2:6" ht="35.1" customHeight="1" x14ac:dyDescent="0.4">
      <c r="B2" s="1" t="s">
        <v>136</v>
      </c>
    </row>
    <row r="3" spans="2:6" ht="5.0999999999999996" customHeight="1" x14ac:dyDescent="0.25">
      <c r="B3" s="46"/>
      <c r="C3" s="46"/>
      <c r="D3" s="46"/>
      <c r="E3" s="46"/>
      <c r="F3" s="46"/>
    </row>
    <row r="4" spans="2:6" ht="25.5" customHeight="1" x14ac:dyDescent="0.25">
      <c r="B4" s="47" t="s">
        <v>137</v>
      </c>
      <c r="C4" s="47" t="s">
        <v>138</v>
      </c>
      <c r="D4" s="47" t="s">
        <v>139</v>
      </c>
      <c r="E4" s="47" t="s">
        <v>140</v>
      </c>
      <c r="F4" s="48"/>
    </row>
    <row r="5" spans="2:6" ht="17.25" x14ac:dyDescent="0.25">
      <c r="B5" s="49">
        <v>1</v>
      </c>
      <c r="C5" s="49" t="s">
        <v>0</v>
      </c>
      <c r="D5" s="49" t="s">
        <v>141</v>
      </c>
      <c r="E5" s="49"/>
      <c r="F5" s="46"/>
    </row>
    <row r="6" spans="2:6" ht="17.25" hidden="1" x14ac:dyDescent="0.25">
      <c r="B6" s="50"/>
      <c r="C6" s="50" t="s">
        <v>1</v>
      </c>
      <c r="D6" s="50" t="s">
        <v>27</v>
      </c>
      <c r="E6" s="50" t="s">
        <v>142</v>
      </c>
      <c r="F6" s="46"/>
    </row>
    <row r="7" spans="2:6" ht="17.25" x14ac:dyDescent="0.25">
      <c r="B7" s="50"/>
      <c r="C7" s="50" t="s">
        <v>143</v>
      </c>
      <c r="D7" s="50" t="s">
        <v>27</v>
      </c>
      <c r="E7" s="50" t="s">
        <v>144</v>
      </c>
      <c r="F7" s="46"/>
    </row>
    <row r="8" spans="2:6" ht="17.25" x14ac:dyDescent="0.25">
      <c r="B8" s="50"/>
      <c r="C8" s="50" t="s">
        <v>145</v>
      </c>
      <c r="D8" s="50" t="s">
        <v>27</v>
      </c>
      <c r="E8" s="50" t="s">
        <v>146</v>
      </c>
      <c r="F8" s="46"/>
    </row>
    <row r="9" spans="2:6" ht="5.0999999999999996" customHeight="1" x14ac:dyDescent="0.25">
      <c r="B9" s="51"/>
      <c r="C9" s="51"/>
      <c r="D9" s="51"/>
      <c r="E9" s="51"/>
      <c r="F9" s="46"/>
    </row>
    <row r="10" spans="2:6" ht="17.25" x14ac:dyDescent="0.25">
      <c r="B10" s="49">
        <v>2</v>
      </c>
      <c r="C10" s="49" t="s">
        <v>0</v>
      </c>
      <c r="D10" s="49" t="s">
        <v>141</v>
      </c>
      <c r="E10" s="49"/>
      <c r="F10" s="46"/>
    </row>
    <row r="11" spans="2:6" ht="17.25" x14ac:dyDescent="0.25">
      <c r="B11" s="50"/>
      <c r="C11" s="50" t="s">
        <v>4</v>
      </c>
      <c r="D11" s="50" t="s">
        <v>27</v>
      </c>
      <c r="E11" s="50" t="s">
        <v>147</v>
      </c>
      <c r="F11" s="46"/>
    </row>
    <row r="12" spans="2:6" ht="17.25" x14ac:dyDescent="0.25">
      <c r="B12" s="50"/>
      <c r="C12" s="50" t="s">
        <v>9</v>
      </c>
      <c r="D12" s="50" t="s">
        <v>27</v>
      </c>
      <c r="E12" s="50" t="s">
        <v>148</v>
      </c>
      <c r="F12" s="46"/>
    </row>
    <row r="13" spans="2:6" ht="17.25" x14ac:dyDescent="0.25">
      <c r="B13" s="50"/>
      <c r="C13" s="50" t="s">
        <v>149</v>
      </c>
      <c r="D13" s="50" t="s">
        <v>29</v>
      </c>
      <c r="E13" s="52" t="s">
        <v>150</v>
      </c>
      <c r="F13" s="46"/>
    </row>
    <row r="14" spans="2:6" ht="5.0999999999999996" customHeight="1" x14ac:dyDescent="0.25">
      <c r="B14" s="51"/>
      <c r="C14" s="51"/>
      <c r="D14" s="51"/>
      <c r="E14" s="51"/>
      <c r="F14" s="46"/>
    </row>
    <row r="15" spans="2:6" ht="17.25" x14ac:dyDescent="0.25">
      <c r="B15" s="49">
        <v>3</v>
      </c>
      <c r="C15" s="49" t="s">
        <v>0</v>
      </c>
      <c r="D15" s="49" t="s">
        <v>141</v>
      </c>
      <c r="E15" s="49"/>
      <c r="F15" s="46"/>
    </row>
    <row r="16" spans="2:6" ht="17.25" x14ac:dyDescent="0.25">
      <c r="B16" s="50"/>
      <c r="C16" s="50" t="s">
        <v>4</v>
      </c>
      <c r="D16" s="50" t="s">
        <v>27</v>
      </c>
      <c r="E16" s="50" t="s">
        <v>147</v>
      </c>
      <c r="F16" s="46"/>
    </row>
    <row r="17" spans="2:6" ht="17.25" x14ac:dyDescent="0.25">
      <c r="B17" s="50"/>
      <c r="C17" s="50" t="s">
        <v>9</v>
      </c>
      <c r="D17" s="50" t="s">
        <v>27</v>
      </c>
      <c r="E17" s="50" t="s">
        <v>148</v>
      </c>
      <c r="F17" s="46"/>
    </row>
    <row r="18" spans="2:6" ht="5.0999999999999996" customHeight="1" x14ac:dyDescent="0.25">
      <c r="B18" s="51"/>
      <c r="C18" s="51"/>
      <c r="D18" s="51"/>
      <c r="E18" s="51"/>
      <c r="F18" s="46"/>
    </row>
    <row r="19" spans="2:6" ht="17.25" x14ac:dyDescent="0.25">
      <c r="B19" s="49">
        <v>4</v>
      </c>
      <c r="C19" s="49" t="s">
        <v>0</v>
      </c>
      <c r="D19" s="49" t="s">
        <v>141</v>
      </c>
      <c r="E19" s="49"/>
      <c r="F19" s="46"/>
    </row>
    <row r="20" spans="2:6" ht="17.25" x14ac:dyDescent="0.25">
      <c r="B20" s="50"/>
      <c r="C20" s="50" t="s">
        <v>4</v>
      </c>
      <c r="D20" s="50" t="s">
        <v>27</v>
      </c>
      <c r="E20" s="50" t="s">
        <v>151</v>
      </c>
      <c r="F20" s="46"/>
    </row>
    <row r="21" spans="2:6" ht="17.25" x14ac:dyDescent="0.25">
      <c r="B21" s="50"/>
      <c r="C21" s="50" t="s">
        <v>9</v>
      </c>
      <c r="D21" s="50" t="s">
        <v>27</v>
      </c>
      <c r="E21" s="50" t="s">
        <v>148</v>
      </c>
      <c r="F21" s="46"/>
    </row>
    <row r="22" spans="2:6" ht="5.0999999999999996" customHeight="1" x14ac:dyDescent="0.25">
      <c r="B22" s="51"/>
      <c r="C22" s="51"/>
      <c r="D22" s="51"/>
      <c r="E22" s="51"/>
      <c r="F22" s="46"/>
    </row>
    <row r="23" spans="2:6" ht="17.25" x14ac:dyDescent="0.25">
      <c r="B23" s="49">
        <v>5</v>
      </c>
      <c r="C23" s="49" t="s">
        <v>0</v>
      </c>
      <c r="D23" s="49" t="s">
        <v>141</v>
      </c>
      <c r="E23" s="49"/>
      <c r="F23" s="46"/>
    </row>
    <row r="24" spans="2:6" ht="17.25" x14ac:dyDescent="0.25">
      <c r="B24" s="50"/>
      <c r="C24" s="50" t="s">
        <v>4</v>
      </c>
      <c r="D24" s="50" t="s">
        <v>27</v>
      </c>
      <c r="E24" s="50" t="s">
        <v>152</v>
      </c>
      <c r="F24" s="46"/>
    </row>
    <row r="25" spans="2:6" ht="17.25" x14ac:dyDescent="0.25">
      <c r="B25" s="50"/>
      <c r="C25" s="50" t="s">
        <v>9</v>
      </c>
      <c r="D25" s="50" t="s">
        <v>27</v>
      </c>
      <c r="E25" s="50" t="s">
        <v>148</v>
      </c>
      <c r="F25" s="46"/>
    </row>
    <row r="26" spans="2:6" ht="5.0999999999999996" customHeight="1" x14ac:dyDescent="0.25">
      <c r="B26" s="51"/>
      <c r="C26" s="51"/>
      <c r="D26" s="51"/>
      <c r="E26" s="51"/>
      <c r="F26" s="46"/>
    </row>
    <row r="27" spans="2:6" ht="17.25" x14ac:dyDescent="0.25">
      <c r="B27" s="49">
        <v>6</v>
      </c>
      <c r="C27" s="49" t="s">
        <v>0</v>
      </c>
      <c r="D27" s="49" t="s">
        <v>141</v>
      </c>
      <c r="E27" s="49"/>
      <c r="F27" s="46"/>
    </row>
    <row r="28" spans="2:6" ht="17.25" x14ac:dyDescent="0.25">
      <c r="B28" s="50"/>
      <c r="C28" s="50" t="s">
        <v>153</v>
      </c>
      <c r="D28" s="50" t="s">
        <v>27</v>
      </c>
      <c r="E28" s="50" t="s">
        <v>142</v>
      </c>
      <c r="F28" s="46"/>
    </row>
    <row r="29" spans="2:6" ht="5.0999999999999996" customHeight="1" x14ac:dyDescent="0.25">
      <c r="B29" s="51"/>
      <c r="C29" s="51"/>
      <c r="D29" s="51"/>
      <c r="E29" s="51"/>
      <c r="F29" s="46"/>
    </row>
    <row r="30" spans="2:6" ht="17.25" x14ac:dyDescent="0.25">
      <c r="B30" s="49">
        <v>7</v>
      </c>
      <c r="C30" s="49" t="s">
        <v>0</v>
      </c>
      <c r="D30" s="49" t="s">
        <v>141</v>
      </c>
      <c r="E30" s="49"/>
      <c r="F30" s="46"/>
    </row>
    <row r="31" spans="2:6" ht="17.25" x14ac:dyDescent="0.25">
      <c r="B31" s="50"/>
      <c r="C31" s="50" t="s">
        <v>6</v>
      </c>
      <c r="D31" s="50" t="s">
        <v>27</v>
      </c>
      <c r="E31" s="50" t="s">
        <v>154</v>
      </c>
      <c r="F31" s="46"/>
    </row>
    <row r="32" spans="2:6" ht="17.25" x14ac:dyDescent="0.25">
      <c r="B32" s="50"/>
      <c r="C32" s="50" t="s">
        <v>7</v>
      </c>
      <c r="D32" s="50" t="s">
        <v>27</v>
      </c>
      <c r="E32" s="50" t="s">
        <v>155</v>
      </c>
      <c r="F32" s="46"/>
    </row>
    <row r="33" spans="2:6" ht="17.25" x14ac:dyDescent="0.25">
      <c r="B33" s="50"/>
      <c r="C33" s="50" t="s">
        <v>8</v>
      </c>
      <c r="D33" s="50" t="s">
        <v>27</v>
      </c>
      <c r="E33" s="50" t="s">
        <v>156</v>
      </c>
      <c r="F33" s="46"/>
    </row>
    <row r="34" spans="2:6" ht="17.25" x14ac:dyDescent="0.25">
      <c r="B34" s="50"/>
      <c r="C34" s="50" t="s">
        <v>9</v>
      </c>
      <c r="D34" s="50" t="s">
        <v>27</v>
      </c>
      <c r="E34" s="50" t="s">
        <v>148</v>
      </c>
      <c r="F34" s="46"/>
    </row>
    <row r="35" spans="2:6" ht="5.0999999999999996" customHeight="1" x14ac:dyDescent="0.25">
      <c r="B35" s="51"/>
      <c r="C35" s="51"/>
      <c r="D35" s="51"/>
      <c r="E35" s="51"/>
      <c r="F35" s="46"/>
    </row>
    <row r="36" spans="2:6" ht="17.25" x14ac:dyDescent="0.25">
      <c r="B36" s="49">
        <v>8</v>
      </c>
      <c r="C36" s="49" t="s">
        <v>0</v>
      </c>
      <c r="D36" s="49" t="s">
        <v>141</v>
      </c>
      <c r="E36" s="49"/>
      <c r="F36" s="46"/>
    </row>
    <row r="37" spans="2:6" ht="17.25" x14ac:dyDescent="0.25">
      <c r="B37" s="50"/>
      <c r="C37" s="50" t="s">
        <v>157</v>
      </c>
      <c r="D37" s="50"/>
      <c r="E37" s="50" t="s">
        <v>158</v>
      </c>
      <c r="F37" s="46"/>
    </row>
    <row r="38" spans="2:6" ht="17.25" x14ac:dyDescent="0.25">
      <c r="B38" s="50"/>
      <c r="C38" s="50" t="s">
        <v>4</v>
      </c>
      <c r="D38" s="50" t="s">
        <v>27</v>
      </c>
      <c r="E38" s="50" t="s">
        <v>159</v>
      </c>
      <c r="F38" s="46"/>
    </row>
    <row r="39" spans="2:6" ht="15" customHeight="1" x14ac:dyDescent="0.25">
      <c r="B39" s="50"/>
      <c r="C39" s="50" t="s">
        <v>5</v>
      </c>
      <c r="D39" s="50" t="s">
        <v>27</v>
      </c>
      <c r="E39" s="52" t="s">
        <v>160</v>
      </c>
      <c r="F39" s="46"/>
    </row>
    <row r="40" spans="2:6" ht="17.25" x14ac:dyDescent="0.25">
      <c r="B40" s="50"/>
      <c r="C40" s="50" t="s">
        <v>9</v>
      </c>
      <c r="D40" s="50" t="s">
        <v>27</v>
      </c>
      <c r="E40" s="50" t="s">
        <v>148</v>
      </c>
      <c r="F40" s="46"/>
    </row>
    <row r="41" spans="2:6" ht="17.25" x14ac:dyDescent="0.25">
      <c r="B41" s="50"/>
      <c r="C41" s="50"/>
      <c r="D41" s="50"/>
      <c r="E41" s="50" t="s">
        <v>161</v>
      </c>
      <c r="F41" s="46"/>
    </row>
    <row r="42" spans="2:6" ht="5.0999999999999996" customHeight="1" x14ac:dyDescent="0.25">
      <c r="B42" s="51"/>
      <c r="C42" s="51"/>
      <c r="D42" s="51"/>
      <c r="E42" s="51"/>
      <c r="F42" s="46"/>
    </row>
    <row r="43" spans="2:6" ht="17.25" x14ac:dyDescent="0.25">
      <c r="B43" s="49">
        <v>9</v>
      </c>
      <c r="C43" s="49" t="s">
        <v>0</v>
      </c>
      <c r="D43" s="49" t="s">
        <v>141</v>
      </c>
      <c r="E43" s="49"/>
      <c r="F43" s="46"/>
    </row>
    <row r="44" spans="2:6" ht="17.25" x14ac:dyDescent="0.25">
      <c r="B44" s="50"/>
      <c r="C44" s="50" t="s">
        <v>10</v>
      </c>
      <c r="D44" s="50" t="s">
        <v>27</v>
      </c>
      <c r="E44" s="50" t="s">
        <v>162</v>
      </c>
      <c r="F44" s="46"/>
    </row>
    <row r="45" spans="2:6" ht="5.0999999999999996" customHeight="1" x14ac:dyDescent="0.25">
      <c r="B45" s="51"/>
      <c r="C45" s="51"/>
      <c r="D45" s="51"/>
      <c r="E45" s="51"/>
      <c r="F45" s="46"/>
    </row>
    <row r="46" spans="2:6" ht="17.25" x14ac:dyDescent="0.25">
      <c r="B46" s="49">
        <v>10</v>
      </c>
      <c r="C46" s="49" t="s">
        <v>0</v>
      </c>
      <c r="D46" s="49" t="s">
        <v>141</v>
      </c>
      <c r="E46" s="49"/>
      <c r="F46" s="46"/>
    </row>
    <row r="47" spans="2:6" ht="17.25" x14ac:dyDescent="0.25">
      <c r="B47" s="50"/>
      <c r="C47" s="50" t="s">
        <v>10</v>
      </c>
      <c r="D47" s="50" t="s">
        <v>27</v>
      </c>
      <c r="E47" s="50" t="s">
        <v>163</v>
      </c>
      <c r="F47" s="46"/>
    </row>
    <row r="48" spans="2:6" ht="5.0999999999999996" customHeight="1" x14ac:dyDescent="0.25">
      <c r="B48" s="51"/>
      <c r="C48" s="51"/>
      <c r="D48" s="51"/>
      <c r="E48" s="51"/>
      <c r="F48" s="46"/>
    </row>
    <row r="49" spans="2:6" ht="17.25" x14ac:dyDescent="0.25">
      <c r="B49" s="49">
        <v>11</v>
      </c>
      <c r="C49" s="49" t="s">
        <v>0</v>
      </c>
      <c r="D49" s="49" t="s">
        <v>141</v>
      </c>
      <c r="E49" s="49"/>
      <c r="F49" s="46"/>
    </row>
    <row r="50" spans="2:6" ht="17.25" x14ac:dyDescent="0.25">
      <c r="B50" s="50"/>
      <c r="C50" s="50" t="s">
        <v>10</v>
      </c>
      <c r="D50" s="50" t="s">
        <v>27</v>
      </c>
      <c r="E50" s="50" t="s">
        <v>164</v>
      </c>
      <c r="F50" s="46"/>
    </row>
    <row r="51" spans="2:6" ht="5.0999999999999996" customHeight="1" x14ac:dyDescent="0.25">
      <c r="B51" s="51"/>
      <c r="C51" s="51"/>
      <c r="D51" s="51"/>
      <c r="E51" s="51"/>
      <c r="F51" s="46"/>
    </row>
    <row r="52" spans="2:6" ht="19.5" hidden="1" customHeight="1" x14ac:dyDescent="0.25">
      <c r="B52" s="53"/>
      <c r="C52" s="53"/>
      <c r="D52" s="53"/>
      <c r="E52" s="53"/>
      <c r="F52" s="46"/>
    </row>
    <row r="53" spans="2:6" ht="25.5" hidden="1" customHeight="1" x14ac:dyDescent="0.25">
      <c r="B53" s="54" t="s">
        <v>137</v>
      </c>
      <c r="C53" s="55" t="s">
        <v>138</v>
      </c>
      <c r="D53" s="55" t="s">
        <v>139</v>
      </c>
      <c r="E53" s="56" t="s">
        <v>140</v>
      </c>
      <c r="F53" s="46"/>
    </row>
    <row r="54" spans="2:6" ht="17.25" x14ac:dyDescent="0.25">
      <c r="B54" s="49">
        <v>12</v>
      </c>
      <c r="C54" s="49" t="s">
        <v>0</v>
      </c>
      <c r="D54" s="49" t="s">
        <v>141</v>
      </c>
      <c r="E54" s="49"/>
      <c r="F54" s="46"/>
    </row>
    <row r="55" spans="2:6" ht="17.25" x14ac:dyDescent="0.25">
      <c r="B55" s="50"/>
      <c r="C55" s="50" t="s">
        <v>4</v>
      </c>
      <c r="D55" s="50" t="s">
        <v>27</v>
      </c>
      <c r="E55" s="50" t="s">
        <v>165</v>
      </c>
      <c r="F55" s="46"/>
    </row>
    <row r="56" spans="2:6" ht="17.25" x14ac:dyDescent="0.25">
      <c r="B56" s="50"/>
      <c r="C56" s="50" t="s">
        <v>9</v>
      </c>
      <c r="D56" s="50" t="s">
        <v>27</v>
      </c>
      <c r="E56" s="50" t="s">
        <v>148</v>
      </c>
      <c r="F56" s="46"/>
    </row>
    <row r="57" spans="2:6" ht="17.25" x14ac:dyDescent="0.25">
      <c r="B57" s="50"/>
      <c r="C57" s="50"/>
      <c r="D57" s="50"/>
      <c r="E57" s="50"/>
      <c r="F57" s="46"/>
    </row>
    <row r="58" spans="2:6" ht="25.5" customHeight="1" x14ac:dyDescent="0.25">
      <c r="B58" s="47" t="s">
        <v>137</v>
      </c>
      <c r="C58" s="47" t="s">
        <v>138</v>
      </c>
      <c r="D58" s="47" t="s">
        <v>139</v>
      </c>
      <c r="E58" s="47" t="s">
        <v>140</v>
      </c>
      <c r="F58" s="46"/>
    </row>
    <row r="59" spans="2:6" ht="17.25" x14ac:dyDescent="0.25">
      <c r="B59" s="49">
        <v>13</v>
      </c>
      <c r="C59" s="49" t="s">
        <v>0</v>
      </c>
      <c r="D59" s="49" t="s">
        <v>141</v>
      </c>
      <c r="E59" s="49"/>
      <c r="F59" s="46"/>
    </row>
    <row r="60" spans="2:6" ht="17.25" x14ac:dyDescent="0.25">
      <c r="B60" s="50"/>
      <c r="C60" s="50" t="s">
        <v>4</v>
      </c>
      <c r="D60" s="50" t="s">
        <v>27</v>
      </c>
      <c r="E60" s="50" t="s">
        <v>166</v>
      </c>
      <c r="F60" s="46"/>
    </row>
    <row r="61" spans="2:6" ht="17.25" x14ac:dyDescent="0.25">
      <c r="B61" s="50"/>
      <c r="C61" s="50" t="s">
        <v>5</v>
      </c>
      <c r="D61" s="50" t="s">
        <v>27</v>
      </c>
      <c r="E61" s="50" t="s">
        <v>167</v>
      </c>
      <c r="F61" s="46"/>
    </row>
    <row r="62" spans="2:6" ht="17.25" x14ac:dyDescent="0.25">
      <c r="B62" s="50"/>
      <c r="C62" s="50" t="s">
        <v>9</v>
      </c>
      <c r="D62" s="50" t="s">
        <v>27</v>
      </c>
      <c r="E62" s="50" t="s">
        <v>148</v>
      </c>
      <c r="F62" s="46"/>
    </row>
    <row r="63" spans="2:6" ht="17.25" x14ac:dyDescent="0.25">
      <c r="B63" s="50"/>
      <c r="C63" s="50" t="s">
        <v>22</v>
      </c>
      <c r="D63" s="50" t="s">
        <v>28</v>
      </c>
      <c r="E63" s="50" t="s">
        <v>168</v>
      </c>
      <c r="F63" s="46"/>
    </row>
    <row r="64" spans="2:6" ht="17.45" customHeight="1" x14ac:dyDescent="0.25">
      <c r="B64" s="50"/>
      <c r="C64" s="50" t="s">
        <v>23</v>
      </c>
      <c r="D64" s="50" t="s">
        <v>28</v>
      </c>
      <c r="E64" s="52" t="s">
        <v>169</v>
      </c>
      <c r="F64" s="46"/>
    </row>
    <row r="65" spans="2:6" ht="5.0999999999999996" customHeight="1" x14ac:dyDescent="0.25">
      <c r="B65" s="51"/>
      <c r="C65" s="51"/>
      <c r="D65" s="51"/>
      <c r="E65" s="51"/>
      <c r="F65" s="46"/>
    </row>
    <row r="66" spans="2:6" ht="17.25" x14ac:dyDescent="0.25">
      <c r="B66" s="49">
        <v>14</v>
      </c>
      <c r="C66" s="49" t="s">
        <v>0</v>
      </c>
      <c r="D66" s="49" t="s">
        <v>141</v>
      </c>
      <c r="E66" s="49"/>
      <c r="F66" s="46"/>
    </row>
    <row r="67" spans="2:6" ht="17.25" x14ac:dyDescent="0.25">
      <c r="B67" s="50"/>
      <c r="C67" s="50" t="s">
        <v>4</v>
      </c>
      <c r="D67" s="50" t="s">
        <v>27</v>
      </c>
      <c r="E67" s="50" t="s">
        <v>147</v>
      </c>
      <c r="F67" s="46"/>
    </row>
    <row r="68" spans="2:6" ht="17.25" x14ac:dyDescent="0.25">
      <c r="B68" s="50"/>
      <c r="C68" s="50" t="s">
        <v>9</v>
      </c>
      <c r="D68" s="50" t="s">
        <v>27</v>
      </c>
      <c r="E68" s="50" t="s">
        <v>148</v>
      </c>
      <c r="F68" s="46"/>
    </row>
    <row r="69" spans="2:6" ht="17.25" x14ac:dyDescent="0.25">
      <c r="B69" s="50"/>
      <c r="C69" s="50" t="s">
        <v>22</v>
      </c>
      <c r="D69" s="50" t="s">
        <v>28</v>
      </c>
      <c r="E69" s="50" t="s">
        <v>168</v>
      </c>
      <c r="F69" s="46"/>
    </row>
    <row r="70" spans="2:6" ht="17.45" customHeight="1" x14ac:dyDescent="0.25">
      <c r="B70" s="50"/>
      <c r="C70" s="50" t="s">
        <v>23</v>
      </c>
      <c r="D70" s="50" t="s">
        <v>28</v>
      </c>
      <c r="E70" s="52" t="s">
        <v>169</v>
      </c>
      <c r="F70" s="46"/>
    </row>
    <row r="71" spans="2:6" ht="5.0999999999999996" customHeight="1" x14ac:dyDescent="0.25">
      <c r="B71" s="51"/>
      <c r="C71" s="51"/>
      <c r="D71" s="51"/>
      <c r="E71" s="51"/>
      <c r="F71" s="46"/>
    </row>
    <row r="72" spans="2:6" ht="17.25" x14ac:dyDescent="0.25">
      <c r="B72" s="49">
        <v>15</v>
      </c>
      <c r="C72" s="49" t="s">
        <v>0</v>
      </c>
      <c r="D72" s="49" t="s">
        <v>141</v>
      </c>
      <c r="E72" s="49"/>
      <c r="F72" s="46"/>
    </row>
    <row r="73" spans="2:6" ht="17.25" x14ac:dyDescent="0.25">
      <c r="B73" s="50"/>
      <c r="C73" s="50" t="s">
        <v>1</v>
      </c>
      <c r="D73" s="50" t="s">
        <v>27</v>
      </c>
      <c r="E73" s="50" t="s">
        <v>142</v>
      </c>
      <c r="F73" s="46"/>
    </row>
    <row r="74" spans="2:6" ht="17.25" hidden="1" x14ac:dyDescent="0.25">
      <c r="B74" s="50"/>
      <c r="C74" s="50" t="s">
        <v>143</v>
      </c>
      <c r="D74" s="50" t="s">
        <v>27</v>
      </c>
      <c r="E74" s="50" t="s">
        <v>144</v>
      </c>
      <c r="F74" s="46"/>
    </row>
    <row r="75" spans="2:6" ht="17.25" hidden="1" x14ac:dyDescent="0.25">
      <c r="B75" s="50"/>
      <c r="C75" s="50" t="s">
        <v>145</v>
      </c>
      <c r="D75" s="50" t="s">
        <v>27</v>
      </c>
      <c r="E75" s="50" t="s">
        <v>146</v>
      </c>
      <c r="F75" s="46"/>
    </row>
    <row r="76" spans="2:6" ht="17.45" customHeight="1" x14ac:dyDescent="0.25">
      <c r="B76" s="50"/>
      <c r="C76" s="50" t="s">
        <v>170</v>
      </c>
      <c r="D76" s="50" t="s">
        <v>29</v>
      </c>
      <c r="E76" s="52" t="s">
        <v>171</v>
      </c>
      <c r="F76" s="46"/>
    </row>
    <row r="77" spans="2:6" ht="5.0999999999999996" customHeight="1" x14ac:dyDescent="0.25">
      <c r="B77" s="51"/>
      <c r="C77" s="51"/>
      <c r="D77" s="51"/>
      <c r="E77" s="51"/>
      <c r="F77" s="46"/>
    </row>
    <row r="78" spans="2:6" ht="17.25" x14ac:dyDescent="0.3">
      <c r="B78" s="49">
        <v>16</v>
      </c>
      <c r="C78" s="49" t="s">
        <v>0</v>
      </c>
      <c r="D78" s="49" t="s">
        <v>141</v>
      </c>
      <c r="E78" s="57"/>
      <c r="F78" s="46"/>
    </row>
    <row r="79" spans="2:6" ht="17.25" x14ac:dyDescent="0.3">
      <c r="B79" s="58"/>
      <c r="C79" s="50" t="s">
        <v>4</v>
      </c>
      <c r="D79" s="50" t="s">
        <v>27</v>
      </c>
      <c r="E79" s="80" t="s">
        <v>181</v>
      </c>
    </row>
    <row r="80" spans="2:6" ht="17.25" x14ac:dyDescent="0.3">
      <c r="B80" s="58"/>
      <c r="C80" s="50" t="s">
        <v>9</v>
      </c>
      <c r="D80" s="50" t="s">
        <v>27</v>
      </c>
      <c r="E80" s="50" t="s">
        <v>173</v>
      </c>
    </row>
    <row r="81" spans="2:5" ht="5.0999999999999996" customHeight="1" x14ac:dyDescent="0.3">
      <c r="B81" s="59"/>
      <c r="C81" s="59"/>
      <c r="D81" s="59"/>
      <c r="E81" s="59"/>
    </row>
    <row r="82" spans="2:5" ht="17.25" x14ac:dyDescent="0.3">
      <c r="B82" s="49">
        <v>17</v>
      </c>
      <c r="C82" s="49" t="s">
        <v>0</v>
      </c>
      <c r="D82" s="49" t="s">
        <v>141</v>
      </c>
      <c r="E82" s="57"/>
    </row>
    <row r="83" spans="2:5" ht="17.25" x14ac:dyDescent="0.3">
      <c r="B83" s="58"/>
      <c r="C83" s="50" t="s">
        <v>4</v>
      </c>
      <c r="D83" s="50" t="s">
        <v>27</v>
      </c>
      <c r="E83" s="50" t="s">
        <v>174</v>
      </c>
    </row>
    <row r="84" spans="2:5" ht="17.25" x14ac:dyDescent="0.3">
      <c r="B84" s="58"/>
      <c r="C84" s="50" t="s">
        <v>9</v>
      </c>
      <c r="D84" s="50" t="s">
        <v>27</v>
      </c>
      <c r="E84" s="50" t="s">
        <v>148</v>
      </c>
    </row>
    <row r="85" spans="2:5" ht="17.25" x14ac:dyDescent="0.25">
      <c r="B85" s="49">
        <v>18</v>
      </c>
      <c r="C85" s="50" t="s">
        <v>0</v>
      </c>
      <c r="D85" s="50" t="s">
        <v>141</v>
      </c>
      <c r="E85" s="50"/>
    </row>
    <row r="86" spans="2:5" ht="17.25" x14ac:dyDescent="0.25">
      <c r="B86" s="50"/>
      <c r="C86" s="50" t="s">
        <v>4</v>
      </c>
      <c r="D86" s="50" t="s">
        <v>27</v>
      </c>
      <c r="E86" s="50" t="s">
        <v>175</v>
      </c>
    </row>
    <row r="87" spans="2:5" ht="17.25" x14ac:dyDescent="0.25">
      <c r="B87" s="50"/>
      <c r="C87" s="50" t="s">
        <v>5</v>
      </c>
      <c r="D87" s="50" t="s">
        <v>27</v>
      </c>
      <c r="E87" s="50" t="s">
        <v>167</v>
      </c>
    </row>
    <row r="88" spans="2:5" ht="17.25" x14ac:dyDescent="0.25">
      <c r="B88" s="50"/>
      <c r="C88" s="50" t="s">
        <v>9</v>
      </c>
      <c r="D88" s="50" t="s">
        <v>27</v>
      </c>
      <c r="E88" s="50" t="s">
        <v>148</v>
      </c>
    </row>
    <row r="89" spans="2:5" ht="17.25" x14ac:dyDescent="0.25">
      <c r="B89" s="50"/>
      <c r="C89" s="50" t="s">
        <v>22</v>
      </c>
      <c r="D89" s="50" t="s">
        <v>28</v>
      </c>
      <c r="E89" s="50" t="s">
        <v>168</v>
      </c>
    </row>
    <row r="90" spans="2:5" ht="17.25" x14ac:dyDescent="0.25">
      <c r="B90" s="50"/>
      <c r="C90" s="50" t="s">
        <v>23</v>
      </c>
      <c r="D90" s="50" t="s">
        <v>28</v>
      </c>
      <c r="E90" s="52" t="s">
        <v>169</v>
      </c>
    </row>
    <row r="91" spans="2:5" ht="17.45" hidden="1" customHeight="1" x14ac:dyDescent="0.25">
      <c r="B91" s="50"/>
      <c r="C91" s="50"/>
      <c r="D91" s="50"/>
      <c r="E91" s="52"/>
    </row>
    <row r="92" spans="2:5" ht="5.0999999999999996" customHeight="1" x14ac:dyDescent="0.3">
      <c r="B92" s="59"/>
      <c r="C92" s="51"/>
      <c r="D92" s="51"/>
      <c r="E92" s="51"/>
    </row>
    <row r="93" spans="2:5" ht="17.25" x14ac:dyDescent="0.25">
      <c r="B93" s="49">
        <v>19</v>
      </c>
      <c r="C93" s="49" t="s">
        <v>0</v>
      </c>
      <c r="D93" s="49" t="s">
        <v>141</v>
      </c>
      <c r="E93" s="49"/>
    </row>
    <row r="94" spans="2:5" ht="17.25" x14ac:dyDescent="0.25">
      <c r="B94" s="50"/>
      <c r="C94" s="50" t="s">
        <v>10</v>
      </c>
      <c r="D94" s="50" t="s">
        <v>27</v>
      </c>
      <c r="E94" s="50" t="s">
        <v>176</v>
      </c>
    </row>
    <row r="95" spans="2:5" ht="17.25" x14ac:dyDescent="0.3">
      <c r="B95" s="49">
        <v>20</v>
      </c>
      <c r="C95" s="49" t="s">
        <v>0</v>
      </c>
      <c r="D95" s="49" t="s">
        <v>141</v>
      </c>
      <c r="E95" s="57"/>
    </row>
    <row r="96" spans="2:5" ht="17.25" x14ac:dyDescent="0.25">
      <c r="B96" s="50"/>
      <c r="C96" s="50" t="s">
        <v>11</v>
      </c>
      <c r="D96" s="50" t="s">
        <v>27</v>
      </c>
      <c r="E96" s="50" t="s">
        <v>172</v>
      </c>
    </row>
    <row r="97" spans="2:5" ht="17.25" x14ac:dyDescent="0.25">
      <c r="B97" s="50"/>
      <c r="C97" s="50" t="s">
        <v>12</v>
      </c>
      <c r="D97" s="50" t="s">
        <v>27</v>
      </c>
      <c r="E97" s="50" t="s">
        <v>177</v>
      </c>
    </row>
    <row r="98" spans="2:5" ht="17.25" x14ac:dyDescent="0.3">
      <c r="B98" s="58"/>
      <c r="C98" s="50" t="s">
        <v>4</v>
      </c>
      <c r="D98" s="50" t="s">
        <v>27</v>
      </c>
      <c r="E98" s="50" t="s">
        <v>178</v>
      </c>
    </row>
    <row r="99" spans="2:5" ht="17.25" x14ac:dyDescent="0.3">
      <c r="B99" s="58"/>
      <c r="C99" s="50" t="s">
        <v>13</v>
      </c>
      <c r="D99" s="50" t="s">
        <v>27</v>
      </c>
      <c r="E99" s="50" t="s">
        <v>178</v>
      </c>
    </row>
    <row r="100" spans="2:5" ht="17.25" x14ac:dyDescent="0.3">
      <c r="B100" s="58"/>
      <c r="C100" s="50" t="s">
        <v>9</v>
      </c>
      <c r="D100" s="50" t="s">
        <v>27</v>
      </c>
      <c r="E100" s="50" t="s">
        <v>173</v>
      </c>
    </row>
    <row r="101" spans="2:5" ht="17.25" x14ac:dyDescent="0.3">
      <c r="B101" s="81">
        <v>21</v>
      </c>
      <c r="C101" s="81" t="s">
        <v>0</v>
      </c>
      <c r="D101" s="81" t="s">
        <v>141</v>
      </c>
      <c r="E101" s="82"/>
    </row>
    <row r="102" spans="2:5" ht="17.25" x14ac:dyDescent="0.25">
      <c r="B102" s="78"/>
      <c r="C102" s="80" t="s">
        <v>11</v>
      </c>
      <c r="D102" s="80" t="s">
        <v>27</v>
      </c>
      <c r="E102" s="80" t="s">
        <v>172</v>
      </c>
    </row>
    <row r="103" spans="2:5" ht="17.25" x14ac:dyDescent="0.25">
      <c r="B103" s="79"/>
      <c r="C103" s="80" t="s">
        <v>4</v>
      </c>
      <c r="D103" s="80" t="s">
        <v>27</v>
      </c>
      <c r="E103" s="80" t="s">
        <v>178</v>
      </c>
    </row>
    <row r="104" spans="2:5" ht="17.25" x14ac:dyDescent="0.25">
      <c r="B104" s="79"/>
      <c r="C104" s="80" t="s">
        <v>9</v>
      </c>
      <c r="D104" s="80" t="s">
        <v>27</v>
      </c>
      <c r="E104" s="80" t="s">
        <v>173</v>
      </c>
    </row>
    <row r="105" spans="2:5" ht="17.25" x14ac:dyDescent="0.3">
      <c r="B105" s="60" t="s">
        <v>179</v>
      </c>
    </row>
    <row r="106" spans="2:5" ht="17.25" x14ac:dyDescent="0.3">
      <c r="B106" s="60" t="s">
        <v>180</v>
      </c>
    </row>
  </sheetData>
  <pageMargins left="0.70866141732283472" right="0.70866141732283472" top="0.74803149606299213" bottom="0.74803149606299213" header="0.31496062992125984" footer="0.31496062992125984"/>
  <pageSetup paperSize="9" scale="47" orientation="portrait" r:id="rId1"/>
  <headerFooter>
    <oddFooter>&amp;C_x000D_&amp;1#&amp;"Century Gothic"&amp;7&amp;K7F7F7F BUSINESS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68db9c-bb18-4bed-8851-b5721f14e6b4">
      <Terms xmlns="http://schemas.microsoft.com/office/infopath/2007/PartnerControls"/>
    </lcf76f155ced4ddcb4097134ff3c332f>
    <TaxCatchAll xmlns="facbff88-6fe3-477c-bd78-371714a63d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26092BDB0EB54683F161AC1502A92A" ma:contentTypeVersion="16" ma:contentTypeDescription="Create a new document." ma:contentTypeScope="" ma:versionID="2647726c71757b85a5cf3aff330e1c98">
  <xsd:schema xmlns:xsd="http://www.w3.org/2001/XMLSchema" xmlns:xs="http://www.w3.org/2001/XMLSchema" xmlns:p="http://schemas.microsoft.com/office/2006/metadata/properties" xmlns:ns2="d668db9c-bb18-4bed-8851-b5721f14e6b4" xmlns:ns3="facbff88-6fe3-477c-bd78-371714a63d39" targetNamespace="http://schemas.microsoft.com/office/2006/metadata/properties" ma:root="true" ma:fieldsID="bbe37ba70a46ea4a3e6ab12772dd542d" ns2:_="" ns3:_="">
    <xsd:import namespace="d668db9c-bb18-4bed-8851-b5721f14e6b4"/>
    <xsd:import namespace="facbff88-6fe3-477c-bd78-371714a63d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8db9c-bb18-4bed-8851-b5721f14e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e67b6b-74cb-4963-8df3-8bbebf5323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bff88-6fe3-477c-bd78-371714a63d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a79716-25b4-414f-9205-0a0877a8c924}" ma:internalName="TaxCatchAll" ma:showField="CatchAllData" ma:web="facbff88-6fe3-477c-bd78-371714a63d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63B079-2D22-468E-BD8F-253886DA9DE3}">
  <ds:schemaRefs>
    <ds:schemaRef ds:uri="http://schemas.microsoft.com/office/2006/metadata/properties"/>
    <ds:schemaRef ds:uri="http://schemas.microsoft.com/office/infopath/2007/PartnerControls"/>
    <ds:schemaRef ds:uri="d668db9c-bb18-4bed-8851-b5721f14e6b4"/>
    <ds:schemaRef ds:uri="facbff88-6fe3-477c-bd78-371714a63d39"/>
  </ds:schemaRefs>
</ds:datastoreItem>
</file>

<file path=customXml/itemProps2.xml><?xml version="1.0" encoding="utf-8"?>
<ds:datastoreItem xmlns:ds="http://schemas.openxmlformats.org/officeDocument/2006/customXml" ds:itemID="{D05DF15B-588F-4BB8-9EA0-80D8AB29C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68db9c-bb18-4bed-8851-b5721f14e6b4"/>
    <ds:schemaRef ds:uri="facbff88-6fe3-477c-bd78-371714a63d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38A7E-34CB-40A2-A211-1E66BAB8A7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9ee16a-f4d8-42fc-8e4b-5abdff9fc8a9}" enabled="1" method="Standard" siteId="{a394e41c-cf8d-458e-ac1b-ddae1aa156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 2026-27</vt:lpstr>
      <vt:lpstr>Distribution 2026-27</vt:lpstr>
      <vt:lpstr>Transmission 2026-27</vt:lpstr>
      <vt:lpstr>Jurisdictional 2026-27</vt:lpstr>
      <vt:lpstr>Tariff structures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Chan</dc:creator>
  <cp:keywords/>
  <dc:description/>
  <cp:lastModifiedBy>Nick Cimdins</cp:lastModifiedBy>
  <cp:revision/>
  <dcterms:created xsi:type="dcterms:W3CDTF">2025-01-25T10:59:35Z</dcterms:created>
  <dcterms:modified xsi:type="dcterms:W3CDTF">2026-05-15T05:40:13Z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0x0101000B26092BDB0EB54683F161AC1502A92A</vt:lpwstr>
  </property>
  <property fmtid="{D5CDD505-2E9C-101B-9397-08002B2CF9AE}" pid="3" name="MediaServiceImageTags">
    <vt:lpwstr/>
  </property>
  <property fmtid="{D5CDD505-2E9C-101B-9397-08002B2CF9AE}" pid="4" name="MSIP_Label_d9d5a995-dfdf-4407-9a97-edbbc68c9f53_Enabled">
    <vt:lpwstr>true</vt:lpwstr>
  </property>
  <property fmtid="{D5CDD505-2E9C-101B-9397-08002B2CF9AE}" pid="5" name="MSIP_Label_d9d5a995-dfdf-4407-9a97-edbbc68c9f53_SetDate">
    <vt:lpwstr>2026-04-01T05:40:02Z</vt:lpwstr>
  </property>
  <property fmtid="{D5CDD505-2E9C-101B-9397-08002B2CF9AE}" pid="6" name="MSIP_Label_d9d5a995-dfdf-4407-9a97-edbbc68c9f53_Method">
    <vt:lpwstr>Privileged</vt:lpwstr>
  </property>
  <property fmtid="{D5CDD505-2E9C-101B-9397-08002B2CF9AE}" pid="7" name="MSIP_Label_d9d5a995-dfdf-4407-9a97-edbbc68c9f53_Name">
    <vt:lpwstr>OFFICIAL</vt:lpwstr>
  </property>
  <property fmtid="{D5CDD505-2E9C-101B-9397-08002B2CF9AE}" pid="8" name="MSIP_Label_d9d5a995-dfdf-4407-9a97-edbbc68c9f53_SiteId">
    <vt:lpwstr>b33e9e1a-e443-4edd-9789-24bed26d38d6</vt:lpwstr>
  </property>
  <property fmtid="{D5CDD505-2E9C-101B-9397-08002B2CF9AE}" pid="9" name="MSIP_Label_d9d5a995-dfdf-4407-9a97-edbbc68c9f53_ActionId">
    <vt:lpwstr>3e39e577-289c-42b2-b18c-b5e26e540faa</vt:lpwstr>
  </property>
  <property fmtid="{D5CDD505-2E9C-101B-9397-08002B2CF9AE}" pid="10" name="MSIP_Label_d9d5a995-dfdf-4407-9a97-edbbc68c9f53_ContentBits">
    <vt:lpwstr>0</vt:lpwstr>
  </property>
  <property fmtid="{D5CDD505-2E9C-101B-9397-08002B2CF9AE}" pid="11" name="MSIP_Label_d9d5a995-dfdf-4407-9a97-edbbc68c9f53_Tag">
    <vt:lpwstr>10, 0, 1, 1</vt:lpwstr>
  </property>
</Properties>
</file>